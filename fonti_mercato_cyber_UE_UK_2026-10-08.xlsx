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GIMI" sheetId="1" state="visible" r:id="rId3"/>
    <sheet name="Dati" sheetId="2" state="visible" r:id="rId4"/>
    <sheet name="Fonti_Metodologie" sheetId="3" state="visible" r:id="rId5"/>
    <sheet name="Copertura_Paesi" sheetId="4" state="visible" r:id="rId6"/>
    <sheet name="Ricerche_senza_esito" sheetId="5" state="visible" r:id="rId7"/>
    <sheet name="Cambi" sheetId="6" state="visible" r:id="rId8"/>
  </sheets>
  <definedNames>
    <definedName function="false" hidden="true" localSheetId="3" name="_xlnm._FilterDatabase" vbProcedure="false">Copertura_Paesi!$A$1:$Q$30</definedName>
    <definedName function="false" hidden="true" localSheetId="1" name="_xlnm._FilterDatabase" vbProcedure="false">Dati!$A$1:$AK$1216</definedName>
    <definedName function="false" hidden="true" localSheetId="2" name="_xlnm._FilterDatabase" vbProcedure="false">Fonti_Metodologie!$A$1:$R$407</definedName>
    <definedName function="false" hidden="true" localSheetId="4" name="_xlnm._FilterDatabase" vbProcedure="false">Ricerche_senza_esito!$A$1:$F$159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<sst xmlns="http://schemas.openxmlformats.org/spreadsheetml/2006/main" count="46210" uniqueCount="8015">
  <si>
    <t xml:space="preserve">Fonti sul mercato e sulla spesa in cybersecurity in UE e Regno Unito</t>
  </si>
  <si>
    <t xml:space="preserve">Scopo</t>
  </si>
  <si>
    <t xml:space="preserve">Censimento delle fonti pubblicate sulla dimensione del mercato e sulla spesa in cybersecurity per i 27 Stati membri, il Regno Unito e l'UE nel suo insieme. Il file serve a confrontare e ancorare un modello bottom-up della spesa cyber delle imprese basato sul fatturato Eurostat SBS. Non contiene una nuova stima.</t>
  </si>
  <si>
    <t xml:space="preserve">Data della ricerca</t>
  </si>
  <si>
    <t xml:space="preserve">08/10/2026</t>
  </si>
  <si>
    <t xml:space="preserve">Contenuto</t>
  </si>
  <si>
    <t xml:space="preserve">1215 righe in Dati, 406 fonti in Fonti_Metodologie, 158 ricerche registrate in Ricerche_senza_esito. I conteggi aggiornati per paese sono nel foglio Copertura_Paesi.</t>
  </si>
  <si>
    <t xml:space="preserve">Fogli</t>
  </si>
  <si>
    <t xml:space="preserve">Dati riporta un numero per riga. Fonti_Metodologie riporta una scheda per ID_Fonte. Copertura_Paesi calcola con formule la copertura di ciascuno dei 29 ambiti. Ricerche_senza_esito registra le ricerche che non hanno prodotto dati. Cambi riporta le medie annue BCE e i fattori di conversione delle unità.</t>
  </si>
  <si>
    <t xml:space="preserve">ID_Fonte</t>
  </si>
  <si>
    <t xml:space="preserve">Schema ENTE-PRODOTTO-ANNOEDIZIONE. Le pagine paese di un editore multi-paese portano il codice paese nel prodotto, per esempio MORDOR-CYBERDE-2025.</t>
  </si>
  <si>
    <t xml:space="preserve">Valore in Mln €</t>
  </si>
  <si>
    <t xml:space="preserve">Formula viva. Valore originale per il fattore dell'unità diviso per il cambio BCE medio dell'anno di riferimento. Vuota per le percentuali. Per gli anni senza media annua si usa l'ultima media disponibile, evidenziata in giallo nel foglio Cambi.</t>
  </si>
  <si>
    <t xml:space="preserve">Definizioni</t>
  </si>
  <si>
    <t xml:space="preserve">Lato della stima</t>
  </si>
  <si>
    <t xml:space="preserve">Domanda (end user) se il numero nasce da dati raccolti presso chi acquista o usa la sicurezza. Offerta (fornitori) se nasce dai ricavi di chi vende. Misto se la fonte dichiara di combinare i due lati per quel numero, oppure se esiste solo un testo generico dell'editore (in tal caso Trasparenza C). Non determinabile se non c'è alcun elemento per classificare. La classificazione segue la costruzione del numero, non il nome che gli dà la fonte.</t>
  </si>
  <si>
    <t xml:space="preserve">Base della classificazione</t>
  </si>
  <si>
    <t xml:space="preserve">Dichiarata dalla fonte, oppure Dedotta con motivazione in una frase. Le celle dedotte sono in arancio.</t>
  </si>
  <si>
    <t xml:space="preserve">Approccio di calcolo</t>
  </si>
  <si>
    <t xml:space="preserve">Bottom-up, Top-down, Survey riportata all'universo, Modello previsionale o econometrico, Ripreso da altra fonte, Non dichiarato.</t>
  </si>
  <si>
    <t xml:space="preserve">Oggetto della misura</t>
  </si>
  <si>
    <t xml:space="preserve">Mercato domestico (acquisti di clienti nel paese), Spesa o budget delle organizzazioni, Ricavi dell'industria nazionale (incluso export), Rapporto di spesa, Budget pubblico dedicato.</t>
  </si>
  <si>
    <t xml:space="preserve">Tipo di valore</t>
  </si>
  <si>
    <t xml:space="preserve">Totale aggregato, Media per organizzazione, Mediana per organizzazione, Quota percentuale, Variazione percentuale. I valori per organizzazione, come le mediane ENISA NIS Investments, non vanno mai moltiplicati per il numero di imprese.</t>
  </si>
  <si>
    <t xml:space="preserve">Trasparenza</t>
  </si>
  <si>
    <t xml:space="preserve">A metodologia specifica per quel dato con campione o universo, perimetro e passaggi. B metodologia specifica ma sintetica. C solo testo metodologico generico dell'editore. D nessuna metodologia reperibile.</t>
  </si>
  <si>
    <t xml:space="preserve">Natura</t>
  </si>
  <si>
    <t xml:space="preserve">Consuntivo, Stima dell'anno in corso, Previsione. Un anno per riga.</t>
  </si>
  <si>
    <t xml:space="preserve">Codice colori</t>
  </si>
  <si>
    <t xml:space="preserve">Dato da fonte</t>
  </si>
  <si>
    <t xml:space="preserve">Testo blu su sfondo azzurro</t>
  </si>
  <si>
    <t xml:space="preserve">Formula</t>
  </si>
  <si>
    <t xml:space="preserve">Testo nero</t>
  </si>
  <si>
    <t xml:space="preserve">Collegamento tra fogli</t>
  </si>
  <si>
    <t xml:space="preserve">Testo verde, formule che leggono un altro foglio</t>
  </si>
  <si>
    <t xml:space="preserve">Parametro modificabile</t>
  </si>
  <si>
    <t xml:space="preserve">Sfondo giallo</t>
  </si>
  <si>
    <t xml:space="preserve">Classificazione dedotta</t>
  </si>
  <si>
    <t xml:space="preserve">Sfondo arancio</t>
  </si>
  <si>
    <t xml:space="preserve">Limiti noti</t>
  </si>
  <si>
    <t xml:space="preserve">Accesso alle pagine</t>
  </si>
  <si>
    <t xml:space="preserve">L'ambiente di esecuzione bloccava l'apertura diretta delle pagine web. Ogni valore è stato letto nell'estratto testuale della pagina o del PDF indicato in URL, restituito da un motore di ricerca che indicizza il contenuto della pagina. Le righe lette così riportano nelle Note la dicitura «Letto da estratto indicizzato della pagina». Valori letti da grafici o tabelle complesse vanno ricontrollati sul documento prima dell'uso.</t>
  </si>
  <si>
    <t xml:space="preserve">Report a pagamento</t>
  </si>
  <si>
    <t xml:space="preserve">Per i report a pagamento sono stati usati solo comunicati stampa, sintesi ed estratti gratuiti. Il tipo di accesso è registrato per ogni riga.</t>
  </si>
  <si>
    <t xml:space="preserve">Perimetri</t>
  </si>
  <si>
    <t xml:space="preserve">Fonti con numeri simili misurano perimetri diversi. Prima di confrontare due righe controllare Oggetto della misura, Clienti inclusi, Personale interno incluso, Segmenti inclusi e Lato della stima.</t>
  </si>
  <si>
    <t xml:space="preserve">Editori di ricerche di mercato</t>
  </si>
  <si>
    <t xml:space="preserve">Le pagine paese di molti editori multi-paese riportano valori senza metodologia specifica e spesso incoerenti tra editori. Sono registrate per completezza con trasparenza C o D.</t>
  </si>
  <si>
    <t xml:space="preserve">Cambi</t>
  </si>
  <si>
    <t xml:space="preserve">Medie annue dei tassi di riferimento BCE in unità di valuta per 1 euro, lette nelle serie Bundesbank «Euro foreign exchange reference rates of the ECB» e nella tabella OeNB «ECB reference rates, period average». Per gli anni senza media annua disponibile si usa l'ultima media annua, con cella gialla.</t>
  </si>
  <si>
    <t xml:space="preserve">Verifica finale</t>
  </si>
  <si>
    <t xml:space="preserve">Sono state riaperte le fonti di 565 righe, cioè tutti i totali aggregati dell'ultimo anno disponibile per area, fonte e indicatore, un campione casuale del 20% delle altre righe e le righe aggiunte dopo il campionamento. Esiti 545 confermate, 8 corrette, 10 non ritrovate o non rileggibili, 2 rimosse perché fuori perimetro. L'esito è riportato nelle Note di ogni riga verificata. Le righe non ritrovate restano nel foglio con l'indicazione di ricontrollo.</t>
  </si>
  <si>
    <t xml:space="preserve">Esclusioni</t>
  </si>
  <si>
    <t xml:space="preserve">Le spese IT complessive per organizzazione pubblicate da ENISA NIS Investments sono escluse perché prive di componente cyber. Restano le quote della spesa di sicurezza sul budget IT.</t>
  </si>
  <si>
    <t xml:space="preserve">Budget pubblici</t>
  </si>
  <si>
    <t xml:space="preserve">Per i budget pubblici la natura Consuntivo indica lo stanziamento di un anno passato, non la spesa effettiva. Alcune dotazioni pluriennali sono registrate in un solo anno, di norma quello di chiusura, con il periodo nelle Note.</t>
  </si>
  <si>
    <t xml:space="preserve">Statista</t>
  </si>
  <si>
    <t xml:space="preserve">Le pagine paese di Statista Market Insights mostrano i valori oscurati senza abbonamento. I valori Statista presenti sono letti da pagine pubbliche di Statista o da terzi che li citano, con Accesso e Fonte primaria indicati.</t>
  </si>
  <si>
    <t xml:space="preserve">Aggregati geografici</t>
  </si>
  <si>
    <t xml:space="preserve">L'Europa degli editori include di norma Regno Unito, Svizzera e Norvegia. DACH include la Svizzera, i Paesi nordici includono Norvegia e Islanda, la CEE di alcuni analisti include paesi extra UE. Il perimetro è indicato nelle Note.</t>
  </si>
  <si>
    <t xml:space="preserve">Copertura_Paesi</t>
  </si>
  <si>
    <t xml:space="preserve">Minimo e massimo in Mln € sono calcolati sui soli totali aggregati senza scomposizione, con oggetto Mercato domestico o Spesa o budget delle organizzazioni, natura Consuntivo, nell'ultimo anno di consuntivo disponibile per quei totali. Mettono a confronto perimetri diversi e servono solo a mostrare la dispersione.</t>
  </si>
  <si>
    <t xml:space="preserve">ID_Dato</t>
  </si>
  <si>
    <t xml:space="preserve">Codice area</t>
  </si>
  <si>
    <t xml:space="preserve">Paese o area</t>
  </si>
  <si>
    <t xml:space="preserve">Livello geografico</t>
  </si>
  <si>
    <t xml:space="preserve">Ente</t>
  </si>
  <si>
    <t xml:space="preserve">Tipo di ente</t>
  </si>
  <si>
    <t xml:space="preserve">Titolo ed edizione</t>
  </si>
  <si>
    <t xml:space="preserve">Data di pubblicazione</t>
  </si>
  <si>
    <t xml:space="preserve">URL</t>
  </si>
  <si>
    <t xml:space="preserve">Fonte primaria</t>
  </si>
  <si>
    <t xml:space="preserve">Indicatore originale</t>
  </si>
  <si>
    <t xml:space="preserve">Descrizione</t>
  </si>
  <si>
    <t xml:space="preserve">Scomposizione</t>
  </si>
  <si>
    <t xml:space="preserve">Voce</t>
  </si>
  <si>
    <t xml:space="preserve">Valore originale</t>
  </si>
  <si>
    <t xml:space="preserve">Unità originale</t>
  </si>
  <si>
    <t xml:space="preserve">Valuta originale</t>
  </si>
  <si>
    <t xml:space="preserve">Anno di riferimento</t>
  </si>
  <si>
    <t xml:space="preserve">Crescita dichiarata</t>
  </si>
  <si>
    <t xml:space="preserve">Clienti inclusi</t>
  </si>
  <si>
    <t xml:space="preserve">Personale interno incluso</t>
  </si>
  <si>
    <t xml:space="preserve">Segmenti inclusi</t>
  </si>
  <si>
    <t xml:space="preserve">Metodologia in sintesi</t>
  </si>
  <si>
    <t xml:space="preserve">Evidenza</t>
  </si>
  <si>
    <t xml:space="preserve">Accesso</t>
  </si>
  <si>
    <t xml:space="preserve">Verificato su fonte primaria</t>
  </si>
  <si>
    <t xml:space="preserve">Note</t>
  </si>
  <si>
    <t xml:space="preserve">Data di consultazione</t>
  </si>
  <si>
    <t xml:space="preserve">EC-CSA2-2026</t>
  </si>
  <si>
    <t xml:space="preserve">EU27</t>
  </si>
  <si>
    <t xml:space="preserve">Unione europea (UE27)</t>
  </si>
  <si>
    <t xml:space="preserve">UE</t>
  </si>
  <si>
    <t xml:space="preserve">Commissione europea</t>
  </si>
  <si>
    <t xml:space="preserve">Istituzione UE</t>
  </si>
  <si>
    <t xml:space="preserve">Proposta di regolamento Cybersecurity Act 2, COM(2026) 11, scheda finanziaria (documento del Consiglio 5611/26)</t>
  </si>
  <si>
    <t xml:space="preserve">20/01/2026</t>
  </si>
  <si>
    <t xml:space="preserve">https://data.consilium.europa.eu/doc/document/ST-5611-2026-INIT/en/pdf</t>
  </si>
  <si>
    <t xml:space="preserve">ENISA yearly average budget (projection 2028-2034)</t>
  </si>
  <si>
    <t xml:space="preserve">Bilancio annuo medio previsto di ENISA nel periodo 2028-2034 secondo la proposta di Cybersecurity Act 2.</t>
  </si>
  <si>
    <t xml:space="preserve">Budget pubblico dedicato</t>
  </si>
  <si>
    <t xml:space="preserve">Totale aggregato</t>
  </si>
  <si>
    <t xml:space="preserve">Nessuna</t>
  </si>
  <si>
    <t xml:space="preserve">Totale</t>
  </si>
  <si>
    <t xml:space="preserve">milioni</t>
  </si>
  <si>
    <t xml:space="preserve">EUR</t>
  </si>
  <si>
    <t xml:space="preserve">Previsione</t>
  </si>
  <si>
    <t xml:space="preserve">PA</t>
  </si>
  <si>
    <t xml:space="preserve">Non specificato</t>
  </si>
  <si>
    <t xml:space="preserve">Non determinabile</t>
  </si>
  <si>
    <t xml:space="preserve">Dedotta. Dotazione di bilancio pubblico, non stima di mercato.</t>
  </si>
  <si>
    <t xml:space="preserve">Non dichiarato</t>
  </si>
  <si>
    <t xml:space="preserve">Dotazione di bilancio programmata, nessuna stima statistica.</t>
  </si>
  <si>
    <t xml:space="preserve">estimated at EUR 341 million for 7 years or yearly average budget of EUR 49 million (projection for 2028 to 2034).</t>
  </si>
  <si>
    <t xml:space="preserve">B</t>
  </si>
  <si>
    <t xml:space="preserve">Pubblico</t>
  </si>
  <si>
    <t xml:space="preserve">Sì</t>
  </si>
  <si>
    <t xml:space="preserve">Letto da estratto indicizzato della pagina. Media annua 2028-2034 registrata sul primo anno del periodo.</t>
  </si>
  <si>
    <t xml:space="preserve">Estimated budget of the EU Cybersecurity Agency (ENISA), 2028-2034</t>
  </si>
  <si>
    <t xml:space="preserve">Bilancio stimato di ENISA per i sette anni 2028-2034 nella proposta di Cybersecurity Act 2, pari a 49 milioni annui in media.</t>
  </si>
  <si>
    <t xml:space="preserve">budget of the EU Cybersecurity Agency (ENISA) ... was estimated at EUR 341 million for 7 years or yearly average budget of EUR 49 million</t>
  </si>
  <si>
    <t xml:space="preserve">Letto da estratto indicizzato della pagina. Totale settennale registrato sull'anno di chiusura. Aumento dell'81,5% rispetto al bilancio 2025.</t>
  </si>
  <si>
    <t xml:space="preserve">EC-CYBERSOLIDARITY-2023</t>
  </si>
  <si>
    <t xml:space="preserve">Comunicato stampa IP/23/2243, Cyber Solidarity Act</t>
  </si>
  <si>
    <t xml:space="preserve">18/04/2023</t>
  </si>
  <si>
    <t xml:space="preserve">https://ec.europa.eu/commission/presscorner/api/files/document/print/en/ip_23_2243/IP_23_2243_EN.pdf</t>
  </si>
  <si>
    <t xml:space="preserve">Total budget for all actions under the EU Cyber Solidarity Act</t>
  </si>
  <si>
    <t xml:space="preserve">Bilancio complessivo delle azioni del Cyber Solidarity Act, finanziato per circa due terzi dal programma Europa digitale.</t>
  </si>
  <si>
    <t xml:space="preserve">miliardi</t>
  </si>
  <si>
    <t xml:space="preserve">Imprese e PA</t>
  </si>
  <si>
    <t xml:space="preserve">total budget for all actions under the EU Cyber Solidarity Act is of EUR 1.1 billion, of which about 2/3</t>
  </si>
  <si>
    <t xml:space="preserve">Letto da estratto indicizzato della pagina. Include contributi degli Stati membri. Periodo fino al 2027 dedotto dal quadro finanziario pluriennale.</t>
  </si>
  <si>
    <t xml:space="preserve">EC-DEPBROCHURE-2019</t>
  </si>
  <si>
    <t xml:space="preserve">Digital Europe for a more competitive, autonomous and sustainable Europe, brochure</t>
  </si>
  <si>
    <t xml:space="preserve">23/09/2019</t>
  </si>
  <si>
    <t xml:space="preserve">https://digital-strategy.ec.europa.eu/en/library/digital-europe-more-competitive-autonomous-and-sustainable-europe-brochure</t>
  </si>
  <si>
    <t xml:space="preserve">Digital Europe programme budget 2021-2027, Cybersecurity</t>
  </si>
  <si>
    <t xml:space="preserve">Quota cybersecurity della dotazione proposta del programma Europa digitale 2021-2027 pari a 7,58 miliardi.</t>
  </si>
  <si>
    <t xml:space="preserve">€7.58 billion for High Performance Computing (€2.2 billion) Artificial Intelligence (€2 billion) Cybersecurity (€1.6 billion)</t>
  </si>
  <si>
    <t xml:space="preserve">Letto da estratto indicizzato della pagina. Dotazione proposta 2021-2027, registrata sull'anno di chiusura del periodo. Verifica finale 08/10/2026, valore confermato sulla fonte. Dotazione proposta nel 2019 per il periodo 2021-2027 confermata.</t>
  </si>
  <si>
    <t xml:space="preserve">EC-DEPCYBER-2026</t>
  </si>
  <si>
    <t xml:space="preserve">EU cybersecurity policies, pagina Shaping Europe's digital future</t>
  </si>
  <si>
    <t xml:space="preserve">30/09/2026</t>
  </si>
  <si>
    <t xml:space="preserve">https://digital-strategy.ec.europa.eu/en/policies/cybersecurity-policies</t>
  </si>
  <si>
    <t xml:space="preserve">Digital Europe Programme investment into cybersecurity capacity</t>
  </si>
  <si>
    <t xml:space="preserve">Dotazione del programma Europa digitale 2021-2027 per capacità e infrastrutture di cybersecurity per PA, imprese e cittadini.</t>
  </si>
  <si>
    <t xml:space="preserve">plans to invest €1.9 billion into cybersecurity capacity and the wide deployment of cybersecurity infrastructures and tools across the EU</t>
  </si>
  <si>
    <t xml:space="preserve">Letto da estratto indicizzato della pagina. Dotazione pluriennale 2021-2027, registrata sull'anno di chiusura del periodo. Valore diverso da 1,6 miliardi della proposta 2019 e da 2 miliardi della proposta 2018.</t>
  </si>
  <si>
    <t xml:space="preserve">EC-DEPNEWS-2025</t>
  </si>
  <si>
    <t xml:space="preserve">Digital Europe Programme fuels digital transformation and skills development across Europe</t>
  </si>
  <si>
    <t xml:space="preserve">18/12/2025</t>
  </si>
  <si>
    <t xml:space="preserve">https://digital-strategy.ec.europa.eu/en/news/digital-europe-programme-fuels-digital-transformation-and-skills-development-across-europe</t>
  </si>
  <si>
    <t xml:space="preserve">DIGITAL funding for Security Operations Centres (Cyber Hubs) 2021-2024</t>
  </si>
  <si>
    <t xml:space="preserve">Fondi del programma Europa digitale destinati tra 2021 e 2024 alla creazione e gestione di centri operativi di sicurezza (Cyber Hubs).</t>
  </si>
  <si>
    <t xml:space="preserve">Segmento di offerta</t>
  </si>
  <si>
    <t xml:space="preserve">Centri operativi di sicurezza (SOC)</t>
  </si>
  <si>
    <t xml:space="preserve">Consuntivo</t>
  </si>
  <si>
    <t xml:space="preserve">Between 2021 and 2024 over €194 million was dedicated towards the creation and operation of Security Operations Centres</t>
  </si>
  <si>
    <t xml:space="preserve">Letto da estratto indicizzato della pagina. Cumulato 2021-2024, pubblicato come oltre 194 milioni.</t>
  </si>
  <si>
    <t xml:space="preserve">EC-DIGITALDECADE-2024</t>
  </si>
  <si>
    <t xml:space="preserve">State of the Digital Decade 2024, COM(2024) 260 (copia IPEX)</t>
  </si>
  <si>
    <t xml:space="preserve">02/07/2024</t>
  </si>
  <si>
    <t xml:space="preserve">https://secure.ipex.eu/IPEXL-WEB/download/file/082d29089070f71e019072c2e24e0036</t>
  </si>
  <si>
    <t xml:space="preserve">National roadmaps measures addressing cybersecurity, public budget</t>
  </si>
  <si>
    <t xml:space="preserve">Bilancio pubblico delle misure delle prime roadmap nazionali del Decennio digitale riferite all'obiettivo cybersecurity.</t>
  </si>
  <si>
    <t xml:space="preserve">Bottom-up</t>
  </si>
  <si>
    <t xml:space="preserve">Somma del bilancio pubblico delle misure delle roadmap nazionali riferite all'obiettivo generale cybersecurity.</t>
  </si>
  <si>
    <t xml:space="preserve">they still encompass 414 measures addressing competitiveness (public budget EUR 56.8 billion), technological leadership (EUR 22.3 billion), and cybersecurity (EUR 5.9 billion).</t>
  </si>
  <si>
    <t xml:space="preserve">Letto da estratto indicizzato della pagina. Periodo di spesa non specificato, registrato sull'anno della relazione. Diverso dal valore 2025 (0,8 miliardi solo per misure esclusivamente cyber) per perimetro delle misure.</t>
  </si>
  <si>
    <t xml:space="preserve">EC-DIGITALDECADE-2025</t>
  </si>
  <si>
    <t xml:space="preserve">State of the Digital Decade 2025, allegato COM(2025) 290</t>
  </si>
  <si>
    <t xml:space="preserve">16/06/2025</t>
  </si>
  <si>
    <t xml:space="preserve">https://www.europarl.europa.eu/RegData/docs_autres_institutions/commission_europeenne/com/2025/0290/COM_COM(2025)0290(ANN)_EN.pdf</t>
  </si>
  <si>
    <t xml:space="preserve">National Roadmaps measures dedicated exclusively to cybersecurity, total budget</t>
  </si>
  <si>
    <t xml:space="preserve">Bilancio complessivo delle misure delle roadmap nazionali del Decennio digitale dedicate esclusivamente alla cybersecurity.</t>
  </si>
  <si>
    <t xml:space="preserve">Somma dei bilanci delle misure cyber dichiarate dagli Stati membri nelle roadmap nazionali del Decennio digitale.</t>
  </si>
  <si>
    <t xml:space="preserve">Almost half of these measures are dedicated exclusively to cybersecurity, with a total budget of EUR 0.8 billion.</t>
  </si>
  <si>
    <t xml:space="preserve">Letto da estratto indicizzato della pagina. Le altre misure a portata più ampia valgono 6 miliardi. Periodo di spesa non specificato, registrato sull'anno della relazione.</t>
  </si>
  <si>
    <t xml:space="preserve">EC-HEWP-2025</t>
  </si>
  <si>
    <t xml:space="preserve">Horizon Europe Work Programme 2025, 6. Civil Security for Society</t>
  </si>
  <si>
    <t xml:space="preserve">2025</t>
  </si>
  <si>
    <t xml:space="preserve">https://ec.europa.eu/info/funding-tenders/opportunities/docs/2021-2027/horizon/wp-call/2025/wp-6-civil-security-for-society_horizon-2025_en.pdf</t>
  </si>
  <si>
    <t xml:space="preserve">Indirectly managed action by the ECCC, Increased Cybersecurity call, indicative budget</t>
  </si>
  <si>
    <t xml:space="preserve">Bilancio indicativo 2025 del bando Horizon Europe Increased Cybersecurity gestito dall'ECCC.</t>
  </si>
  <si>
    <t xml:space="preserve">Ricerca e innovazione (Horizon Europe)</t>
  </si>
  <si>
    <t xml:space="preserve">Indicative budget: EUR 90.55 million from the 2025 budget APPENDIX - Indirectly managed action by the ECCC</t>
  </si>
  <si>
    <t xml:space="preserve">Letto da estratto indicizzato della pagina. Solo il bando cyber ECCC del 2025, non l'intero impegno Horizon Europe sulla cybersecurity.</t>
  </si>
  <si>
    <t xml:space="preserve">EC-IANIS2-2020</t>
  </si>
  <si>
    <t xml:space="preserve">SWD(2020) 345 final, Impact assessment report revisione direttiva NIS (allegati)</t>
  </si>
  <si>
    <t xml:space="preserve">16/12/2020</t>
  </si>
  <si>
    <t xml:space="preserve">https://www.eerstekamer.nl/bijlage/20210114/swd_2020_345_impact_assessment_7/document3/f=/vlfghch5jfhz.pdf</t>
  </si>
  <si>
    <t xml:space="preserve">Gartner, previsioni 2012-2020 sulla quota di spesa di sicurezza ICT e dati settoriali, citate dalla Commissione</t>
  </si>
  <si>
    <t xml:space="preserve">Average ICT security spending of the total turnover per sector</t>
  </si>
  <si>
    <t xml:space="preserve">Ipotesi della Commissione sulla spesa media di sicurezza ICT dei settori NIS nel 2020 in rapporto al fatturato.</t>
  </si>
  <si>
    <t xml:space="preserve">Rapporto di spesa</t>
  </si>
  <si>
    <t xml:space="preserve">Quota percentuale</t>
  </si>
  <si>
    <t xml:space="preserve">%</t>
  </si>
  <si>
    <t xml:space="preserve">Stima dell'anno in corso</t>
  </si>
  <si>
    <t xml:space="preserve">Spesa di sicurezza ICT (perimetro Gartner)</t>
  </si>
  <si>
    <t xml:space="preserve">Dedotta. Ipotesi della Commissione costruita su rapporti Gartner globali, non su dati di acquirenti o fornitori UE.</t>
  </si>
  <si>
    <t xml:space="preserve">Modello previsionale o econometrico</t>
  </si>
  <si>
    <t xml:space="preserve">Ipotesi di lavoro della valutazione d'impatto basata su previsioni Gartner 2012-2020 della spesa di sicurezza ICT in rapporto alla spesa ICT e al fatturato, aggiustabile di più o meno 3 punti per settore, applicata al fatturato dei settori NIS.</t>
  </si>
  <si>
    <t xml:space="preserve">the average ICT security spending of the total turnover per sector in 2020 is estimated to approx. 0.52%.</t>
  </si>
  <si>
    <t xml:space="preserve">Letto da estratto indicizzato della pagina. Prodotto di 9,14% di spesa ICT e 5,69% di spesa ICT sul fatturato. Rapporto direttamente confrontabile con modelli basati sul fatturato SBS. Verifica finale 08/10/2026, valore confermato sulla fonte. Valore e anno coincidono nella valutazione d'impatto NIS2.</t>
  </si>
  <si>
    <t xml:space="preserve">Average ICT security spending per sector, % of ICT spending</t>
  </si>
  <si>
    <t xml:space="preserve">Ipotesi della Commissione sulla spesa media di sicurezza ICT dei settori NIS nel 2020 in rapporto alla spesa ICT.</t>
  </si>
  <si>
    <t xml:space="preserve">the average ICT security spending per sector in 2020 is of approx. 9.14% of the ICT spending.</t>
  </si>
  <si>
    <t xml:space="preserve">Letto da estratto indicizzato della pagina. Ipotesi derivata da dati Gartner globali, non da misura UE. Documento ufficiale ospitato dal Senato dei Paesi Bassi.</t>
  </si>
  <si>
    <t xml:space="preserve">https://www.eerstekamer.nl/bijlage/20210114/swd_2020_345_impact_assessment_5/document3/f=/vlfghbk7smnk.pdf</t>
  </si>
  <si>
    <t xml:space="preserve">Average increase in ICT security spending for sectors currently under NIS scope</t>
  </si>
  <si>
    <t xml:space="preserve">Aumento medio previsto della spesa di sicurezza ICT per i settori già coperti dalla direttiva NIS nei tre o quattro anni successivi.</t>
  </si>
  <si>
    <t xml:space="preserve">Spesa o budget delle organizzazioni</t>
  </si>
  <si>
    <t xml:space="preserve">Variazione percentuale</t>
  </si>
  <si>
    <t xml:space="preserve">Settore</t>
  </si>
  <si>
    <t xml:space="preserve">Settori già NIS</t>
  </si>
  <si>
    <t xml:space="preserve">average 12% increase in ICT security spending is estimated for the sectors/services currently under the scope of the NIS Directive</t>
  </si>
  <si>
    <t xml:space="preserve">Letto da estratto indicizzato della pagina. Variazione cumulata sull'orizzonte, non annua.</t>
  </si>
  <si>
    <t xml:space="preserve">Average increase in ICT security spending for the new sectors/services added to the NIS scope</t>
  </si>
  <si>
    <t xml:space="preserve">Aumento medio previsto della spesa di sicurezza ICT per i nuovi settori NIS2 nei tre o quattro anni successivi.</t>
  </si>
  <si>
    <t xml:space="preserve">Nuovi settori NIS2</t>
  </si>
  <si>
    <t xml:space="preserve">Average 22% increase in ICT security spending for the new sectors/services added to the NIS scope in the next 3-4 years.</t>
  </si>
  <si>
    <t xml:space="preserve">ICT security spending in average per sector, % of ICT spending, after revised NIS Directive (current sectors)</t>
  </si>
  <si>
    <t xml:space="preserve">Quota prevista della spesa di sicurezza ICT sulla spesa ICT per i settori già NIS, tre o quattro anni dopo l'entrata in vigore della NIS2.</t>
  </si>
  <si>
    <t xml:space="preserve">ICT security spending in average per sector reaching about 11% of the ICT spending and 0.63% of the total turnover in three to four years</t>
  </si>
  <si>
    <t xml:space="preserve">Letto da estratto indicizzato della pagina. Orizzonte dichiarato tre o quattro anni dall'entrata in vigore, anno 2025 dedotto e approssimativo.</t>
  </si>
  <si>
    <t xml:space="preserve">ICT security spending in average per sector, % of total turnover, after revised NIS Directive (current sectors)</t>
  </si>
  <si>
    <t xml:space="preserve">Quota prevista della spesa di sicurezza ICT sul fatturato per i settori già NIS, tre o quattro anni dopo l'entrata in vigore della NIS2.</t>
  </si>
  <si>
    <t xml:space="preserve">Letto da estratto indicizzato della pagina. Anno 2025 dedotto e approssimativo.</t>
  </si>
  <si>
    <t xml:space="preserve">ICT security spending in average per sector, new sectors, % of ICT spending</t>
  </si>
  <si>
    <t xml:space="preserve">Quota prevista della spesa di sicurezza ICT sulla spesa ICT per i nuovi settori NIS2, tre o quattro anni dopo l'entrata in vigore.</t>
  </si>
  <si>
    <t xml:space="preserve">For the new sectors, this would translate into ICT security spending in average per sector reaching about 11.4% of the ICT spending and 0.65%</t>
  </si>
  <si>
    <t xml:space="preserve">Letto da estratto indicizzato della pagina. Anno 2025 dedotto e approssimativo. Verifica finale 08/10/2026, valore confermato sulla fonte. Quota prevista a tre o quattro anni dalla direttiva rivista, coerente con la riga.</t>
  </si>
  <si>
    <t xml:space="preserve">ICT security spending in average per sector, new sectors, % of total turnover</t>
  </si>
  <si>
    <t xml:space="preserve">Quota prevista della spesa di sicurezza ICT sul fatturato per i nuovi settori NIS2, tre o quattro anni dopo l'entrata in vigore.</t>
  </si>
  <si>
    <t xml:space="preserve">reaching about 11.4% of the ICT spending and 0.65% of the total turnover in three to four years</t>
  </si>
  <si>
    <t xml:space="preserve">Increase of ICT security spending per sector, Air transport</t>
  </si>
  <si>
    <t xml:space="preserve">Aumento complessivo previsto della spesa di sicurezza ICT nel trasporto aereo UE per effetto della NIS2.</t>
  </si>
  <si>
    <t xml:space="preserve">Trasporto aereo</t>
  </si>
  <si>
    <t xml:space="preserve">Imprese</t>
  </si>
  <si>
    <t xml:space="preserve">Air transport: an increase of EUR 0.27 billion per sector and EUR 1.18 million</t>
  </si>
  <si>
    <t xml:space="preserve">Letto da estratto indicizzato della pagina. Incremento di spesa, non livello. Verifica finale 08/10/2026, valore confermato sulla fonte. Incremento stimato per il trasporto aereo confermato.</t>
  </si>
  <si>
    <t xml:space="preserve">Total increase of ICT security spending per company, Electricity and gas</t>
  </si>
  <si>
    <t xml:space="preserve">Aumento previsto della spesa di sicurezza ICT per impresa del settore elettricità e gas per effetto della NIS2.</t>
  </si>
  <si>
    <t xml:space="preserve">Media per organizzazione</t>
  </si>
  <si>
    <t xml:space="preserve">Elettricità e gas</t>
  </si>
  <si>
    <t xml:space="preserve">Electricity and gas: a total increase of EUR 6 billion per sector and EUR 1.94 million per company.</t>
  </si>
  <si>
    <t xml:space="preserve">Letto da estratto indicizzato della pagina. Incremento medio per impresa, non livello.</t>
  </si>
  <si>
    <t xml:space="preserve">Total increase of ICT security spending per sector, Electricity and gas</t>
  </si>
  <si>
    <t xml:space="preserve">Aumento complessivo previsto della spesa di sicurezza ICT nel settore elettricità e gas UE per effetto della NIS2 in tre o quattro anni.</t>
  </si>
  <si>
    <t xml:space="preserve">Letto da estratto indicizzato della pagina. Incremento di spesa, non livello. Anno 2025 dedotto dall'orizzonte di tre o quattro anni.</t>
  </si>
  <si>
    <t xml:space="preserve">TECHNOPOLIS-DIGCAP-2026</t>
  </si>
  <si>
    <t xml:space="preserve">Commissione europea (studio di Technopolis Group)</t>
  </si>
  <si>
    <t xml:space="preserve">Study on the EU's critical digital capacities deployment beyond 2027, Annex 7 Technology Area Report Cybersecurity and digital identity technologies</t>
  </si>
  <si>
    <t xml:space="preserve">22/06/2026</t>
  </si>
  <si>
    <t xml:space="preserve">https://op.europa.eu/o/opportal-service/download-handler?identifier=fa9b11af-6d4a-11f1-ae88-01aa75ed71a1&amp;format=PDF&amp;language=en&amp;productionSystem=cellar</t>
  </si>
  <si>
    <t xml:space="preserve">Contribution of DIGITAL and CEF Digital to Cybersecurity by type of action</t>
  </si>
  <si>
    <t xml:space="preserve">Quota del contributo UE 2021-2027 all'area cybersecurity destinata a costruzione dell'ecosistema.</t>
  </si>
  <si>
    <t xml:space="preserve">Costruzione dell'ecosistema</t>
  </si>
  <si>
    <t xml:space="preserve">Elaborazione Technopolis su Digital Europe Dashboard e programmi di lavoro di DIGITAL e CEF Digital. Allocazione finale ancora soggetta a variazioni.</t>
  </si>
  <si>
    <t xml:space="preserve">ecosystem building (€851.7 m), technology deployment (€151.1 m), and digital infrastructure (€65.8 m).</t>
  </si>
  <si>
    <t xml:space="preserve">Letto da estratto indicizzato della pagina. Verifica finale 08/10/2026, valore confermato sulla fonte. Contributo DIGITAL e CEF Digital nel QFP 2021-2027, anno di chiusura 2027.</t>
  </si>
  <si>
    <t xml:space="preserve">Quota del contributo UE 2021-2027 all'area cybersecurity destinata a diffusione delle tecnologie.</t>
  </si>
  <si>
    <t xml:space="preserve">Diffusione delle tecnologie</t>
  </si>
  <si>
    <t xml:space="preserve">Quota del contributo UE 2021-2027 all'area cybersecurity destinata a infrastruttura digitale.</t>
  </si>
  <si>
    <t xml:space="preserve">Infrastruttura digitale</t>
  </si>
  <si>
    <t xml:space="preserve">Letto da estratto indicizzato della pagina.</t>
  </si>
  <si>
    <t xml:space="preserve">Contribution of DIGITAL and CEF Digital to the technology area of Cybersecurity (MFF 2021-2027)</t>
  </si>
  <si>
    <t xml:space="preserve">Contributo complessivo dei programmi Europa digitale e CEF Digital all'area cybersecurity nel quadro finanziario 2021-2027.</t>
  </si>
  <si>
    <t xml:space="preserve">the contribution of DIGITAL and CEF Digital to the technology area of Cybersecurity totals €1 149 m</t>
  </si>
  <si>
    <t xml:space="preserve">Letto da estratto indicizzato della pagina. Dotazione pluriennale 2021-2027 registrata sull'anno di chiusura.</t>
  </si>
  <si>
    <t xml:space="preserve">ECA-COMPENDIUM-2020</t>
  </si>
  <si>
    <t xml:space="preserve">Corte dei conti europea</t>
  </si>
  <si>
    <t xml:space="preserve">Audit Compendium Cybersecurity of the EU and its Member States</t>
  </si>
  <si>
    <t xml:space="preserve">12/2020</t>
  </si>
  <si>
    <t xml:space="preserve">https://www.eca.europa.eu/sites/cc/Lists/CCDocuments/Compendium_Cybersecurity/CC_Compendium_Cybersecurity_EN.pdf</t>
  </si>
  <si>
    <t xml:space="preserve">Commissione europea (stima citata in nota 65)</t>
  </si>
  <si>
    <t xml:space="preserve">EU funding for non-military cybersecurity per year 2014-2020</t>
  </si>
  <si>
    <t xml:space="preserve">Finanziamento UE annuo per la cybersecurity non militare nel periodo 2014-2020 secondo la Commissione, inferiore a 200 milioni.</t>
  </si>
  <si>
    <t xml:space="preserve">Spesa pubblica in cybersecurity</t>
  </si>
  <si>
    <t xml:space="preserve">Dedotta. La Corte riprende una stima della Commissione senza descriverne la costruzione.</t>
  </si>
  <si>
    <t xml:space="preserve">Ripreso da altra fonte</t>
  </si>
  <si>
    <t xml:space="preserve">Non dichiarata</t>
  </si>
  <si>
    <t xml:space="preserve">In total, EU funding for non-military cybersecurity has amounted to less than €200 million per year during the 2014-2020 period.</t>
  </si>
  <si>
    <t xml:space="preserve">D</t>
  </si>
  <si>
    <t xml:space="preserve">No</t>
  </si>
  <si>
    <t xml:space="preserve">Letto da estratto indicizzato della pagina. Valore soglia (meno di 200 milioni annui), media del periodo 2014-2020. Verifica finale 08/10/2026, valore confermato sulla fonte. Valore annuo massimo confermato nel compendio della Corte dei conti.</t>
  </si>
  <si>
    <t xml:space="preserve">Horizon 2020 allocation to cybersecurity and cybercrime projects 2014-2020</t>
  </si>
  <si>
    <t xml:space="preserve">Fondi Horizon 2020 assegnati a progetti di cybersecurity e cybercrime nel periodo 2014-2020, inclusi 450 milioni per il partenariato contrattuale.</t>
  </si>
  <si>
    <t xml:space="preserve">The EU's Horizon 2020 research programmes allocated about €600 million to cybersecurity and cybercrime projects for the period 2014-2020.</t>
  </si>
  <si>
    <t xml:space="preserve">Letto da estratto indicizzato della pagina. Cumulato 2014-2020 registrato sull'anno di chiusura. Verifica finale 08/10/2026, valore confermato sulla fonte. Stanziamento Horizon 2020 confermato, riferito al periodo 2014-2020.</t>
  </si>
  <si>
    <t xml:space="preserve">ECCC-DEPWP-2025</t>
  </si>
  <si>
    <t xml:space="preserve">ECCC, Centro europeo di competenza per la cibersicurezza</t>
  </si>
  <si>
    <t xml:space="preserve">ECCC Digital Europe Cybersecurity Work Programme 2025-2027 (Decisione GB/2025/4)</t>
  </si>
  <si>
    <t xml:space="preserve">03/2025</t>
  </si>
  <si>
    <t xml:space="preserve">https://cybersecurity-centre.europa.eu/document/download/8af166e1-69c5-4ccd-b38f-5a3ffe43ad73_en?filename=DEP%20WP2025-2027_March2025.pdf</t>
  </si>
  <si>
    <t xml:space="preserve">Budget for Cybersecurity actions covered by this Work Programme, by year</t>
  </si>
  <si>
    <t xml:space="preserve">Bilancio indicativo annuale delle azioni di cybersecurity del programma Europa digitale gestite dall'ECCC, anno 2025.</t>
  </si>
  <si>
    <t xml:space="preserve">TOTAL (in million EUR) 158 118 114 390</t>
  </si>
  <si>
    <t xml:space="preserve">Letto da estratto indicizzato della pagina. Valori indicativi soggetti a decisioni del consiglio di amministrazione, ridotti a circa 355 milioni complessivi dall'emendamento successivo. Verifica finale 08/10/2026, valore confermato sulla fonte. Prima colonna della ripartizione annuale 2025-2027 del programma di lavoro.</t>
  </si>
  <si>
    <t xml:space="preserve">Bilancio indicativo annuale delle azioni di cybersecurity del programma Europa digitale gestite dall'ECCC, anno 2026.</t>
  </si>
  <si>
    <t xml:space="preserve">Letto da estratto indicizzato della pagina. Valori indicativi soggetti a decisioni del consiglio di amministrazione, ridotti a circa 355 milioni complessivi dall'emendamento successivo. Verifica finale 08/10/2026, valore confermato sulla fonte. Seconda colonna della ripartizione annuale, corrispondente al 2026.</t>
  </si>
  <si>
    <t xml:space="preserve">Budget for Cybersecurity actions covered by this Work Programme, 2025-2027</t>
  </si>
  <si>
    <t xml:space="preserve">Bilancio complessivo delle azioni di cybersecurity del programma Europa digitale gestite dall'ECCC nel triennio 2025-2027.</t>
  </si>
  <si>
    <t xml:space="preserve">The budget for Cybersecurity actions covered by this Work Programme is of approximatively EUR 390 million30, distributed across 3 years from 2025 to 2027.</t>
  </si>
  <si>
    <t xml:space="preserve">Letto da estratto indicizzato della pagina. Totale triennale registrato sull'anno di chiusura. Comprende 42 milioni riportati dal 2022. Verifica finale 08/10/2026, valore confermato sulla fonte. Valore cumulato sul triennio 2025-2027 registrato con anno finale 2027.</t>
  </si>
  <si>
    <t xml:space="preserve">Bilancio indicativo annuale delle azioni di cybersecurity del programma Europa digitale gestite dall'ECCC, anno 2027.</t>
  </si>
  <si>
    <t xml:space="preserve">Letto da estratto indicizzato della pagina. Valori indicativi soggetti a decisioni del consiglio di amministrazione, ridotti a circa 355 milioni complessivi dall'emendamento successivo.</t>
  </si>
  <si>
    <t xml:space="preserve">ECCC-DEPWPAM2-2025</t>
  </si>
  <si>
    <t xml:space="preserve">ECCC Digital Europe Cybersecurity Work Programme 2025-2027, emendamento 2 (testo consolidato)</t>
  </si>
  <si>
    <t xml:space="preserve">https://cybersecurity-centre.europa.eu/document/download/a35f7be2-4464-43d3-a40f-6ec942036f48_en?filename=Amendment2cleanDEPcybersecurityWP2025-2027.pdf</t>
  </si>
  <si>
    <t xml:space="preserve">Budget for Cybersecurity actions covered by this Work Programme (amended)</t>
  </si>
  <si>
    <t xml:space="preserve">Bilancio rivisto delle azioni di cybersecurity ECCC 2025-2027 dopo la riallocazione di 35 milioni alle AI Gigafactories.</t>
  </si>
  <si>
    <t xml:space="preserve">The budget for Cybersecurity actions covered by this Work Programme is of approximatively EUR 355 million31, distributed across 3 years from 2025 to 2027.</t>
  </si>
  <si>
    <t xml:space="preserve">Letto da estratto indicizzato della pagina. Totale triennale registrato sull'anno di chiusura.</t>
  </si>
  <si>
    <t xml:space="preserve">Updated indicative proposal for the distribution of the budget</t>
  </si>
  <si>
    <t xml:space="preserve">Ripartizione indicativa del bilancio cyber ECCC 2025-2027 per area, voce attuazione del cyber solidarity act e allerta.</t>
  </si>
  <si>
    <t xml:space="preserve">Attuazione del Cyber Solidarity Act e allerta</t>
  </si>
  <si>
    <t xml:space="preserve">EUR 97 million for the implementation of Cyber Solidarity Act, consolidation of European Cybersecurity Alert System</t>
  </si>
  <si>
    <t xml:space="preserve">Ripartizione indicativa del bilancio cyber ECCC 2025-2027 per area, voce nuove tecnologie, ia e transizione post-quantistica.</t>
  </si>
  <si>
    <t xml:space="preserve">Nuove tecnologie, IA e transizione post-quantistica</t>
  </si>
  <si>
    <t xml:space="preserve">EUR 139 million for new technologies and cybersecurity, the deployment of Artificial Intelligence &amp; cybersecurity and the post-quantum transition.</t>
  </si>
  <si>
    <t xml:space="preserve">Ripartizione indicativa del bilancio cyber ECCC 2025-2027 per area, voce supporto al programma.</t>
  </si>
  <si>
    <t xml:space="preserve">Supporto al programma</t>
  </si>
  <si>
    <t xml:space="preserve">EUR 9 million for programme support actions, including evaluations and reviews.</t>
  </si>
  <si>
    <t xml:space="preserve">Ripartizione indicativa del bilancio cyber ECCC 2025-2027 per area, voce ulteriori azioni di resilienza ue.</t>
  </si>
  <si>
    <t xml:space="preserve">Ulteriori azioni di resilienza UE</t>
  </si>
  <si>
    <t xml:space="preserve">EUR 110 million for additional actions improving EU resilience.</t>
  </si>
  <si>
    <t xml:space="preserve">ECCC-SPD-2024</t>
  </si>
  <si>
    <t xml:space="preserve">ECCC Single Programming Document 2024-2026 (Decisione GB 2023/8)</t>
  </si>
  <si>
    <t xml:space="preserve">01/2024</t>
  </si>
  <si>
    <t xml:space="preserve">https://cybersecurity-centre.europa.eu/system/files/2024-01/ECCC%20GB%20Decision%20No%202023_8%20ECCC%20final%20SPD%202024-2026.pdf</t>
  </si>
  <si>
    <t xml:space="preserve">Estimated budget for ECCC in the Cybersecurity part of DEP during 2023-2024</t>
  </si>
  <si>
    <t xml:space="preserve">Bilancio stimato per l'ECCC nella parte cybersecurity del programma Europa digitale nel biennio 2023-2024.</t>
  </si>
  <si>
    <t xml:space="preserve">The estimated budget for ECCC in the Cybersecurity part of DEP during the 2-year period 2023-2024 is approximately EUR 375 million.</t>
  </si>
  <si>
    <t xml:space="preserve">Letto da estratto indicizzato della pagina. Totale biennale registrato sull'anno di chiusura.</t>
  </si>
  <si>
    <t xml:space="preserve">Total estimated revenue for ECCC (EUR)</t>
  </si>
  <si>
    <t xml:space="preserve">Entrate totali stimate dell'ECCC per l'anno 2024 nel documento di programmazione 2024-2026.</t>
  </si>
  <si>
    <t xml:space="preserve">Total estimated revenue for ECCC (EUR) 23 218.831.127,16 125.766.680,63 126.032.746,58</t>
  </si>
  <si>
    <t xml:space="preserve">Letto da estratto indicizzato della pagina. Pubblicato in euro, convertito in milioni con arrotondamento a sei decimali. Entrate dell'agenzia, include fondi per bandi. Verifica finale 08/10/2026, valore confermato sulla fonte. Entrate stimate 2024 pari a 218,83 milioni EUR, confermate.</t>
  </si>
  <si>
    <t xml:space="preserve">Entrate totali stimate dell'ECCC per l'anno 2025 nel documento di programmazione 2024-2026.</t>
  </si>
  <si>
    <t xml:space="preserve">Letto da estratto indicizzato della pagina. Pubblicato in euro, convertito in milioni con arrotondamento a sei decimali. Entrate dell'agenzia, include fondi per bandi.</t>
  </si>
  <si>
    <t xml:space="preserve">Entrate totali stimate dell'ECCC per l'anno 2026 nel documento di programmazione 2024-2026.</t>
  </si>
  <si>
    <t xml:space="preserve">ECSO-MARKET-2024</t>
  </si>
  <si>
    <t xml:space="preserve">ECSO, European Cyber Security Organisation</t>
  </si>
  <si>
    <t xml:space="preserve">Associazione</t>
  </si>
  <si>
    <t xml:space="preserve">ECSO Cybersecurity Market Analysis and Recommendations v1.1</t>
  </si>
  <si>
    <t xml:space="preserve">19/12/2024</t>
  </si>
  <si>
    <t xml:space="preserve">https://ecs-org.eu/ecso-uploads/2024/12/ECSO-Cybersecurity-Market-Analysis-and-Recommendations-v1.1.pdf</t>
  </si>
  <si>
    <t xml:space="preserve">Analisi di mercato del progetto ECCO, adattata da ECSO</t>
  </si>
  <si>
    <t xml:space="preserve">European Market: EU</t>
  </si>
  <si>
    <t xml:space="preserve">Dimensione del mercato UE della cybersecurity secondo ECSO, con crescita media del 10%.</t>
  </si>
  <si>
    <t xml:space="preserve">Mercato domestico</t>
  </si>
  <si>
    <t xml:space="preserve">Crescita media 10%</t>
  </si>
  <si>
    <t xml:space="preserve">Dedotta. Il documento non descrive come è costruito il valore.</t>
  </si>
  <si>
    <t xml:space="preserve">Non dichiarata. Valori adattati dall'analisi di mercato del progetto ECCO.</t>
  </si>
  <si>
    <t xml:space="preserve">European Market: EU €30 billion; 10% ave. growth.</t>
  </si>
  <si>
    <t xml:space="preserve">Letto da estratto indicizzato della pagina. Anno non dichiarato per il dato UE, dedotto 2024 dal dato globale dello stesso riquadro. Verifica finale 08/10/2026, valore confermato sulla fonte. Valore confermato. L'estratto non indica l'anno, coerente con la pubblicazione di dicembre 2024.</t>
  </si>
  <si>
    <t xml:space="preserve">Market share</t>
  </si>
  <si>
    <t xml:space="preserve">Quota di mercato della voce finanza nel riquadro ECSO sul mercato della cybersecurity.</t>
  </si>
  <si>
    <t xml:space="preserve">Finanza</t>
  </si>
  <si>
    <t xml:space="preserve">MARKET SHARE Finance (30%) Government (18%) Majority of others (about 10%) Security Services (&gt;40%) Infrastructure protection (15%) Network Security (11%)</t>
  </si>
  <si>
    <t xml:space="preserve">Letto da estratto indicizzato della pagina. Non è chiaro se le quote si riferiscano al mercato UE o globale.</t>
  </si>
  <si>
    <t xml:space="preserve">Quota di mercato della voce protezione delle infrastrutture nel riquadro ECSO sul mercato della cybersecurity.</t>
  </si>
  <si>
    <t xml:space="preserve">Protezione delle infrastrutture</t>
  </si>
  <si>
    <t xml:space="preserve">Quota di mercato della voce pubblica amministrazione nel riquadro ECSO sul mercato della cybersecurity.</t>
  </si>
  <si>
    <t xml:space="preserve">Tipo di cliente</t>
  </si>
  <si>
    <t xml:space="preserve">Pubblica amministrazione</t>
  </si>
  <si>
    <t xml:space="preserve">Quota di mercato della voce servizi di sicurezza nel riquadro ECSO sul mercato della cybersecurity.</t>
  </si>
  <si>
    <t xml:space="preserve">Servizi di sicurezza</t>
  </si>
  <si>
    <t xml:space="preserve">Letto da estratto indicizzato della pagina. Non è chiaro se le quote si riferiscano al mercato UE o globale. Pubblicato come oltre 40%. Verifica finale 08/10/2026, valore confermato sulla fonte. Quota confermata, nella fonte è un limite inferiore oltre il 40 per cento.</t>
  </si>
  <si>
    <t xml:space="preserve">Quota di mercato della voce sicurezza di rete nel riquadro ECSO sul mercato della cybersecurity.</t>
  </si>
  <si>
    <t xml:space="preserve">Sicurezza di rete</t>
  </si>
  <si>
    <t xml:space="preserve">ENISA-CAAR-2025</t>
  </si>
  <si>
    <t xml:space="preserve">ENISA</t>
  </si>
  <si>
    <t xml:space="preserve">2024 Consolidated Annual Activity Report</t>
  </si>
  <si>
    <t xml:space="preserve">06/2025</t>
  </si>
  <si>
    <t xml:space="preserve">https://www.enisa.europa.eu/sites/default/files/2025-06/Consolidated%20Annual%20Activity%20Report%202024.pdf</t>
  </si>
  <si>
    <t xml:space="preserve">ENISA operating budget</t>
  </si>
  <si>
    <t xml:space="preserve">Bilancio di funzionamento di ENISA, agenzia UE per la cibersicurezza, nell'anno 2023.</t>
  </si>
  <si>
    <t xml:space="preserve">Rendiconto di bilancio dell'agenzia.</t>
  </si>
  <si>
    <t xml:space="preserve">During 2024, ENISA operated with a budget of EUR 26.2 million compared with the 2023 budget of EUR 25.2 million.</t>
  </si>
  <si>
    <t xml:space="preserve">Bilancio di funzionamento di ENISA, agenzia UE per la cibersicurezza, nell'anno 2024.</t>
  </si>
  <si>
    <t xml:space="preserve">Letto da estratto indicizzato della pagina. Verifica finale 08/10/2026, valore confermato sulla fonte. Bilancio 2024 dell'agenzia confermato.</t>
  </si>
  <si>
    <t xml:space="preserve">ENISA-NISINV-2020</t>
  </si>
  <si>
    <t xml:space="preserve">ENISA, Agenzia dell'Unione europea per la cibersicurezza</t>
  </si>
  <si>
    <t xml:space="preserve">NIS Investments Report 2020 (prima edizione)</t>
  </si>
  <si>
    <t xml:space="preserve">11/12/2020</t>
  </si>
  <si>
    <t xml:space="preserve">https://www.enisa.europa.eu/sites/default/files/publications/ENISA%20-%20NIS%20Investments%20Report.pdf</t>
  </si>
  <si>
    <t xml:space="preserve">Average budget for NIS Directive implementation projects</t>
  </si>
  <si>
    <t xml:space="preserve">Budget medio per organizzazione dedicato ai progetti di attuazione della direttiva NIS, campione di operatori di cinque Stati membri.</t>
  </si>
  <si>
    <t xml:space="preserve">Attuazione della direttiva NIS</t>
  </si>
  <si>
    <t xml:space="preserve">migliaia</t>
  </si>
  <si>
    <t xml:space="preserve">hardware, software, personale interno, collaboratori, outsourcing (CAPEX e OPEX)</t>
  </si>
  <si>
    <t xml:space="preserve">Domanda (end user)</t>
  </si>
  <si>
    <t xml:space="preserve">Dichiarata</t>
  </si>
  <si>
    <t xml:space="preserve">Survey a 251 operatori OES e DSP di Francia, Germania, Italia, Spagna e Polonia, correlata con dati Gartner globali ed europei non legati alla survey.</t>
  </si>
  <si>
    <t xml:space="preserve">The average budget for NIS Directive implementation projects is approximately 175 K€, with 42.7% of affected organisations allocating between 100 and 250 K€.</t>
  </si>
  <si>
    <t xml:space="preserve">Letto da estratto indicizzato della pagina. Campione limitato a FR, DE, IT, ES e PL, registrato come EU27 in assenza di un codice dedicato. Anno di riferimento non esplicitato, dedotto dall'anno dell'indagine. Valore per singola organizzazione del campione NIS, non moltiplicabile per il numero di imprese.</t>
  </si>
  <si>
    <t xml:space="preserve">ENISA-NISINV-2021</t>
  </si>
  <si>
    <t xml:space="preserve">NIS Investments 2021 (seconda edizione)</t>
  </si>
  <si>
    <t xml:space="preserve">17/11/2021</t>
  </si>
  <si>
    <t xml:space="preserve">https://www.enisa.europa.eu/sites/default/files/publications/ENISA%20Report%20-%20NIS%20Investments%202021.pdf</t>
  </si>
  <si>
    <t xml:space="preserve">Average spending for information security of a typical OES/DSP</t>
  </si>
  <si>
    <t xml:space="preserve">Spesa media in sicurezza informatica per operatore OES o DSP nel 2020.</t>
  </si>
  <si>
    <t xml:space="preserve">Survey di mercato dedicata a 947 organizzazioni identificate come OES o DSP, almeno 35 per Stato membro. Spesa 2020 autodichiarata comprensiva di CAPEX e OPEX per hardware, software, personale interno, collaboratori e outsourcing. Mediane e medie del campione.</t>
  </si>
  <si>
    <t xml:space="preserve">median spending for information security of a typical OES/DSP was EUR 2 million in 2020, while the average spending was EUR 10.4 million</t>
  </si>
  <si>
    <t xml:space="preserve">A</t>
  </si>
  <si>
    <t xml:space="preserve">Letto da estratto indicizzato della pagina. Valore per singola organizzazione del campione NIS, non moltiplicabile per il numero di imprese.</t>
  </si>
  <si>
    <t xml:space="preserve">Information security spending as a share of IT spending (average)</t>
  </si>
  <si>
    <t xml:space="preserve">Quota media della spesa di sicurezza sul budget IT degli operatori OES e DSP nel 2020.</t>
  </si>
  <si>
    <t xml:space="preserve">a typical OES/DSP in the EU earmarks 7.7 % of its IT investments for information security, while the average value is 8.8 %</t>
  </si>
  <si>
    <t xml:space="preserve">Information security spending as a share of IT spending (median)</t>
  </si>
  <si>
    <t xml:space="preserve">Quota mediana della spesa di sicurezza sul budget IT degli operatori OES e DSP nel 2020.</t>
  </si>
  <si>
    <t xml:space="preserve">Letto da estratto indicizzato della pagina. Verifica finale 08/10/2026, valore confermato sulla fonte. Mediana per organizzazione su dati 2020.</t>
  </si>
  <si>
    <t xml:space="preserve">Information security spending per sector (median)</t>
  </si>
  <si>
    <t xml:space="preserve">Spesa mediana in sicurezza informatica per operatore del settore banche nel 2020.</t>
  </si>
  <si>
    <t xml:space="preserve">Mediana per organizzazione</t>
  </si>
  <si>
    <t xml:space="preserve">Banche</t>
  </si>
  <si>
    <t xml:space="preserve">the banking sector (EUR 4 million) and the energy sector (EUR 3 million) account for the highest median spending per sector.</t>
  </si>
  <si>
    <t xml:space="preserve">Spesa mediana in sicurezza informatica per operatore del settore energia nel 2020.</t>
  </si>
  <si>
    <t xml:space="preserve">Energia</t>
  </si>
  <si>
    <t xml:space="preserve">Letto da estratto indicizzato della pagina. Valore per singola organizzazione del campione NIS, non moltiplicabile per il numero di imprese. Verifica finale 08/10/2026, valore confermato sulla fonte. Mediana per organizzazione del settore energia.</t>
  </si>
  <si>
    <t xml:space="preserve">Median spending for information security of a typical OES/DSP</t>
  </si>
  <si>
    <t xml:space="preserve">Spesa mediana in sicurezza informatica per operatore OES o DSP nel 2020.</t>
  </si>
  <si>
    <t xml:space="preserve">Letto da estratto indicizzato della pagina. Valore per singola organizzazione del campione NIS, non moltiplicabile per il numero di imprese. Valori 2020 molto superiori a quelli 2021 dell'edizione successiva, segno di forte variabilità campionaria.</t>
  </si>
  <si>
    <t xml:space="preserve">NIS Directive implementation spending as share of information security spending (median)</t>
  </si>
  <si>
    <t xml:space="preserve">Quota mediana della spesa per l'attuazione della direttiva NIS sulla spesa complessiva di sicurezza nel 2020.</t>
  </si>
  <si>
    <t xml:space="preserve">spending on implementing the NIS directive within an OES/DSP amounts to 5.1 % of their overall information security spending</t>
  </si>
  <si>
    <t xml:space="preserve">Letto da estratto indicizzato della pagina. Verifica finale 08/10/2026, valore confermato sulla fonte. Mediana, la media è 10,5 per cento.</t>
  </si>
  <si>
    <t xml:space="preserve">Spending on implementing the NIS Directive (average)</t>
  </si>
  <si>
    <t xml:space="preserve">Spesa media per operatore dedicata all'attuazione dei requisiti della direttiva NIS nel 2020.</t>
  </si>
  <si>
    <t xml:space="preserve">unità</t>
  </si>
  <si>
    <t xml:space="preserve">a typical OES/DSP in the EU spends EUR 40 000 on implementing the NIS Directive, while on average the spending amounts to EUR 98 000</t>
  </si>
  <si>
    <t xml:space="preserve">Spending on implementing the NIS Directive (median)</t>
  </si>
  <si>
    <t xml:space="preserve">Spesa mediana per operatore dedicata all'attuazione dei requisiti della direttiva NIS nel 2020, quota della spesa di sicurezza.</t>
  </si>
  <si>
    <t xml:space="preserve">Letto da estratto indicizzato della pagina. Sottoinsieme della spesa di sicurezza. Valore per singola organizzazione del campione NIS, non moltiplicabile per il numero di imprese.</t>
  </si>
  <si>
    <t xml:space="preserve">ENISA-NISINV-2022</t>
  </si>
  <si>
    <t xml:space="preserve">NIS Investments 2022 (terza edizione)</t>
  </si>
  <si>
    <t xml:space="preserve">23/11/2022</t>
  </si>
  <si>
    <t xml:space="preserve">https://www.enisa.europa.eu/sites/default/files/publications/NIS%20Investments%202022.pdf</t>
  </si>
  <si>
    <t xml:space="preserve">Average percentage of IT budgets spent on IS</t>
  </si>
  <si>
    <t xml:space="preserve">Quota media della spesa di sicurezza sul budget IT degli operatori OES e DSP nel 2021.</t>
  </si>
  <si>
    <t xml:space="preserve">Survey dedicata a 1080 operatori OES e DSP dei 27 Stati membri. Spesa 2021 autodichiarata. Mediane e medie del campione, senza riporto all'universo. Gartner partner dello studio.</t>
  </si>
  <si>
    <t xml:space="preserve">an OES or DSP in the EU earmarks 6.7% of its IT investments for information security, while the average value is 7.2%</t>
  </si>
  <si>
    <t xml:space="preserve">Letto da estratto indicizzato della pagina. Verifica finale 08/10/2026, valore confermato sulla fonte. Valore medio 7,2 per cento riferito al 2021, survey presso operatori OES e DSP.</t>
  </si>
  <si>
    <t xml:space="preserve">Average spending for information security (IS) of an OES or DSP</t>
  </si>
  <si>
    <t xml:space="preserve">Spesa media in sicurezza informatica per operatore OES o DSP nel 2021.</t>
  </si>
  <si>
    <t xml:space="preserve">median spending for information security (IS) of an OES or DSP was EUR 600 000 in 2021, while the average spending was EUR 4 million</t>
  </si>
  <si>
    <t xml:space="preserve">Letto da estratto indicizzato della pagina. Valore per singola organizzazione del campione NIS, non moltiplicabile per il numero di imprese. Inclusione del personale interno dedotta per continuità con il questionario delle edizioni 2021 e 2023, che la dichiarano.</t>
  </si>
  <si>
    <t xml:space="preserve">CTI spending of an OES or DSP (average)</t>
  </si>
  <si>
    <t xml:space="preserve">Spesa media in cyber threat intelligence per operatore OES o DSP nel 2021.</t>
  </si>
  <si>
    <t xml:space="preserve">Cyber threat intelligence</t>
  </si>
  <si>
    <t xml:space="preserve">On median, an OES or DSP in the EU spends EUR 50 000 on CTI, while the average spending amounts to EUR 399 000.</t>
  </si>
  <si>
    <t xml:space="preserve">CTI spending of an OES or DSP (median)</t>
  </si>
  <si>
    <t xml:space="preserve">Spesa mediana in cyber threat intelligence per operatore OES o DSP nel 2021, componente della spesa di sicurezza.</t>
  </si>
  <si>
    <t xml:space="preserve">Letto da estratto indicizzato della pagina. Valore per singola organizzazione del campione NIS, non moltiplicabile per il numero di imprese. Verifica finale 08/10/2026, valore confermato sulla fonte. Mediana della spesa in threat intelligence riferita al 2021.</t>
  </si>
  <si>
    <t xml:space="preserve">IS spending per sector (median)</t>
  </si>
  <si>
    <t xml:space="preserve">Spesa mediana in sicurezza informatica per operatore del settore banche nel 2021.</t>
  </si>
  <si>
    <t xml:space="preserve">the Banking sector (EUR 2.5 million) has the highest IS spending, followed by the Healthcare (EUR 1.2 million) and Energy sectors (EUR 1.0 million).</t>
  </si>
  <si>
    <t xml:space="preserve">Spesa mediana in sicurezza informatica per operatore del settore energia nel 2021.</t>
  </si>
  <si>
    <t xml:space="preserve">Spesa mediana in sicurezza informatica per operatore del settore sanità nel 2021.</t>
  </si>
  <si>
    <t xml:space="preserve">Sanità</t>
  </si>
  <si>
    <t xml:space="preserve">Letto da estratto indicizzato della pagina. Valore per singola organizzazione del campione NIS, non moltiplicabile per il numero di imprese. Verifica finale 08/10/2026, valore confermato sulla fonte. Mediana settoriale sanità 1,2 milioni EUR, dati 2021 da survey presso gli operatori.</t>
  </si>
  <si>
    <t xml:space="preserve">IS spending per sector (median), Digital Infrastructure and Online Search Engines</t>
  </si>
  <si>
    <t xml:space="preserve">Spesa mediana in sicurezza informatica degli operatori di infrastrutture digitali e motori di ricerca nel 2021.</t>
  </si>
  <si>
    <t xml:space="preserve">Infrastrutture digitali e motori di ricerca online</t>
  </si>
  <si>
    <t xml:space="preserve">the information security spend of Digital Infrastructure and Online Search Engine companies is the lowest, amounting to a median spending of EUR 100 000.</t>
  </si>
  <si>
    <t xml:space="preserve">Letto da estratto indicizzato della pagina. Valore per singola organizzazione del campione NIS, non moltiplicabile per il numero di imprese. Verifica finale 08/10/2026, valore confermato sulla fonte. Mediana 100 000 EUR riferita al 2021.</t>
  </si>
  <si>
    <t xml:space="preserve">IS vs IT spending per sector (median)</t>
  </si>
  <si>
    <t xml:space="preserve">Quota della spesa di sicurezza sul budget IT nel settore cloud computing nel 2021.</t>
  </si>
  <si>
    <t xml:space="preserve">Cloud computing</t>
  </si>
  <si>
    <t xml:space="preserve">Digital Infrastructures maintain the highest IS vs IT spending (10%) in 2021, followed closely by Online Marketplaces (8.8%) and Cloud Computing (8.5%).</t>
  </si>
  <si>
    <t xml:space="preserve">Letto da estratto indicizzato della pagina. Non è esplicitato se si tratti di mediana o media, il capitolo usa di norma la mediana. Verifica finale 08/10/2026, valore confermato sulla fonte. Quota della spesa IS sulla spesa IT nel cloud computing, anno 2021.</t>
  </si>
  <si>
    <t xml:space="preserve">Quota della spesa di sicurezza sul budget IT nel settore infrastrutture digitali nel 2021.</t>
  </si>
  <si>
    <t xml:space="preserve">Infrastrutture digitali</t>
  </si>
  <si>
    <t xml:space="preserve">Letto da estratto indicizzato della pagina. Non è esplicitato se si tratti di mediana o media, il capitolo usa di norma la mediana.</t>
  </si>
  <si>
    <t xml:space="preserve">Quota della spesa di sicurezza sul budget IT nel settore mercati online nel 2021.</t>
  </si>
  <si>
    <t xml:space="preserve">Mercati online</t>
  </si>
  <si>
    <t xml:space="preserve">Median percentage of IT budgets spent on IS</t>
  </si>
  <si>
    <t xml:space="preserve">Quota mediana della spesa di sicurezza sul budget IT degli operatori OES e DSP nel 2021, in calo di un punto.</t>
  </si>
  <si>
    <t xml:space="preserve">Letto da estratto indicizzato della pagina. Inclusione del personale interno dedotta per continuità con il questionario delle edizioni 2021 e 2023, che la dichiarano.</t>
  </si>
  <si>
    <t xml:space="preserve">Median spending for information security (IS) of an OES or DSP</t>
  </si>
  <si>
    <t xml:space="preserve">Spesa mediana in sicurezza informatica per operatore OES o DSP nel 2021.</t>
  </si>
  <si>
    <t xml:space="preserve">ENISA-NISINV-2023</t>
  </si>
  <si>
    <t xml:space="preserve">NIS Investments 2023 (quarta edizione)</t>
  </si>
  <si>
    <t xml:space="preserve">16/11/2023</t>
  </si>
  <si>
    <t xml:space="preserve">https://www.enisa.europa.eu/sites/default/files/publications/CSPA%20-%20NIS%20Investments%20-%202023.pdf</t>
  </si>
  <si>
    <t xml:space="preserve">Average spending for information security (IS) of an OES and DSP</t>
  </si>
  <si>
    <t xml:space="preserve">Spesa media in sicurezza informatica per operatore OES o DSP nel 2022.</t>
  </si>
  <si>
    <t xml:space="preserve">Survey dedicata a 1080 operatori di servizi essenziali e fornitori di servizi digitali, 40 per Stato membro. Spesa 2022 autodichiarata comprensiva di CAPEX e OPEX per hardware, software, personale interno, collaboratori e outsourcing. Mediane e medie del campione, senza riporto all'universo.</t>
  </si>
  <si>
    <t xml:space="preserve">in the EU was 700 k€ in 2022, while the average expenditure was 5,1 M€</t>
  </si>
  <si>
    <t xml:space="preserve">Gartner, IT Key Metrics Data 2023 e Security Spend Analytics Workbench, citati da ENISA</t>
  </si>
  <si>
    <t xml:space="preserve">IS Spending as % of 2021 Revenues, European Union</t>
  </si>
  <si>
    <t xml:space="preserve">Spesa in sicurezza informatica in percentuale del fatturato 2021 delle organizzazioni UE nel benchmark Gartner citato da ENISA.</t>
  </si>
  <si>
    <t xml:space="preserve">Dedotta. ENISA presenta il dato come metrica di un peer group di organizzazioni UE (IT Key Metrics Data), cioè misurata presso gli utenti, non da ricavi dei vendor.</t>
  </si>
  <si>
    <t xml:space="preserve">Ripreso da Gartner IT Key Metrics Data. Peer group di organizzazioni UE escluso Cipro, valori medi. Campione e passaggi non dichiarati nel rapporto ENISA.</t>
  </si>
  <si>
    <t xml:space="preserve">Table 1: Information security spending metrics by region, 2022 ... IS Spending as % of 2021 Revenues ... European Union* 5,1% 4,5% 673€ 2,1%</t>
  </si>
  <si>
    <t xml:space="preserve">C</t>
  </si>
  <si>
    <t xml:space="preserve">Solo citato da terzi</t>
  </si>
  <si>
    <t xml:space="preserve">Letto da estratto indicizzato della pagina. Valore pubblicato sotto l'intestazione IS spending in percentuale dei ricavi 2021. Ordine di grandezza poco plausibile per la sola sicurezza (la valutazione d'impatto NIS2 ipotizza 0,52%), possibile errore di intestazione per la spesa IT. Da verificare sulla fonte Gartner.</t>
  </si>
  <si>
    <t xml:space="preserve">IS spending as a share of IT spending (average)</t>
  </si>
  <si>
    <t xml:space="preserve">Quota media della spesa di sicurezza sul budget IT degli operatori OES e DSP nel 2022.</t>
  </si>
  <si>
    <t xml:space="preserve">earmarks 7,1% of its IT investments for information security, while the average value is 7,6%</t>
  </si>
  <si>
    <t xml:space="preserve">IS spending as a share of IT spending (median)</t>
  </si>
  <si>
    <t xml:space="preserve">Quota mediana della spesa di sicurezza sul budget IT degli operatori OES e DSP nel 2022.</t>
  </si>
  <si>
    <t xml:space="preserve">IS spending per employee, European Union</t>
  </si>
  <si>
    <t xml:space="preserve">Spesa in sicurezza informatica per dipendente delle organizzazioni UE nel benchmark Gartner, la più bassa rispetto a Nord America e Asia Pacifico.</t>
  </si>
  <si>
    <t xml:space="preserve">IS spending per employee is also the lowest in the EU, at 673 €, while it is much higher in APAC (1050 €</t>
  </si>
  <si>
    <t xml:space="preserve">Letto da estratto indicizzato della pagina. Anno 2022 dal titolo della Tabella 1 (Information security spending metrics by region, 2022). Rapporto di spesa per addetto. Peer group UE senza Cipro.</t>
  </si>
  <si>
    <t xml:space="preserve">Spesa mediana in sicurezza informatica per operatore del settore banche nel 2022.</t>
  </si>
  <si>
    <t xml:space="preserve">The Banking sector has the highest IS spending (2,0 M€), followed by the Energy (1,9 M€) and Healthcare sectors (1,3 M€).</t>
  </si>
  <si>
    <t xml:space="preserve">Spesa mediana in sicurezza informatica per operatore del settore energia nel 2022.</t>
  </si>
  <si>
    <t xml:space="preserve">Letto da estratto indicizzato della pagina. Valore per singola organizzazione del campione NIS, non moltiplicabile per il numero di imprese. Verifica finale 08/10/2026, valore confermato sulla fonte. Valore del settore energia presente nel PDF ENISA NIS Investments 2023.</t>
  </si>
  <si>
    <t xml:space="preserve">Spesa mediana in sicurezza informatica per operatore del settore infrastrutture digitali nel 2022.</t>
  </si>
  <si>
    <t xml:space="preserve">the information security spending of Digital Infrastructure organisations is the lowest, amounting to a median spending of 100 000 €.</t>
  </si>
  <si>
    <t xml:space="preserve">Letto da estratto indicizzato della pagina. Valore per singola organizzazione del campione NIS, non moltiplicabile per il numero di imprese. Pubblicato come 100 000 euro, qui espresso in milioni.</t>
  </si>
  <si>
    <t xml:space="preserve">Spesa mediana in sicurezza informatica per operatore del settore sanità nel 2022.</t>
  </si>
  <si>
    <t xml:space="preserve">Letto da estratto indicizzato della pagina. Valore per singola organizzazione del campione NIS, non moltiplicabile per il numero di imprese. Verifica finale 08/10/2026, valore confermato sulla fonte. Valore del settore sanitario presente nel PDF ENISA NIS Investments 2023.</t>
  </si>
  <si>
    <t xml:space="preserve">Median spending for information security (IS) of an OES and DSP</t>
  </si>
  <si>
    <t xml:space="preserve">Spesa mediana in sicurezza informatica per operatore OES o DSP nel 2022.</t>
  </si>
  <si>
    <t xml:space="preserve">median spending for information security (IS) of an OES and DSP in the EU was 700 k€ 2022</t>
  </si>
  <si>
    <t xml:space="preserve">ENISA-NISINV-2024</t>
  </si>
  <si>
    <t xml:space="preserve">NIS Investments 2024 (quinta edizione)</t>
  </si>
  <si>
    <t xml:space="preserve">22/11/2024</t>
  </si>
  <si>
    <t xml:space="preserve">https://www.enisa.europa.eu/sites/default/files/2024-11/CSPA%20-%20NIS%20Investments%20-%202024_0.pdf</t>
  </si>
  <si>
    <t xml:space="preserve">Gartner, IT Key Metrics Data (peer group UE senza Cipro), citato da ENISA</t>
  </si>
  <si>
    <t xml:space="preserve">IS spending as % of IT spending 2022 (average), European Union</t>
  </si>
  <si>
    <t xml:space="preserve">Quota media della spesa di sicurezza sulla spesa IT delle organizzazioni UE nel benchmark Gartner, anno 2022, non limitata ai soggetti NIS.</t>
  </si>
  <si>
    <t xml:space="preserve">IS spending as % of IT spending 2022 (average) IS spending as % of IT spending 2023 (average) ... European Union* 5.1% 5.6%</t>
  </si>
  <si>
    <t xml:space="preserve">Letto da estratto indicizzato della pagina. Fonte primaria Gartner non consultabile. Perimetro organizzazioni UE in generale, diverso dal campione NIS.</t>
  </si>
  <si>
    <t xml:space="preserve">Average spending for information security (M€)</t>
  </si>
  <si>
    <t xml:space="preserve">Spesa media in sicurezza informatica per organizzazione in perimetro NIS2 nel 2023.</t>
  </si>
  <si>
    <t xml:space="preserve">Survey dedicata a 1350 organizzazioni, 50 per Stato membro, dei settori NIS2 ad alta criticità e del manifatturiero. Spesa 2023 autodichiarata comprensiva di CAPEX e OPEX per hardware, software, personale interno, collaboratori e outsourcing. Mediane e medie del campione, senza riporto all'universo.</t>
  </si>
  <si>
    <t xml:space="preserve">The median spending for information security of organisations in the EU was 1,4 M€ 2023, while the average expenditure was 6,7 M€</t>
  </si>
  <si>
    <t xml:space="preserve">Letto da estratto indicizzato della pagina. Media influenzata dalle grandi organizzazioni. Valore per singola organizzazione del campione NIS, non moltiplicabile per il numero di imprese.</t>
  </si>
  <si>
    <t xml:space="preserve">Information security spending per sector (average)</t>
  </si>
  <si>
    <t xml:space="preserve">Spesa media in sicurezza informatica per organizzazione del settore banche nel 2023.</t>
  </si>
  <si>
    <t xml:space="preserve">the Banking sector leads in information security investment with an average spending of € 13.9 million and a median of € 4.0 million</t>
  </si>
  <si>
    <t xml:space="preserve">Spesa media in sicurezza informatica per organizzazione del settore energia nel 2023.</t>
  </si>
  <si>
    <t xml:space="preserve">the Energy sector allocates an average of € 8.8 million and a median of € 2.5 million</t>
  </si>
  <si>
    <t xml:space="preserve">Spesa media in sicurezza informatica per organizzazione del settore pubblica amministrazione nel 2023.</t>
  </si>
  <si>
    <t xml:space="preserve">Public administration ranks third, with an average spending of € 7.6 million and a median of € 2.0 million</t>
  </si>
  <si>
    <t xml:space="preserve">Letto da estratto indicizzato della pagina. Valore per singola organizzazione del campione NIS, non moltiplicabile per il numero di imprese. Verifica finale 08/10/2026, valore confermato sulla fonte. Media della pubblica amministrazione 7,6 milioni EUR nel 2023.</t>
  </si>
  <si>
    <t xml:space="preserve">Spesa mediana in sicurezza informatica per organizzazione del settore banche nel 2023.</t>
  </si>
  <si>
    <t xml:space="preserve">Letto da estratto indicizzato della pagina. Valore per singola organizzazione del campione NIS, non moltiplicabile per il numero di imprese. Verifica finale 08/10/2026, valore confermato sulla fonte. Mediana bancaria 4,0 milioni EUR riferita al 2023.</t>
  </si>
  <si>
    <t xml:space="preserve">Spesa mediana in sicurezza informatica per organizzazione del settore energia nel 2023.</t>
  </si>
  <si>
    <t xml:space="preserve">Spesa mediana in sicurezza informatica per organizzazione del settore pubblica amministrazione nel 2023.</t>
  </si>
  <si>
    <t xml:space="preserve">Letto da estratto indicizzato della pagina. Valore per singola organizzazione del campione NIS, non moltiplicabile per il numero di imprese. Verifica finale 08/10/2026, valore confermato sulla fonte. Mediana della pubblica amministrazione 2,0 milioni EUR nel 2023.</t>
  </si>
  <si>
    <t xml:space="preserve">IS spending as % of IT spending 2023 (average), European Union</t>
  </si>
  <si>
    <t xml:space="preserve">Quota media della spesa di sicurezza sulla spesa IT delle organizzazioni UE nel benchmark Gartner, anno 2023, non limitata ai soggetti NIS.</t>
  </si>
  <si>
    <t xml:space="preserve">Quota media della spesa di sicurezza sul budget IT nel 2023.</t>
  </si>
  <si>
    <t xml:space="preserve">earmark 9,0% of their IT investments for information security, while the average value is 9,6%</t>
  </si>
  <si>
    <t xml:space="preserve">Quota mediana della spesa di sicurezza sul budget IT nel 2023, in aumento di 1,9 punti sul 2022.</t>
  </si>
  <si>
    <t xml:space="preserve">Letto da estratto indicizzato della pagina. Quota autodichiarata con personale interno.</t>
  </si>
  <si>
    <t xml:space="preserve">Median spending for information security (M€)</t>
  </si>
  <si>
    <t xml:space="preserve">Spesa mediana in sicurezza informatica per organizzazione in perimetro NIS2 nel 2023, raddoppiata rispetto a 0,7 milioni del 2022.</t>
  </si>
  <si>
    <t xml:space="preserve">ENISA-NISINV-2025</t>
  </si>
  <si>
    <t xml:space="preserve">NIS Investments 2025, Main report (sesta edizione)</t>
  </si>
  <si>
    <t xml:space="preserve">08/12/2025</t>
  </si>
  <si>
    <t xml:space="preserve">https://www.enisa.europa.eu/sites/default/files/2026-02/NIS%20Investments%202025%20-%20Main%20report.pdf</t>
  </si>
  <si>
    <t xml:space="preserve">Cybersecurity as a share of IT budget, average</t>
  </si>
  <si>
    <t xml:space="preserve">Quota media della spesa in cybersecurity sul budget IT nel 2024, in lieve calo per la riduzione presso i grandi spenditori.</t>
  </si>
  <si>
    <t xml:space="preserve">Survey con interviste telefoniche strutturate a 1080 professionisti di organizzazioni dei settori NIS2 ad alta criticità nei 27 Stati membri, 83% grandi imprese e 17% PMI. Spesa 2024 autodichiarata, CAPEX e OPEX per hardware, software, personale, collaboratori e outsourcing. Mediane e medie del campione, senza riporto all'universo.</t>
  </si>
  <si>
    <t xml:space="preserve">FIG. 3 - CYBERSECURITY AS A SHARE OF IT BUDGET ... Average Median ... 8,8% 17% 9,6% 12,8% 9,3% 11,7%</t>
  </si>
  <si>
    <t xml:space="preserve">Letto da estratto indicizzato della pagina. Valore letto da grafico (Fig. 3), serie medie 8,8% 7,2% 7,6% 9,6% 9,3%. Abbinamento all'anno dedotto dall'ordine della serie. Valore leggibile nell'estratto della versione del PDF ripubblicata a febbraio 2026. Verifica finale 08/10/2026, valore confermato sulla fonte. Valore letto dal grafico, coerente con il calo della media indicato nel testo.</t>
  </si>
  <si>
    <t xml:space="preserve">https://www.enisa.europa.eu/sites/default/files/2025-12/NIS%20Investments%202025%20-%20Main%20report.pdf</t>
  </si>
  <si>
    <t xml:space="preserve">Cybersecurity as a share of IT budget, median</t>
  </si>
  <si>
    <t xml:space="preserve">Quota mediana della spesa in cybersecurity sul budget IT delle organizzazioni del campione NIS2 nel 2024.</t>
  </si>
  <si>
    <t xml:space="preserve">Overall, cybersecurity budgets accounted for 9% of total IT budgets</t>
  </si>
  <si>
    <t xml:space="preserve">Letto da estratto indicizzato della pagina. Quota autodichiarata che include il personale interno, non confrontabile con rapporti di mercato.</t>
  </si>
  <si>
    <t xml:space="preserve">Cybersecurity spending, average (million €)</t>
  </si>
  <si>
    <t xml:space="preserve">Spesa media in cybersecurity per organizzazione del campione NIS2 nel 2024.</t>
  </si>
  <si>
    <t xml:space="preserve">FIG. 1 - IT &amp; CYBERSECURITY SPENDING (ABSOLUTE VALUES) ... CYBERSECURITY SPENDING (MILLION €) ... 10,4 5,1 6,7 6,9</t>
  </si>
  <si>
    <t xml:space="preserve">Letto da estratto indicizzato della pagina. Valore letto da grafico (Fig. 1). Abbinamento all'anno 2024 dedotto dall'ordine della serie 2020-2024 e dal testo che indica un aumento modesto della media. Valore per singola organizzazione del campione NIS, non moltiplicabile per il numero di imprese.</t>
  </si>
  <si>
    <t xml:space="preserve">Cybersecurity spending, median (million €)</t>
  </si>
  <si>
    <t xml:space="preserve">Spesa mediana in cybersecurity per organizzazione del campione NIS2 nel 2024, comprensiva di personale interno e outsourcing.</t>
  </si>
  <si>
    <t xml:space="preserve">Cybersecurity investment remains broadly in line with the levels reported in last year's study (9% of IT budgets; median 1.5 million euros)</t>
  </si>
  <si>
    <t xml:space="preserve">Letto da estratto indicizzato della pagina. Valore per singola organizzazione del campione NIS, non moltiplicabile per il numero di imprese. Il valore 1,5 compare anche nella serie della Fig. 1 accanto a 0,6, 0,7 e 1,4 degli anni precedenti.</t>
  </si>
  <si>
    <t xml:space="preserve">FRONTIER-NIS2COST-2023</t>
  </si>
  <si>
    <t xml:space="preserve">Frontier Economics (studio commissionato da Huawei)</t>
  </si>
  <si>
    <t xml:space="preserve">Società di consulenza</t>
  </si>
  <si>
    <t xml:space="preserve">Assessing the economic impact of EU initiatives on cybersecurity</t>
  </si>
  <si>
    <t xml:space="preserve">2023</t>
  </si>
  <si>
    <t xml:space="preserve">https://www.frontier-economics.com/media/izyk5rgz/assessing-the-economic-cost-of-eu-initiatives-on-cybersecurity.pdf</t>
  </si>
  <si>
    <t xml:space="preserve">Additional costs for businesses to implement NIS2 (per year)</t>
  </si>
  <si>
    <t xml:space="preserve">Costo annuo aggiuntivo per le imprese UE per attuare la NIS2, voce nuovi settori nis2, secondo Frontier Economics.</t>
  </si>
  <si>
    <t xml:space="preserve">personale specializzato, software, hardware, servizi di consulenza e outsourcing</t>
  </si>
  <si>
    <t xml:space="preserve">Dedotta. Il valore è costruito come costo di conformità per impresa applicato alle imprese dei settori NIS2.</t>
  </si>
  <si>
    <t xml:space="preserve">Studio commissionato da Huawei. Stima bottom-up dei costi aggiuntivi delle imprese per attuare la NIS2 (assunzione di specialisti e personale di supporto, software, hardware, servizi esterni), differenziati per dimensione e rischio settoriale, rapportati al fatturato dei settori interessati.</t>
  </si>
  <si>
    <t xml:space="preserve">the increase for the sectors within scope of NIS2 is €29.9 billion per year (0.32% of total revenue).</t>
  </si>
  <si>
    <t xml:space="preserve">Letto da estratto indicizzato della pagina. Spesa incrementale annua a regime, non livello totale della spesa cyber. Anno non dichiarato, registrato 2025 dopo il recepimento della NIS2. Include personale interno.</t>
  </si>
  <si>
    <t xml:space="preserve">Costo annuo aggiuntivo per le imprese UE per attuare la NIS2, voce settori già regolati nis, secondo Frontier Economics.</t>
  </si>
  <si>
    <t xml:space="preserve">Settori già regolati NIS</t>
  </si>
  <si>
    <t xml:space="preserve">The impact of those sectors already regulated under NIS is €1.3 billion per year (0.20% of total sector turnover)</t>
  </si>
  <si>
    <t xml:space="preserve">Letto da estratto indicizzato della pagina. Spesa incrementale annua a regime, non livello totale della spesa cyber. Anno non dichiarato, registrato 2025 dopo il recepimento della NIS2. Include personale interno. Verifica finale 08/10/2026, valore confermato sulla fonte. Costo annuo di conformità NIS2 confermato, comprende personale, software e hardware di sicurezza.</t>
  </si>
  <si>
    <t xml:space="preserve">Costo annuo aggiuntivo per le imprese UE per attuare la NIS2, voce totale settori nis2, secondo Frontier Economics.</t>
  </si>
  <si>
    <t xml:space="preserve">The direct costs of implementing the regulation on firms across the EU is €31.2 billion per year representing 0.31% of total turnover</t>
  </si>
  <si>
    <t xml:space="preserve">Additional costs for cybersecurity authorities under NIS2</t>
  </si>
  <si>
    <t xml:space="preserve">Investimento aggiuntivo stimato delle autorità di cybersecurity UE per i nuovi compiti di vigilanza NIS2.</t>
  </si>
  <si>
    <t xml:space="preserve">An indicative estimate suggests collectively cybersecurity authorities would have to invest €360 million to undertake the additional responsibilities required by NIS2</t>
  </si>
  <si>
    <t xml:space="preserve">Letto da estratto indicizzato della pagina. Stima indicativa, anno non dichiarato.</t>
  </si>
  <si>
    <t xml:space="preserve">Additional NIS2 costs as % of sector turnover</t>
  </si>
  <si>
    <t xml:space="preserve">Costo aggiuntivo NIS2 in percentuale del fatturato, voce nuovi settori nis2, secondo Frontier Economics.</t>
  </si>
  <si>
    <t xml:space="preserve">Letto da estratto indicizzato della pagina. Rapporto sul fatturato utile per modelli basati su SBS. Anno registrato 2025, non dichiarato.</t>
  </si>
  <si>
    <t xml:space="preserve">Costo aggiuntivo NIS2 in percentuale del fatturato, voce settori già regolati nis, secondo Frontier Economics.</t>
  </si>
  <si>
    <t xml:space="preserve">Letto da estratto indicizzato della pagina. Rapporto sul fatturato utile per modelli basati su SBS. Anno registrato 2025, non dichiarato. Verifica finale 08/10/2026, valore confermato sulla fonte. Quota sul fatturato confermata.</t>
  </si>
  <si>
    <t xml:space="preserve">Costo aggiuntivo NIS2 in percentuale del fatturato, voce totale settori nis2, secondo Frontier Economics.</t>
  </si>
  <si>
    <t xml:space="preserve">OTRENIX-CYBEREU-2026</t>
  </si>
  <si>
    <t xml:space="preserve">Otrenix</t>
  </si>
  <si>
    <t xml:space="preserve">European Cybersecurity Market 2030, Size, Trends &amp; Outlook</t>
  </si>
  <si>
    <t xml:space="preserve">10/05/2026</t>
  </si>
  <si>
    <t xml:space="preserve">https://otrenix.com/europa-cybersecurity-market/</t>
  </si>
  <si>
    <t xml:space="preserve">Stime di MarketsandMarkets e altri editori</t>
  </si>
  <si>
    <t xml:space="preserve">Continental Europe (EU + EEA, no UK) cybersecurity spending</t>
  </si>
  <si>
    <t xml:space="preserve">Spesa in cybersecurity dell'Europa continentale (UE più SEE, senza Regno Unito) nel 2025 secondo Otrenix, mediana di un intervallo 45-60 miliardi.</t>
  </si>
  <si>
    <t xml:space="preserve">Dedotta. Il valore è derivato da stime di altri editori, senza nuova misura della domanda o dell'offerta.</t>
  </si>
  <si>
    <t xml:space="preserve">Top-down</t>
  </si>
  <si>
    <t xml:space="preserve">Consenso delle stime europee di editori terzi (55-70 miliardi USD nel 2025), meno circa il 23% attribuito al Regno Unito, per ottenere UE più SEE tra 45 e 60 miliardi di euro con mediana vicina a 50. Scenario base al 2030 con crescita del 9% annuo.</t>
  </si>
  <si>
    <t xml:space="preserve">Continental Europe (EU + EEA, no UK) 2025: about €50 billion.</t>
  </si>
  <si>
    <t xml:space="preserve">Letto da estratto indicizzato della pagina. Perimetro UE più SEE (incluse Norvegia, Islanda e Liechtenstein), registrato come EU27 in assenza di codice dedicato. Stima derivata da altre fonti. Verifica finale 08/10/2026, valore confermato sulla fonte. Valore confermato. Il perimetro include anche i paesi SEE oltre alla UE27.</t>
  </si>
  <si>
    <t xml:space="preserve">Continental Europe cybersecurity market, base case 2030</t>
  </si>
  <si>
    <t xml:space="preserve">Mercato della cybersecurity dell'Europa continentale previsto nel 2030 nello scenario base Otrenix, intervallo 70-84 miliardi.</t>
  </si>
  <si>
    <t xml:space="preserve">CAGR 2025-2030 9%</t>
  </si>
  <si>
    <t xml:space="preserve">Base case 2030: €77 billion at 9% CAGR. Range across scenarios: €70 to €84 billion.</t>
  </si>
  <si>
    <t xml:space="preserve">EPRS-RRFCYBER-2025</t>
  </si>
  <si>
    <t xml:space="preserve">Parlamento europeo, EPRS</t>
  </si>
  <si>
    <t xml:space="preserve">RRF implementation underway, Cybersecurity measures, briefing EPRS</t>
  </si>
  <si>
    <t xml:space="preserve">22/05/2025</t>
  </si>
  <si>
    <t xml:space="preserve">https://www.europarl.europa.eu/RegData/etudes/BRIE/2025/772881/EPRS_BRI(2025)772881_EN.pdf</t>
  </si>
  <si>
    <t xml:space="preserve">Piani nazionali di ripresa e resilienza (PNRR) degli Stati membri</t>
  </si>
  <si>
    <t xml:space="preserve">Budget of cybersecurity-related measures in NRRPs (Table 1), total</t>
  </si>
  <si>
    <t xml:space="preserve">Bilancio complessivo delle misure PNRR legate alla cybersecurity censite da EPRS in 14 Stati membri, elenco non esaustivo.</t>
  </si>
  <si>
    <t xml:space="preserve">Misure di riforma e investimento cyber dei PNRR</t>
  </si>
  <si>
    <t xml:space="preserve">Dedotta. Bilancio pubblico programmato, non stima di mercato.</t>
  </si>
  <si>
    <t xml:space="preserve">Selezione non esaustiva di misure PNRR esplicitamente dedicate alla cybersecurity con il relativo bilancio previsto, a cura di EPRS.</t>
  </si>
  <si>
    <t xml:space="preserve">Overall, their budget amounts to roughly €4.4 billion; however, this list is non-exhaustive</t>
  </si>
  <si>
    <t xml:space="preserve">Letto da estratto indicizzato della pagina. Periodo RRF 2021-2026 registrato sull'anno di chiusura. Elenco non esaustivo. Alcune misure hanno perimetro più ampio della sola cybersecurity.</t>
  </si>
  <si>
    <t xml:space="preserve">EP-SWCYBERDEP-2025</t>
  </si>
  <si>
    <t xml:space="preserve">Parlamento europeo, Policy Department ITRE</t>
  </si>
  <si>
    <t xml:space="preserve">European Software and Cyber Dependencies, studio per la commissione ITRE</t>
  </si>
  <si>
    <t xml:space="preserve">16/12/2025</t>
  </si>
  <si>
    <t xml:space="preserve">https://www.europarl.europa.eu/RegData/etudes/STUD/2025/778576/ECTI_STU(2025)778576_EN.pdf</t>
  </si>
  <si>
    <t xml:space="preserve">Non indicata nell'estratto (note 249 e 250 dello studio)</t>
  </si>
  <si>
    <t xml:space="preserve">BFSI share of EU cybersecurity spending</t>
  </si>
  <si>
    <t xml:space="preserve">Quota del settore bancario e finanziario sulla spesa UE in cybersecurity secondo lo studio per la commissione ITRE.</t>
  </si>
  <si>
    <t xml:space="preserve">Banche e servizi finanziari</t>
  </si>
  <si>
    <t xml:space="preserve">Software e servizi di sicurezza per consumatori, imprese e governi</t>
  </si>
  <si>
    <t xml:space="preserve">Dedotta. Lo studio riprende stime di mercato di terzi senza descriverne la costruzione.</t>
  </si>
  <si>
    <t xml:space="preserve">the BFSI (banking and finance) sector alone accounts for about 21% of EU cybersecurity spending250.</t>
  </si>
  <si>
    <t xml:space="preserve">Letto da estratto indicizzato della pagina. Anno non dichiarato, associato al valore 2025.</t>
  </si>
  <si>
    <t xml:space="preserve">EU cybersecurity market</t>
  </si>
  <si>
    <t xml:space="preserve">Dimensione del mercato UE della cybersecurity nel 2025, circa un quarto dell'industria mondiale, secondo lo studio per la commissione ITRE.</t>
  </si>
  <si>
    <t xml:space="preserve">USD</t>
  </si>
  <si>
    <t xml:space="preserve">Imprese, PA e Famiglie</t>
  </si>
  <si>
    <t xml:space="preserve">It accounts for roughly one-quarter248 of the global cybersecurity industry and amounted to around USD 63 billion in 2025249.</t>
  </si>
  <si>
    <t xml:space="preserve">Letto da estratto indicizzato della pagina. Valore riferito all'anno di pubblicazione dello studio. Perimetro dichiarato B2C, B2B e B2G. Verifica finale 08/10/2026, valore confermato sulla fonte. Mercato cyber UE 2025 confermato, stima ripresa da terzi.</t>
  </si>
  <si>
    <t xml:space="preserve">EC-IACSA-2017</t>
  </si>
  <si>
    <t xml:space="preserve">EU28</t>
  </si>
  <si>
    <t xml:space="preserve">Unione europea (UE28)</t>
  </si>
  <si>
    <t xml:space="preserve">SWD(2017) 500 final, Impact assessment Cybersecurity Act, parte 4 di 6</t>
  </si>
  <si>
    <t xml:space="preserve">13/09/2017</t>
  </si>
  <si>
    <t xml:space="preserve">https://edz.bib.uni-mannheim.de/www-edz/pdf/swd/2017/swd-2017-0500-4-en.pdf</t>
  </si>
  <si>
    <t xml:space="preserve">Non indicata nell'estratto (studio di supporto alla valutazione d'impatto)</t>
  </si>
  <si>
    <t xml:space="preserve">Total EU market (including non-EU countries), privacy and cybersecurity (PAC) market</t>
  </si>
  <si>
    <t xml:space="preserve">Dimensione del mercato europeo di privacy e cybersecurity nel 2014, pari al 26% del mercato mondiale, secondo la valutazione d'impatto del Cybersecurity Act.</t>
  </si>
  <si>
    <t xml:space="preserve">Estremo inferiore dell'intervallo</t>
  </si>
  <si>
    <t xml:space="preserve">Prodotti e servizi di privacy e cybersecurity (mercato PAC)</t>
  </si>
  <si>
    <t xml:space="preserve">Dedotta. L'estratto non descrive la costruzione della stima.</t>
  </si>
  <si>
    <t xml:space="preserve">The total EU market (including non-EU countries) is worth 26% of the global market: EUR 12bn-EUR 19bn (2014)</t>
  </si>
  <si>
    <t xml:space="preserve">Letto da estratto indicizzato della pagina. Intervallo pubblicato come 12-19 miliardi, registrato con due righe. Il perimetro include paesi europei extra UE, codice EU28 dedotto. Copia del documento ufficiale ospitata da EDZ Università di Mannheim. Verifica finale 08/10/2026, valore confermato sulla fonte. Estremo inferiore dell'intervallo confermato.</t>
  </si>
  <si>
    <t xml:space="preserve">Estremo superiore dell'intervallo</t>
  </si>
  <si>
    <t xml:space="preserve">Letto da estratto indicizzato della pagina. Intervallo pubblicato come 12-19 miliardi, registrato con due righe. Il perimetro include paesi europei extra UE, codice EU28 dedotto. Copia del documento ufficiale ospitata da EDZ Università di Mannheim. Verifica finale 08/10/2026, valore confermato sulla fonte. Estremo superiore dell'intervallo confermato.</t>
  </si>
  <si>
    <t xml:space="preserve">SWD(2017) 500 final, Impact assessment Cybersecurity Act, parte 5 di 6 (studio ICT Security Certification, secondo rapporto intermedio)</t>
  </si>
  <si>
    <t xml:space="preserve">https://edz.bib.uni-mannheim.de/www-edz/pdf/swd/2017/swd-2017-0500-5-en.pdf</t>
  </si>
  <si>
    <t xml:space="preserve">PwC e LSEC, Cyber Security Industry Market Analysis (CIMA), risultati preliminari del 6 giugno 2017</t>
  </si>
  <si>
    <t xml:space="preserve">Value of EU Cyber Market, growth rate</t>
  </si>
  <si>
    <t xml:space="preserve">Crescita annua del valore delle vendite del mercato cyber UE tra 2015 e 2016 secondo i risultati preliminari CIMA.</t>
  </si>
  <si>
    <t xml:space="preserve">Vendite di prodotti e servizi cyber, incluse imprese non specializzate (definizione ampia CIMA)</t>
  </si>
  <si>
    <t xml:space="preserve">Offerta (fornitori)</t>
  </si>
  <si>
    <t xml:space="preserve">Dedotta. Il valore è espresso come vendite (sales) delle imprese del mercato cyber.</t>
  </si>
  <si>
    <t xml:space="preserve">Risultati preliminari dello studio CIMA presentati in un workshop ECSO, PwC e LSEC. Metodologia non descritta nell'estratto.</t>
  </si>
  <si>
    <t xml:space="preserve">The Value of EU Cyber Market increased by 17.4% compared to 2015 reaching 157 billion euros of Sales.</t>
  </si>
  <si>
    <t xml:space="preserve">Value of EU Cyber Market (sales)</t>
  </si>
  <si>
    <t xml:space="preserve">Valore delle vendite del mercato cyber UE nel 2016 secondo i risultati preliminari CIMA, pari al 26,3% del mercato mondiale.</t>
  </si>
  <si>
    <t xml:space="preserve">Variazione 2016 su 2015 17,4%</t>
  </si>
  <si>
    <t xml:space="preserve">Letto da estratto indicizzato della pagina. Definizione molto ampia, include ricavi di imprese con attività cyber non prevalente. Ordine di grandezza molto superiore alle stime di mercato in senso stretto (12-25 miliardi). Verifica finale 08/10/2026, valore confermato sulla fonte. Valore 2016 confermato nel documento SWD 2017 500.</t>
  </si>
  <si>
    <t xml:space="preserve">Growth forecasts for Europe</t>
  </si>
  <si>
    <t xml:space="preserve">Crescita annua prevista del mercato cyber europeo fino al 2021, estremo inferiore dell'intervallo 11-13% indicato dai risultati preliminari CIMA.</t>
  </si>
  <si>
    <t xml:space="preserve">Growth forecasts for Europe are between 11% and 13% to 2021.</t>
  </si>
  <si>
    <t xml:space="preserve">Letto da estratto indicizzato della pagina. Intervallo 11-13% registrato con due righe. Verifica finale 08/10/2026, valore confermato sulla fonte. Estremo inferiore dell'intervallo di crescita confermato.</t>
  </si>
  <si>
    <t xml:space="preserve">Crescita annua prevista del mercato cyber europeo fino al 2021, estremo superiore dell'intervallo indicato dai risultati preliminari CIMA.</t>
  </si>
  <si>
    <t xml:space="preserve">ECA-BRPCYBER-2019</t>
  </si>
  <si>
    <t xml:space="preserve">Briefing paper 02/2019, Challenges to effective EU cybersecurity policy</t>
  </si>
  <si>
    <t xml:space="preserve">19/03/2019</t>
  </si>
  <si>
    <t xml:space="preserve">https://www.eca.europa.eu/Lists/ECADocuments/BRP_CYBERSECURITY/BRP_CYBERSECURITY_EN.pdf</t>
  </si>
  <si>
    <t xml:space="preserve">Commission spending implementing the Strategy 2014-2018</t>
  </si>
  <si>
    <t xml:space="preserve">Spesa minima della Commissione per attuare la strategia UE di cybersecurity nel periodo 2014-2018, in gran parte tramite Horizon 2020.</t>
  </si>
  <si>
    <t xml:space="preserve">Dedotta. Ricostruzione della Corte su dati di bilancio UE.</t>
  </si>
  <si>
    <t xml:space="preserve">Ricognizione della Corte degli strumenti del bilancio UE che finanziano la cybersecurity.</t>
  </si>
  <si>
    <t xml:space="preserve">In the 2014 - 2018 period, the Commission spent at least €1.4 billion implementing the Strategy75, allocating the largest share to Horizon 2020</t>
  </si>
  <si>
    <t xml:space="preserve">Letto da estratto indicizzato della pagina. Cumulato 2014-2018 registrato sull'anno di chiusura, valore minimo. Verifica finale 08/10/2026, valore confermato sulla fonte. Spesa cumulata 2014 2018 della Commissione, anno finale 2018.</t>
  </si>
  <si>
    <t xml:space="preserve">EU public spending on cybersecurity (per year)</t>
  </si>
  <si>
    <t xml:space="preserve">Spesa pubblica annua in cybersecurity nell'UE stimata dalla Commissione e citata dalla Corte dei conti, intervallo da uno a due miliardi.</t>
  </si>
  <si>
    <t xml:space="preserve">Figures are hard to come by, but EU public spending on cybersecurity is estimated to range between one and two billion euros per year</t>
  </si>
  <si>
    <t xml:space="preserve">Letto da estratto indicizzato della pagina. Anno non dichiarato, registrato l'anno precedente la pubblicazione. Intervallo registrato con due righe. Verifica finale 08/10/2026, valore confermato sulla fonte. Estremo inferiore 1 miliardo EUR annuo, stima ripresa dalla Corte senza metodo esplicitato.</t>
  </si>
  <si>
    <t xml:space="preserve">Letto da estratto indicizzato della pagina. Anno non dichiarato, registrato l'anno precedente la pubblicazione. Intervallo registrato con due righe.</t>
  </si>
  <si>
    <t xml:space="preserve">H2020 contracted cybersecurity-related projects, total EU financing</t>
  </si>
  <si>
    <t xml:space="preserve">Finanziamento UE complessivo dei 279 progetti Horizon 2020 legati alla cybersecurity contrattualizzati fino a settembre 2018.</t>
  </si>
  <si>
    <t xml:space="preserve">Dedotta. Ricognizione della Corte sui progetti finanziati.</t>
  </si>
  <si>
    <t xml:space="preserve">Ricognizione della Corte dei progetti H2020 contrattualizzati fino a settembre 2018.</t>
  </si>
  <si>
    <t xml:space="preserve">We identified 279 contracted cybersecurity-related projects up to September 2018, with total EU-financing of €786 million</t>
  </si>
  <si>
    <t xml:space="preserve">Letto da estratto indicizzato della pagina. Cumulato fino a settembre 2018. Verifica finale 08/10/2026, valore confermato sulla fonte. Finanziamento UE cumulato dei progetti H2020 fino a settembre 2018.</t>
  </si>
  <si>
    <t xml:space="preserve">LSEC-CIMA-2019</t>
  </si>
  <si>
    <t xml:space="preserve">LSEC Leaders in Security (presentazione dei risultati CIMA)</t>
  </si>
  <si>
    <t xml:space="preserve">CyberSecurity Industry Market Analysis (CIMA) 2018 Update, presentazione al workshop EUNITY</t>
  </si>
  <si>
    <t xml:space="preserve">24/01/2019</t>
  </si>
  <si>
    <t xml:space="preserve">https://www.eunity-project.eu/m/filer_public/4b/62/4b6262dc-3bca-4145-a84b-b514049156ce/1_lsec_japan_eunity_ecso_wg2_cima_seldeslachts_ulrich_20190124881.pdf</t>
  </si>
  <si>
    <t xml:space="preserve">Commissione europea DG CNECT, Cybersecurity industry market analysis CIMA, Publications Office 2019, https://data.europa.eu/doi/10.2759/018751</t>
  </si>
  <si>
    <t xml:space="preserve">EU End User markets in sales terms</t>
  </si>
  <si>
    <t xml:space="preserve">Quota delle vendite cyber UE 2016 destinate a altri utenti secondo lo studio CIMA.</t>
  </si>
  <si>
    <t xml:space="preserve">Altri utenti</t>
  </si>
  <si>
    <t xml:space="preserve">Vendite cyber per sottosettori (anti-malware, sicurezza applicativa, continuità operativa, consulenza, cifratura, identità, infrastruttura, servizi gestiti e altri)</t>
  </si>
  <si>
    <t xml:space="preserve">Approccio big data su oltre 900 fonti prevalentemente transazionali, dati di mercato 2016. Vendite di imprese esclusivamente cyber, imprese con attività cyber accessoria e imprese della filiera. EU include il Regno Unito.</t>
  </si>
  <si>
    <t xml:space="preserve">The EU End User markets in sales terms comprise Private users (45% of sales), Public users (31%) and "Other" users (25%).</t>
  </si>
  <si>
    <t xml:space="preserve">Letto da estratto indicizzato della pagina. La somma dei valori pubblicati è 101% per arrotondamenti.</t>
  </si>
  <si>
    <t xml:space="preserve">Quota delle vendite cyber UE 2016 destinate a utenti privati secondo lo studio CIMA.</t>
  </si>
  <si>
    <t xml:space="preserve">Utenti privati</t>
  </si>
  <si>
    <t xml:space="preserve">Letto da estratto indicizzato della pagina. La somma dei valori pubblicati è 101% per arrotondamenti. Verifica finale 08/10/2026, valore confermato sulla fonte. Quota utenti privati confermata, misura in termini di vendite.</t>
  </si>
  <si>
    <t xml:space="preserve">Quota delle vendite cyber UE 2016 destinate a utenti pubblici secondo lo studio CIMA.</t>
  </si>
  <si>
    <t xml:space="preserve">Utenti pubblici</t>
  </si>
  <si>
    <t xml:space="preserve">EU market value</t>
  </si>
  <si>
    <t xml:space="preserve">Valore del mercato cyber UE nel 2016 secondo lo studio CIMA, in crescita del 17,4% sul 2015 e pari al 26,3% del mercato globale.</t>
  </si>
  <si>
    <t xml:space="preserve">EU market value of EUR 158bn in 2016 • 17.4% increase from 2015</t>
  </si>
  <si>
    <t xml:space="preserve">Letto da estratto indicizzato della pagina. Definizione ampia CIMA. Il rapporto finale sul sito della Commissione non è leggibile dall'estratto, valore verificato solo sulla presentazione degli autori. Differisce da 157 miliardi dei risultati preliminari. Verifica finale 08/10/2026, valore confermato sulla fonte. Valore confermato nel PDF EUNITY, fonte LSEC KMatrix.</t>
  </si>
  <si>
    <t xml:space="preserve">Largest EU sub-sectors in sales terms</t>
  </si>
  <si>
    <t xml:space="preserve">Quota del sottosettore infrastruttura sulle vendite cyber UE secondo lo studio CIMA, tra i tre maggiori sottosettori.</t>
  </si>
  <si>
    <t xml:space="preserve">Infrastruttura</t>
  </si>
  <si>
    <t xml:space="preserve">Infrastructure (19%), Situational Awareness (17%) and Application Security (17%) are the largest EU sub-sectors in sales terms.</t>
  </si>
  <si>
    <t xml:space="preserve">Letto da estratto indicizzato della pagina. Anno 2016 dedotto dal periodo di riferimento dei dati CIMA. Verifica finale 08/10/2026, valore confermato sulla fonte. Quota infrastruttura confermata.</t>
  </si>
  <si>
    <t xml:space="preserve">Quota del sottosettore sicurezza applicativa sulle vendite cyber UE secondo lo studio CIMA, tra i tre maggiori sottosettori.</t>
  </si>
  <si>
    <t xml:space="preserve">Sicurezza applicativa</t>
  </si>
  <si>
    <t xml:space="preserve">Letto da estratto indicizzato della pagina. Anno 2016 dedotto dal periodo di riferimento dei dati CIMA.</t>
  </si>
  <si>
    <t xml:space="preserve">Quota del sottosettore situational awareness sulle vendite cyber UE secondo lo studio CIMA, tra i tre maggiori sottosettori.</t>
  </si>
  <si>
    <t xml:space="preserve">Situational awareness</t>
  </si>
  <si>
    <t xml:space="preserve">Letto da estratto indicizzato della pagina. Anno 2016 dedotto dal periodo di riferimento dei dati CIMA. Verifica finale 08/10/2026, valore confermato sulla fonte. Quota situational awareness confermata nel CIMA 2018 update.</t>
  </si>
  <si>
    <t xml:space="preserve">EPRS-TRANSATLANTIC-2017</t>
  </si>
  <si>
    <t xml:space="preserve">Transatlantic Cyber Insecurity and Cybercrime, studio EPRS</t>
  </si>
  <si>
    <t xml:space="preserve">2017</t>
  </si>
  <si>
    <t xml:space="preserve">https://www.europarl.europa.eu/RegData/etudes/STUD/2017/603948/EPRS_STU(2017)603948_EN.pdf</t>
  </si>
  <si>
    <t xml:space="preserve">Micro Market Monitor (società di consulenza privata), dati rivisti forniti agli autori</t>
  </si>
  <si>
    <t xml:space="preserve">Private sector cybersecurity spending in the EU, forecast 2020</t>
  </si>
  <si>
    <t xml:space="preserve">Spesa in cybersecurity del settore privato UE prevista per il 2020 da Micro Market Monitor, esclusa la spesa pubblica, stima poi rivista.</t>
  </si>
  <si>
    <t xml:space="preserve">Dedotta. Valori generati da software dell'editore, metodo non descritto.</t>
  </si>
  <si>
    <t xml:space="preserve">Micro Market Monitor, a private consulting firm, forecasts that private sector cybersecurity spending will rise to US$37.38 billion by 2020.</t>
  </si>
  <si>
    <t xml:space="preserve">Letto da estratto indicizzato della pagina. Esclude la spesa pubblica. Valore superato dalla revisione successiva comunicata agli autori. Perimetro UE dell'epoca (28 Stati, incluso il Regno Unito).</t>
  </si>
  <si>
    <t xml:space="preserve">EY-CYBERAT-2026</t>
  </si>
  <si>
    <t xml:space="preserve">AT</t>
  </si>
  <si>
    <t xml:space="preserve">Austria</t>
  </si>
  <si>
    <t xml:space="preserve">Nazionale</t>
  </si>
  <si>
    <t xml:space="preserve">EY Österreich</t>
  </si>
  <si>
    <t xml:space="preserve">EY Cybersecurity Studie 2026</t>
  </si>
  <si>
    <t xml:space="preserve">06/2026</t>
  </si>
  <si>
    <t xml:space="preserve">https://www.ey.com/de_at/insights/cybersecurity/ey-cybersecurity-studie</t>
  </si>
  <si>
    <t xml:space="preserve">Anteil der Unternehmen mit Cybersecurity-Budget unter 25.000 Euro</t>
  </si>
  <si>
    <t xml:space="preserve">Quota di imprese austriache con budget annuo di cybersecurity inferiore a 25.000 euro.</t>
  </si>
  <si>
    <t xml:space="preserve">Survey EY alle imprese austriache con budget cyber per classi monetarie. Numerosità non indicata nell'estratto.</t>
  </si>
  <si>
    <t xml:space="preserve">6 Prozent haben kein gesondertes Cybersecurity-Budget - 41 Prozent liegen unter 25.000 Euro - 10 Prozent zwischen 25.000 und 50.000 Euro</t>
  </si>
  <si>
    <t xml:space="preserve">Quota di imprese, non valore di spesa. Distribuzione completa, nessun budget 6%, 25.000-50.000 euro 10%, 50.000-100.000 euro 9%, 100.000-500.000 euro 2%, 500.000-1 milione 1%, non sa 32%. Letto da estratto indicizzato della pagina.</t>
  </si>
  <si>
    <t xml:space="preserve">ITA-CCGCYBERAT-2020</t>
  </si>
  <si>
    <t xml:space="preserve">International Trade Administration (U.S. Department of Commerce)</t>
  </si>
  <si>
    <t xml:space="preserve">Ente pubblico nazionale</t>
  </si>
  <si>
    <t xml:space="preserve">Austria Country Commercial Guide, Cyber Security (edizione precedente, citata da Mordor Intelligence)</t>
  </si>
  <si>
    <t xml:space="preserve">2020</t>
  </si>
  <si>
    <t xml:space="preserve">https://www.mordorintelligence.com/industry-reports/austria-cybersecurity-market/market-size</t>
  </si>
  <si>
    <t xml:space="preserve">International Trade Administration, Austria Country Commercial Guide (https://www.trade.gov/country-commercial-guides/austria-cyber-security)</t>
  </si>
  <si>
    <t xml:space="preserve">Cyber security market (Austria)</t>
  </si>
  <si>
    <t xml:space="preserve">Valore del mercato austriaco della cybersecurity secondo una edizione precedente della guida commerciale statunitense.</t>
  </si>
  <si>
    <t xml:space="preserve">6-9% annuo 2020-2023</t>
  </si>
  <si>
    <t xml:space="preserve">Dedotta. Valore citato senza indicazioni di costruzione.</t>
  </si>
  <si>
    <t xml:space="preserve">the cyber security market ... valued at USD 590 million and expected to grow annually by 6-9% from 2020 through 2023.</t>
  </si>
  <si>
    <t xml:space="preserve">Anno di riferimento non dichiarato, dedotto dal periodo di crescita indicato. Edizione originale della guida non più consultabile. Letto da estratto indicizzato della pagina. Verifica finale 08/10/2026, valore confermato sulla fonte. Dato della International Trade Administration riportato da Mordor.</t>
  </si>
  <si>
    <t xml:space="preserve">ITA-CCGCYBERAT-2025</t>
  </si>
  <si>
    <t xml:space="preserve">Austria Country Commercial Guide, Cyber Security</t>
  </si>
  <si>
    <t xml:space="preserve">https://www.trade.gov/country-commercial-guides/austria-cyber-security</t>
  </si>
  <si>
    <t xml:space="preserve">Share of the cyber market, cyber services</t>
  </si>
  <si>
    <t xml:space="preserve">Quota del segmento servizi sul mercato austriaco della cybersecurity secondo la guida commerciale statunitense.</t>
  </si>
  <si>
    <t xml:space="preserve">Servizi</t>
  </si>
  <si>
    <t xml:space="preserve">servizi, software, hardware</t>
  </si>
  <si>
    <t xml:space="preserve">Dedotta. La guida non indica come sono calcolate le quote né la fonte.</t>
  </si>
  <si>
    <t xml:space="preserve">particularly in cyber services that represent 60% of the cyber market.</t>
  </si>
  <si>
    <t xml:space="preserve">Anno non dichiarato; assunto pari all'edizione della guida che riporta proiezioni 2025. Letto da estratto indicizzato della pagina. Verifica finale 08/10/2026, valore confermato sulla fonte. Anno non esplicitato nell'estratto della guida ITA.</t>
  </si>
  <si>
    <t xml:space="preserve">Share of the cyber market, hardware</t>
  </si>
  <si>
    <t xml:space="preserve">Quota del segmento hardware sul mercato austriaco della cybersecurity secondo la guida commerciale statunitense.</t>
  </si>
  <si>
    <t xml:space="preserve">Hardware</t>
  </si>
  <si>
    <t xml:space="preserve">while cybersecurity software accounts for 26% and hardware 14% of the market.</t>
  </si>
  <si>
    <t xml:space="preserve">Anno non dichiarato; assunto pari all'edizione della guida che riporta proiezioni 2025. Letto da estratto indicizzato della pagina.</t>
  </si>
  <si>
    <t xml:space="preserve">Share of the cyber market, software</t>
  </si>
  <si>
    <t xml:space="preserve">Quota del segmento software sul mercato austriaco della cybersecurity secondo la guida commerciale statunitense.</t>
  </si>
  <si>
    <t xml:space="preserve">Software</t>
  </si>
  <si>
    <t xml:space="preserve">The sector's total industry revenue</t>
  </si>
  <si>
    <t xml:space="preserve">Ricavi totali del settore indicati nella scheda cybersecurity, con riferimento ambiguo tra settore IT e mercato cyber.</t>
  </si>
  <si>
    <t xml:space="preserve">circa 5,1% annuo 2024-2029, 11,4 miliardi USD nel 2029</t>
  </si>
  <si>
    <t xml:space="preserve">Dedotta. Nessuna indicazione su costruzione o fonte del valore.</t>
  </si>
  <si>
    <t xml:space="preserve">The sector's total industry revenue is projected to reach $9.35 billion in 2025, with an annual growth rate of approximately 5.1% from 2024 to 2029</t>
  </si>
  <si>
    <t xml:space="preserve">La frase precedente parla del settore IT; il valore è probabilmente riferito all'IT e non alla sola cybersecurity, ma siti terzi lo citano come mercato cyber austriaco. Da non usare come dimensione del mercato cyber senza verifica. Letto da estratto indicizzato della pagina.</t>
  </si>
  <si>
    <t xml:space="preserve">ITA-CYBEROPPAT-2024</t>
  </si>
  <si>
    <t xml:space="preserve">Austria Cybersecurity Opportunities (Market Intelligence)</t>
  </si>
  <si>
    <t xml:space="preserve">2024</t>
  </si>
  <si>
    <t xml:space="preserve">https://www.trade.gov/market-intelligence/austria-cybersecurity-opportunities</t>
  </si>
  <si>
    <t xml:space="preserve">Expected annual growth of the Austrian cybersecurity market</t>
  </si>
  <si>
    <t xml:space="preserve">Crescita annua attesa del mercato austriaco della cybersecurity nel periodo 2024-2028.</t>
  </si>
  <si>
    <t xml:space="preserve">crescita annua 10% 2024-2028</t>
  </si>
  <si>
    <t xml:space="preserve">Dedotta. Nessuna indicazione su costruzione o fonte.</t>
  </si>
  <si>
    <t xml:space="preserve">being one of the largest ICT subsectors with expected annual growth of 10% from 2024 to 2028.</t>
  </si>
  <si>
    <t xml:space="preserve">Tasso medio annuo sul periodo 2024-2028, registrato sull'ultimo anno. Data di pubblicazione dedotta dal riferimento a NIS2 di ottobre 2024. Letto da estratto indicizzato della pagina. Verifica finale 08/10/2026, valore confermato sulla fonte. Tasso annuo atteso 2024-2028 confermato.</t>
  </si>
  <si>
    <t xml:space="preserve">KPMG-CYBERAT-2023</t>
  </si>
  <si>
    <t xml:space="preserve">KPMG Austria con Sicherheitsforum Digitale Wirtschaft del KSÖ</t>
  </si>
  <si>
    <t xml:space="preserve">Cybersecurity in Österreich 2023</t>
  </si>
  <si>
    <t xml:space="preserve">https://www.ruv.at/wp-content/uploads/kpmg-studie-cybersecurity-in-oesterreich-2023_1x1.pdf</t>
  </si>
  <si>
    <t xml:space="preserve">Anteil der Befragten, deren jährliches Cybersecurity-Budget 3-5% des IT-Budgets ausmacht</t>
  </si>
  <si>
    <t xml:space="preserve">Quota di imprese austriache rispondenti il cui budget annuo di cybersecurity vale il 3-5% del budget IT.</t>
  </si>
  <si>
    <t xml:space="preserve">Survey annuale KPMG e KSÖ alle imprese austriache sulla cybersecurity; budget cyber per l'implementazione e il mantenimento rilevato per classi di quota del budget IT. Numerosità non indicata nell'estratto.</t>
  </si>
  <si>
    <t xml:space="preserve">Das jährliche Budget für die Umsetzung und Aufrechterhaltung der Cybersecurity macht bei jeweils 19 Prozent der Befragten 3-5 bzw. 6-10 Prozent des IT-Budgets aus.</t>
  </si>
  <si>
    <t xml:space="preserve">Quota di imprese nella classe 3-5% del budget IT, non quota di spesa. Nessuna media pubblicata nelle sintesi 2019-2026. Copia del rapporto ospitata da ruv.at; l'originale si richiede a KPMG. Il 75% dichiara un budget cyber in aumento negli ultimi 12 mesi. Letto da estratto indicizzato della pagina.</t>
  </si>
  <si>
    <t xml:space="preserve">Anteil der Befragten, deren jährliches Cybersecurity-Budget 6-10% des IT-Budgets ausmacht</t>
  </si>
  <si>
    <t xml:space="preserve">Quota di imprese austriache rispondenti il cui budget annuo di cybersecurity vale il 6-10% del budget IT.</t>
  </si>
  <si>
    <t xml:space="preserve">Quota di imprese nella classe 6-10% del budget IT, non quota di spesa. Nessuna media pubblicata nelle sintesi 2019-2026. Copia del rapporto ospitata da ruv.at; l'originale si richiede a KPMG. Il 75% dichiara un budget cyber in aumento negli ultimi 12 mesi. Letto da estratto indicizzato della pagina. Verifica finale 08/10/2026, valore confermato sulla fonte. Quota di rispondenti confermata.</t>
  </si>
  <si>
    <t xml:space="preserve">METASTAT-CYBERAT-2024</t>
  </si>
  <si>
    <t xml:space="preserve">Metastat Insight</t>
  </si>
  <si>
    <t xml:space="preserve">Editore di ricerche di mercato</t>
  </si>
  <si>
    <t xml:space="preserve">Austria Cybersecurity Market Size &amp; Share Report by 2031</t>
  </si>
  <si>
    <t xml:space="preserve">11/2024</t>
  </si>
  <si>
    <t xml:space="preserve">https://metastatinsight.com/report/austria-cybersecurity-market</t>
  </si>
  <si>
    <t xml:space="preserve">Market Size in 2024</t>
  </si>
  <si>
    <t xml:space="preserve">Dimensione del mercato austriaco della cybersecurity nel 2024.</t>
  </si>
  <si>
    <t xml:space="preserve">Dedotta. La pagina gratuita non descrive come è costruito il numero.</t>
  </si>
  <si>
    <t xml:space="preserve">Market Size in 2024 $549.8 million</t>
  </si>
  <si>
    <t xml:space="preserve">Estratto gratuito di report a pagamento</t>
  </si>
  <si>
    <t xml:space="preserve">Letto da estratto indicizzato della pagina. Verifica finale 08/10/2026, valore confermato sulla fonte. Valore 2024 confermato.</t>
  </si>
  <si>
    <t xml:space="preserve">Market Size by 2031</t>
  </si>
  <si>
    <t xml:space="preserve">Previsione del mercato austriaco della cybersecurity al 2031.</t>
  </si>
  <si>
    <t xml:space="preserve">CAGR 2024-2031 6,6%</t>
  </si>
  <si>
    <t xml:space="preserve">Austria Cybersecurity market is estimated to reach $860.3 Million by 2031; growing at a CAGR of 6.6% from 2024 to 2031.</t>
  </si>
  <si>
    <t xml:space="preserve">MORDOR-CYBERAT-2026</t>
  </si>
  <si>
    <t xml:space="preserve">Mordor Intelligence</t>
  </si>
  <si>
    <t xml:space="preserve">Österreichischer Cybersicherheitsmarkt, Größe, Analyse (2026-2031)</t>
  </si>
  <si>
    <t xml:space="preserve">2026</t>
  </si>
  <si>
    <t xml:space="preserve">https://www.mordorintelligence.com/de/industry-reports/austria-cybersecurity-market</t>
  </si>
  <si>
    <t xml:space="preserve">Anteil Dienstleistungen am Umsatz</t>
  </si>
  <si>
    <t xml:space="preserve">Quota dei servizi sui ricavi del mercato austriaco della cybersecurity nel 2025.</t>
  </si>
  <si>
    <t xml:space="preserve">software, hardware, servizi</t>
  </si>
  <si>
    <t xml:space="preserve">Definizione dichiarata come spesa in Austria per software, hardware e servizi di sicurezza di reti, endpoint, identità, applicazioni e dati. Passaggi di stima non dichiarati.</t>
  </si>
  <si>
    <t xml:space="preserve">Dienstleistungen machten im Jahr 2025 36,72 % des Umsatzes aus</t>
  </si>
  <si>
    <t xml:space="preserve">Anteil Großunternehmen am österreichischen Cybersicherheitsmarkt</t>
  </si>
  <si>
    <t xml:space="preserve">Quota delle grandi imprese sul mercato austriaco della cybersecurity nel 2025.</t>
  </si>
  <si>
    <t xml:space="preserve">Dimensione d'impresa</t>
  </si>
  <si>
    <t xml:space="preserve">Grandi imprese</t>
  </si>
  <si>
    <t xml:space="preserve">Großunternehmen hielten im Jahr 2025 ... einen Anteil von 56,24 % am österreichischen Cybersicherheitsmarkt.</t>
  </si>
  <si>
    <t xml:space="preserve">Letto da estratto indicizzato della pagina. Verifica finale 08/10/2026, valore confermato sulla fonte.</t>
  </si>
  <si>
    <t xml:space="preserve">Anteil Lösungen am österreichischen Cybersicherheitsmarkt</t>
  </si>
  <si>
    <t xml:space="preserve">Quota delle soluzioni sul mercato austriaco della cybersecurity nel 2025.</t>
  </si>
  <si>
    <t xml:space="preserve">Soluzioni (software e hardware)</t>
  </si>
  <si>
    <t xml:space="preserve">Lösungen kontrollierten im Jahr 2025 63,28 % des österreichischen Cybersicherheitsmarkts</t>
  </si>
  <si>
    <t xml:space="preserve">Marktgröße im Basisjahr (2025)</t>
  </si>
  <si>
    <t xml:space="preserve">Dimensione del mercato austriaco della cybersecurity nell'anno base 2025.</t>
  </si>
  <si>
    <t xml:space="preserve">Marktgröße im Basisjahr (2025) 560 Millionen US-Dollar</t>
  </si>
  <si>
    <t xml:space="preserve">Marktgröße (2026)</t>
  </si>
  <si>
    <t xml:space="preserve">Dimensione del mercato austriaco della cybersecurity nel 2026.</t>
  </si>
  <si>
    <t xml:space="preserve">Marktgröße (2026) 612.75 Millionen US-Dollar</t>
  </si>
  <si>
    <t xml:space="preserve">Marktgröße (2031)</t>
  </si>
  <si>
    <t xml:space="preserve">CAGR 2026-2031 9,42%</t>
  </si>
  <si>
    <t xml:space="preserve">Marktgröße (2031) 961.26 Millionen US-Dollar Growth Rate (2026 - 2031) 9.42 %</t>
  </si>
  <si>
    <t xml:space="preserve">PARLAMENT-BUDGETDIENSTUG10-2025</t>
  </si>
  <si>
    <t xml:space="preserve">Parlament Österreich, Budgetdienst</t>
  </si>
  <si>
    <t xml:space="preserve">Untergliederungsanalyse UG 10 Bundeskanzleramt, Budgets 2025 und 2026</t>
  </si>
  <si>
    <t xml:space="preserve">https://www.parlament.gv.at/dokument/budgetdienst/untergliederungsanalysen/BD-UG-10-Bundeskanzleramt-Budgets-2025-und-2026_BF.pdf</t>
  </si>
  <si>
    <t xml:space="preserve">Budgetmittel für das Nationale Koordinierungszentrum Cybersicherheit (NCC-AT)</t>
  </si>
  <si>
    <t xml:space="preserve">Fondi del bilancio federale per il centro nazionale di coordinamento per la cybersicurezza NCC-AT, anno 2024.</t>
  </si>
  <si>
    <t xml:space="preserve">Dedotta. Esborsi del bilancio federale per autorità e compiti di cybersicurezza previsti dalla legge.</t>
  </si>
  <si>
    <t xml:space="preserve">Analisi del servizio bilancio del Parlamento sui progetti di bilancio federale 2025 e 2026 della sezione Cancelleria federale.</t>
  </si>
  <si>
    <t xml:space="preserve">Im Erfolg 2024 wurden laut BKA dafür Budgetmittel iHv 0,5 Mio. EUR ausbezahlt.</t>
  </si>
  <si>
    <t xml:space="preserve">2024 spesa effettiva (Erfolg); 2025 stanziamento del progetto di bilancio. Dal 2026 i fondi passano al Ministero dell'Interno. Letto da estratto indicizzato della pagina. Verifica finale 08/10/2026, valore confermato sulla fonte. Esborso 2024 per il NCC-AT confermato.</t>
  </si>
  <si>
    <t xml:space="preserve">Fondi del bilancio federale per il centro nazionale di coordinamento per la cybersicurezza NCC-AT, anno 2025.</t>
  </si>
  <si>
    <t xml:space="preserve">Im BVA-E 2025 sind dafür noch 0,6 Mio. EUR veranschlagt, im BVA-E 2026 fallen diese Mittel weg.</t>
  </si>
  <si>
    <t xml:space="preserve">2024 spesa effettiva (Erfolg); 2025 stanziamento del progetto di bilancio. Dal 2026 i fondi passano al Ministero dell'Interno. Letto da estratto indicizzato della pagina.</t>
  </si>
  <si>
    <t xml:space="preserve">PARLAMENT-CYBERENDBERICHT-2021</t>
  </si>
  <si>
    <t xml:space="preserve">Parlament Österreich (Fachinformationen, Zukunftsthemen)</t>
  </si>
  <si>
    <t xml:space="preserve">Cybersecurity: Systematisierung, Forschungsstand und Handlungsfelder (Endbericht)</t>
  </si>
  <si>
    <t xml:space="preserve">17/12/2021</t>
  </si>
  <si>
    <t xml:space="preserve">https://www.parlament.gv.at/dokument/fachinfos/zukunftsthemen/Cybersecurity-Endbericht_2021-12-17.pdf</t>
  </si>
  <si>
    <t xml:space="preserve">KPMG con KSÖ, Cybersecurity in Österreich 2021 (https://kpmg.com/at/de/media/publications/cybersecurity-studie.html)</t>
  </si>
  <si>
    <t xml:space="preserve">Anteil der Unternehmen, die 3 % - 5 % des jährlichen IKT-Budgets in die Cybersicherheit investieren</t>
  </si>
  <si>
    <t xml:space="preserve">Quota di imprese austriache che investono tra il 3 e il 5 per cento del budget ICT annuo in cybersicurezza, secondo KPMG 2021.</t>
  </si>
  <si>
    <t xml:space="preserve">Rapporto parlamentare che riprende la survey annuale KPMG sulla cybersecurity in Austria. Non dichiarata.</t>
  </si>
  <si>
    <t xml:space="preserve">und 20 % investieren 3 % - 5 % des jährlichen IKT-Budgets in die Cybersicherheit ihres Unternehmens</t>
  </si>
  <si>
    <t xml:space="preserve">Quota di imprese nella classe, non quota di spesa. Edizione KPMG 2021 non letta direttamente. Letto da estratto indicizzato della pagina.</t>
  </si>
  <si>
    <t xml:space="preserve">PARLAMENT-WFANISG-2024</t>
  </si>
  <si>
    <t xml:space="preserve">Parlamento austriaco (Ministerialentwurf)</t>
  </si>
  <si>
    <t xml:space="preserve">Ministerialentwurf NIS-Gesetz 2024 (326/ME XXVII. GP), Vorblatt und wirkungsorientierte Folgenabschätzung</t>
  </si>
  <si>
    <t xml:space="preserve">https://www.parlament.gv.at/dokument/XXVII/ME/326/imfname_1621137.pdf</t>
  </si>
  <si>
    <t xml:space="preserve">Finanzielle Auswirkungen auf den Bundeshaushalt, Auszahlungen/zu bedeckender Betrag</t>
  </si>
  <si>
    <t xml:space="preserve">Esborsi federali stimati nel progetto di legge NIS del 2024 per autorità e compiti di cybersicurezza, anno 2024.</t>
  </si>
  <si>
    <t xml:space="preserve">Valutazione d'impatto finanziario del progetto ministeriale, con esborsi per misura, tra cui l'istituzione di un'autorità per la cybersicurezza presso il BMI. Dettaglio dei parametri non nell'estratto.</t>
  </si>
  <si>
    <t xml:space="preserve">Auszahlungen/ zu bedeckender Betrag 7.912 32.003 36.111 41.836 42.496</t>
  </si>
  <si>
    <t xml:space="preserve">Progetto del 2024 superato dalla legge NISG 2026; valori ex ante non realizzati. Utile solo come ordine di grandezza. Letto da estratto indicizzato della pagina. Verifica finale 08/10/2026, valore confermato sulla fonte. Prima colonna 2024 in migliaia di euro nell'allegato del Vorblatt.</t>
  </si>
  <si>
    <t xml:space="preserve">Esborsi federali stimati nel progetto di legge NIS del 2024 per autorità e compiti di cybersicurezza, anno 2025.</t>
  </si>
  <si>
    <t xml:space="preserve">Progetto del 2024 superato dalla legge NISG 2026; valori ex ante non realizzati. Utile solo come ordine di grandezza. Letto da estratto indicizzato della pagina.</t>
  </si>
  <si>
    <t xml:space="preserve">Esborsi federali stimati nel progetto di legge NIS del 2024 per autorità e compiti di cybersicurezza, anno 2026.</t>
  </si>
  <si>
    <t xml:space="preserve">Esborsi federali stimati nel progetto di legge NIS del 2024 per autorità e compiti di cybersicurezza, anno 2027.</t>
  </si>
  <si>
    <t xml:space="preserve">Esborsi federali stimati nel progetto di legge NIS del 2024 per autorità e compiti di cybersicurezza, anno 2028.</t>
  </si>
  <si>
    <t xml:space="preserve">Progetto del 2024 superato dalla legge NISG 2026; valori ex ante non realizzati. Utile solo come ordine di grandezza. Letto da estratto indicizzato della pagina. Verifica finale 08/10/2026, valore confermato sulla fonte. Ultima colonna 2028 in migliaia di euro nell'allegato del Vorblatt.</t>
  </si>
  <si>
    <t xml:space="preserve">PARLAMENT-WFANISG2026-2025</t>
  </si>
  <si>
    <t xml:space="preserve">Parlamento austriaco (Regierungsvorlage, Bundesministerium für Inneres)</t>
  </si>
  <si>
    <t xml:space="preserve">Regierungsvorlage NISG 2026 (308 d.B. XXVIII. GP), Vorblatt und wirkungsorientierte Folgenabschätzung</t>
  </si>
  <si>
    <t xml:space="preserve">11/2025</t>
  </si>
  <si>
    <t xml:space="preserve">https://www.parlament.gv.at/dokument/XXVIII/I/308/imfname_1723248.pdf</t>
  </si>
  <si>
    <t xml:space="preserve">Esborsi federali stimati per l'attuazione della legge NISG 2026 e dell'ufficio federale per la cybersicurezza, anno 2025.</t>
  </si>
  <si>
    <t xml:space="preserve">Valutazione d'impatto finanziario allegata al disegno di legge, con esborsi per i primi cinque anni e misure come l'istituzione del Bundesamt für Cybersicherheit. Dettaglio dei parametri non nell'estratto.</t>
  </si>
  <si>
    <t xml:space="preserve">Auszahlungen/ zu bedeckender Betrag 1.473 28.987 38.835 45.474 49.098</t>
  </si>
  <si>
    <t xml:space="preserve">Stima ex ante del costo per il bilancio federale; esclude i costi per le imprese e, in questa voce, quelli dei Länder. Legge approvata il 12/12/2025. Natura riferita alla data del documento. Letto da estratto indicizzato della pagina. Verifica finale 08/10/2026, valore confermato sulla fonte. Esborsi 2025 in migliaia di euro confermati.</t>
  </si>
  <si>
    <t xml:space="preserve">Esborsi federali stimati per l'attuazione della legge NISG 2026 e dell'ufficio federale per la cybersicurezza, anno 2026.</t>
  </si>
  <si>
    <t xml:space="preserve">Stima ex ante del costo per il bilancio federale; esclude i costi per le imprese e, in questa voce, quelli dei Länder. Legge approvata il 12/12/2025. Natura riferita alla data del documento. Letto da estratto indicizzato della pagina.</t>
  </si>
  <si>
    <t xml:space="preserve">Esborsi federali stimati per l'attuazione della legge NISG 2026 e dell'ufficio federale per la cybersicurezza, anno 2027.</t>
  </si>
  <si>
    <t xml:space="preserve">Esborsi federali stimati per l'attuazione della legge NISG 2026 e dell'ufficio federale per la cybersicurezza, anno 2028.</t>
  </si>
  <si>
    <t xml:space="preserve">Esborsi federali stimati per l'attuazione della legge NISG 2026 e dell'ufficio federale per la cybersicurezza, anno 2029.</t>
  </si>
  <si>
    <t xml:space="preserve">VERIFIEDMR-CYBERAT-2025</t>
  </si>
  <si>
    <t xml:space="preserve">Verified Market Research</t>
  </si>
  <si>
    <t xml:space="preserve">Austria Cybersecurity Market Valuation 2025-2032</t>
  </si>
  <si>
    <t xml:space="preserve">02/2025</t>
  </si>
  <si>
    <t xml:space="preserve">https://www.verifiedmarketresearch.com/product/austria-cybersecurity-market/</t>
  </si>
  <si>
    <t xml:space="preserve">Austria Cybersecurity Market</t>
  </si>
  <si>
    <t xml:space="preserve">Austria Cybersecurity Market was valued at USD 1.2 Billion in 2024</t>
  </si>
  <si>
    <t xml:space="preserve">Valore doppio rispetto a Mordor Intelligence (560 milioni USD nel 2025). Letto da estratto indicizzato della pagina. Verifica finale 08/10/2026, valore confermato sulla fonte. Valore 2024 confermato.</t>
  </si>
  <si>
    <t xml:space="preserve">Austria Cybersecurity Market (forecast)</t>
  </si>
  <si>
    <t xml:space="preserve">Previsione del mercato austriaco della cybersecurity al 2032.</t>
  </si>
  <si>
    <t xml:space="preserve">CAGR 2025-2032 11,2%</t>
  </si>
  <si>
    <t xml:space="preserve">is expected to reach USD 2.8 Billion by 2032, growing at a CAGR of 11.2% from 2025-2032.</t>
  </si>
  <si>
    <t xml:space="preserve">VERIFIEDMR-ICTAT-2025</t>
  </si>
  <si>
    <t xml:space="preserve">Austria ICT Market Report: Size, Growth, Trends &amp; Forecast</t>
  </si>
  <si>
    <t xml:space="preserve">12/2025</t>
  </si>
  <si>
    <t xml:space="preserve">https://www.verifiedmarketresearch.com/product/austria-ict-market/</t>
  </si>
  <si>
    <t xml:space="preserve">cybersecurity (market value)</t>
  </si>
  <si>
    <t xml:space="preserve">Valore di mercato della cybersecurity in Austria citato nel report sul mercato ICT austriaco.</t>
  </si>
  <si>
    <t xml:space="preserve">Dedotta. La pagina cita il valore senza indicarne costruzione o fonte.</t>
  </si>
  <si>
    <t xml:space="preserve">Significant investments in R&amp;D (€1.2 billion in 2023) and cybersecurity (€850 million in market value) support the sector's growth.</t>
  </si>
  <si>
    <t xml:space="preserve">Anno non esplicitato per il dato cyber; assunto 2023 per analogia con il dato R&amp;S della stessa frase. Fonte primaria non indicata. Incoerente con le pagine cyber dello stesso editore. Letto da estratto indicizzato della pagina. Verifica finale 08/10/2026, valore confermato sulla fonte. Anno 2023 implicito per parallelismo con il dato R&amp;S.</t>
  </si>
  <si>
    <t xml:space="preserve">AGORIA-CYBERNEWS-2025</t>
  </si>
  <si>
    <t xml:space="preserve">BE</t>
  </si>
  <si>
    <t xml:space="preserve">Belgio</t>
  </si>
  <si>
    <t xml:space="preserve">Agoria (federazione delle imprese tecnologiche)</t>
  </si>
  <si>
    <t xml:space="preserve">Belgian cyber sector set to double in size within five years</t>
  </si>
  <si>
    <t xml:space="preserve">02/10/2025</t>
  </si>
  <si>
    <t xml:space="preserve">https://www.agoria.be/en/services/expertise/digitalisation/cybersecurity/belgian-cyber-sector-set-to-double-in-size-within-five-years-4000-experts-needed</t>
  </si>
  <si>
    <t xml:space="preserve">Value added (cybersecurity sector)</t>
  </si>
  <si>
    <t xml:space="preserve">Valore aggiunto del settore belga della cybersecurity nel 2024.</t>
  </si>
  <si>
    <t xml:space="preserve">Ricavi dell'industria nazionale</t>
  </si>
  <si>
    <t xml:space="preserve">oltre +50% sul 2021</t>
  </si>
  <si>
    <t xml:space="preserve">prodotti e servizi di cybersecurity delle imprese attive in Belgio</t>
  </si>
  <si>
    <t xml:space="preserve">Dedotta. Il valore somma il fatturato cyber delle imprese del settore belga.</t>
  </si>
  <si>
    <t xml:space="preserve">Aggiornamento dello studio socio-economico Agoria sul settore cyber belga (732 imprese e organizzazioni, 9.750 FTE nel 2024); proiezione 2025-2030 calcolata dal centro studi Agoria su previsioni Statista, Gartner e IDC.</t>
  </si>
  <si>
    <t xml:space="preserve">Value added also increased by more than 50%, to €915 million.</t>
  </si>
  <si>
    <t xml:space="preserve">Letto da estratto indicizzato della pagina. Verifica finale 08/10/2026, valore confermato sulla fonte. Valore aggiunto 2024 del settore cyber belga confermato.</t>
  </si>
  <si>
    <t xml:space="preserve">AGORIA-CYBERSECTOR-2022</t>
  </si>
  <si>
    <t xml:space="preserve">First step taken towards Israeli cyber reference model (sintesi della socio-economic study 2022)</t>
  </si>
  <si>
    <t xml:space="preserve">16/11/2022</t>
  </si>
  <si>
    <t xml:space="preserve">https://www.agoria.be/en/services/expertise/digitalisation/cybersecurity/first-step-taken-towards-israeli-cyber-reference-model-now-to-invest-in-a-number-of-experts</t>
  </si>
  <si>
    <t xml:space="preserve">Added value (cybersecurity sector)</t>
  </si>
  <si>
    <t xml:space="preserve">Valore aggiunto del settore belga della cybersecurity nel 2021.</t>
  </si>
  <si>
    <t xml:space="preserve">Prima indagine socio-economica sul settore cyber belga (Agoria con Difesa e CCB), 441 imprese attive in cybersecurity, fatturato, valore aggiunto, occupati, attese delle imprese al 2025.</t>
  </si>
  <si>
    <t xml:space="preserve">a total turnover of 1.58 billion euros, 600 million euros in added value and 0.1 per cent of gross domestic product.</t>
  </si>
  <si>
    <t xml:space="preserve">Letto da estratto indicizzato della pagina. Verifica finale 08/10/2026, valore confermato sulla fonte. Anno 2021 non esplicitato nell'estratto della pagina.</t>
  </si>
  <si>
    <t xml:space="preserve">Total cybersecurity turnover</t>
  </si>
  <si>
    <t xml:space="preserve">Fatturato cyber complessivo delle 441 imprese attive in cybersecurity in Belgio nel 2021.</t>
  </si>
  <si>
    <t xml:space="preserve">Together, they account for a total turnover of 1.58 billion euros, 600 million euros in added value and 0.1 per cent of gross domestic product.</t>
  </si>
  <si>
    <t xml:space="preserve">Ricavi delle imprese con sede in Belgio (export medio 16,4% del fatturato secondo lo studio). Le imprese attendono un fatturato 2,15 volte superiore nel 2025. Letto da estratto indicizzato della pagina. Verifica finale 08/10/2026, valore confermato sulla fonte. Anno 2021 non esplicitato nell'estratto della pagina.</t>
  </si>
  <si>
    <t xml:space="preserve">AGORIA-CYBERSECTOR-2025</t>
  </si>
  <si>
    <t xml:space="preserve">Socio-economic study on the cybersecurity sector in Belgium (aggiornamento 2025)</t>
  </si>
  <si>
    <t xml:space="preserve">10/2025</t>
  </si>
  <si>
    <t xml:space="preserve">https://cdn.assets.prezly.com/243be490-ca27-4a42-aec1-1dc14b8d6a41/-/inline/no/Agoria_Socio-Economic-Study-Belgian-Cybersecurity-Sector.pdf</t>
  </si>
  <si>
    <t xml:space="preserve">Total cybersecurity sales figure (2021, serie aggiornata)</t>
  </si>
  <si>
    <t xml:space="preserve">Fatturato cyber del settore belga nel 2021 riportato nell'aggiornamento 2025.</t>
  </si>
  <si>
    <t xml:space="preserve">Total cybersecurity revenue rose from €1.58 billion in 2021 to €2.61 billion in 2024 (+65%)</t>
  </si>
  <si>
    <t xml:space="preserve">Valore identico all'edizione 2022. Letto da estratto indicizzato della pagina. Verifica finale 08/10/2026, valore confermato sulla fonte. Valore 2021 confermato nel PDF Agoria.</t>
  </si>
  <si>
    <t xml:space="preserve">Total cybersecurity sales figure</t>
  </si>
  <si>
    <t xml:space="preserve">Fatturato cyber complessivo del settore belga della cybersecurity nel 2024.</t>
  </si>
  <si>
    <t xml:space="preserve">+65% sul 2021</t>
  </si>
  <si>
    <t xml:space="preserve">The total cybersecurity sales figures has grown by nearly 65%, from 1,58 billion in 2021 to 2,61 billion in 2024.</t>
  </si>
  <si>
    <t xml:space="preserve">Letto da estratto indicizzato della pagina. Verifica finale 08/10/2026, valore confermato sulla fonte. Valore 2024 confermato nel PDF Agoria.</t>
  </si>
  <si>
    <t xml:space="preserve">Annual increase in total cybersecurity sales 2025-2030 (optimistic)</t>
  </si>
  <si>
    <t xml:space="preserve">Crescita annua attesa del fatturato cyber belga tra 2025 e 2030 nello scenario ottimistico.</t>
  </si>
  <si>
    <t xml:space="preserve">15,9% annuo 2025-2030</t>
  </si>
  <si>
    <t xml:space="preserve">the Agoria Study Centre calculating an optimistic annual increase of 15.9% from 2025 to 2030, based on Statista, Gartner, and IDC forecasts.</t>
  </si>
  <si>
    <t xml:space="preserve">Tasso medio annuo, registrato sull'anno finale. Proiezione costruita applicando previsioni di mercato al fatturato del settore. Letto da estratto indicizzato della pagina. Verifica finale 08/10/2026, valore confermato sulla fonte. Tasso annuo dello scenario ottimistico 2025-2030 confermato.</t>
  </si>
  <si>
    <t xml:space="preserve">AGORIA-ICTTRENDS-2025</t>
  </si>
  <si>
    <t xml:space="preserve">Trends en toekomst van de Belgische ICT-bedrijven</t>
  </si>
  <si>
    <t xml:space="preserve">28/01/2025</t>
  </si>
  <si>
    <t xml:space="preserve">https://www.agoria.be/nl/diensten/expertise/conjunctuur-prijzen/conjunctuur/trends-en-toekomst-van-de-belgische-ict-bedrijven</t>
  </si>
  <si>
    <t xml:space="preserve">Statista, Gartner e IDC con calcoli del centro studi Agoria (URL non indicato)</t>
  </si>
  <si>
    <t xml:space="preserve">Belgische cybersecuritymarkt (omzet)</t>
  </si>
  <si>
    <t xml:space="preserve">Fatturato attuale del mercato belga della cybersecurity secondo il centro studi Agoria su dati Statista, Gartner e IDC.</t>
  </si>
  <si>
    <t xml:space="preserve">Dedotta. Combinazione di fonti di analisti senza descrizione del calcolo.</t>
  </si>
  <si>
    <t xml:space="preserve">Cifre di Statista, Gartner e IDC rielaborate dal centro studi Agoria. Non dichiarata altrimenti.</t>
  </si>
  <si>
    <t xml:space="preserve">de Belgische cybersecuritymarkt, die vandaag goed is voor 3,1 miljard euro omzet, tegen 2030 verdubbelen in omvang tot 6,3 miljard euro.</t>
  </si>
  <si>
    <t xml:space="preserve">Anno non dichiarato (vandaag), assunto 2024. Valore superiore al fatturato del settore Agoria 2024 (2,61 miliardi) e molto superiore alle stime di mercato BDO e Mordor. Letto da estratto indicizzato della pagina. Verifica finale 08/10/2026, valore confermato sulla fonte. Valore confermato, pagina di gennaio 2025 che lo riferisce al presente.</t>
  </si>
  <si>
    <t xml:space="preserve">Belgische cybersecuritymarkt (omzet 2030)</t>
  </si>
  <si>
    <t xml:space="preserve">Previsione del mercato belga della cybersecurity al 2030 secondo il centro studi Agoria.</t>
  </si>
  <si>
    <t xml:space="preserve">Cifre di Statista, Gartner e IDC rielaborate dal centro studi Agoria.</t>
  </si>
  <si>
    <t xml:space="preserve">kan de Belgische cybersecuritymarkt, die vandaag goed is voor 3,1 miljard euro omzet, tegen 2030 verdubbelen in omvang tot 6,3 miljard euro.</t>
  </si>
  <si>
    <t xml:space="preserve">BDO-CYBERINDUSTRY-2026</t>
  </si>
  <si>
    <t xml:space="preserve">BDO (Deal Advisory, Paesi Bassi)</t>
  </si>
  <si>
    <t xml:space="preserve">Global and European Cybersecurity Industry (market research, luglio 2026)</t>
  </si>
  <si>
    <t xml:space="preserve">07/2026</t>
  </si>
  <si>
    <t xml:space="preserve">https://www.bdo.nl/getmedia/46087d8a-7d9a-4831-8e1c-fe8482cb676a/Global-and-European-Cybersecurity-Industry.pdf</t>
  </si>
  <si>
    <t xml:space="preserve">Cybersecurity market size by country, Belgium (€bn)</t>
  </si>
  <si>
    <t xml:space="preserve">Dimensione del mercato belga della cybersecurity nel 2023 secondo BDO.</t>
  </si>
  <si>
    <t xml:space="preserve">soluzioni e servizi di sicurezza</t>
  </si>
  <si>
    <t xml:space="preserve">Dedotta. Il rapporto non descrive la costruzione delle stime nell'estratto.</t>
  </si>
  <si>
    <t xml:space="preserve">Non dichiarata nell'estratto; fonte indicata come analisi BDO.</t>
  </si>
  <si>
    <t xml:space="preserve">Belgium ... 0.6 0.6 0.7 0.7 0.8 0.8 ... reaching an estimated €0.8bn by 2028</t>
  </si>
  <si>
    <t xml:space="preserve">Letto da grafico, valori arrotondati a un decimale. Il 2025 è marcato E e il 2026 F. Molto inferiore al fatturato del settore Agoria (2,61 miliardi nel 2024), che include export e perimetro più ampio. Letto da estratto indicizzato della pagina.</t>
  </si>
  <si>
    <t xml:space="preserve">Share of security services, Belgium</t>
  </si>
  <si>
    <t xml:space="preserve">Quota del segmento servizi sul mercato belga della cybersecurity nel 2023 secondo BDO.</t>
  </si>
  <si>
    <t xml:space="preserve">Belgium ... 45% 55% 2023 44% 56% 2024 ... 42% 58% 2028F</t>
  </si>
  <si>
    <t xml:space="preserve">Attribuzione ai segmenti dedotta dal testo che descrive il Belgio come mercato trainato dalle soluzioni; letto da grafico. Letto da estratto indicizzato della pagina. Verifica finale 08/10/2026, valore confermato sulla fonte. Allineamento anno percentuale del grafico ambiguo nell'estratto, 45% potrebbe riferirsi al 2024; servizi in calo coerente con mercato belga trainato dalle soluzioni.</t>
  </si>
  <si>
    <t xml:space="preserve">Share of security solutions, Belgium</t>
  </si>
  <si>
    <t xml:space="preserve">Quota del segmento soluzioni sul mercato belga della cybersecurity nel 2023 secondo BDO.</t>
  </si>
  <si>
    <t xml:space="preserve">Soluzioni</t>
  </si>
  <si>
    <t xml:space="preserve">Attribuzione ai segmenti dedotta dal testo che descrive il Belgio come mercato trainato dalle soluzioni; letto da grafico. Letto da estratto indicizzato della pagina.</t>
  </si>
  <si>
    <t xml:space="preserve">Dimensione del mercato belga della cybersecurity nel 2024 secondo BDO.</t>
  </si>
  <si>
    <t xml:space="preserve">Letto da grafico, valori arrotondati a un decimale. Il 2025 è marcato E e il 2026 F. Molto inferiore al fatturato del settore Agoria (2,61 miliardi nel 2024), che include export e perimetro più ampio. Letto da estratto indicizzato della pagina. Verifica finale 08/10/2026, valore confermato sulla fonte. Serie Belgio 2023 2028F, secondo valore 0,6 riferito al 2024.</t>
  </si>
  <si>
    <t xml:space="preserve">Dimensione del mercato belga della cybersecurity nel 2025 secondo BDO.</t>
  </si>
  <si>
    <t xml:space="preserve">Letto da grafico, valori arrotondati a un decimale. Il 2025 è marcato E e il 2026 F. Molto inferiore al fatturato del settore Agoria (2,61 miliardi nel 2024), che include export e perimetro più ampio. Letto da estratto indicizzato della pagina. Verifica finale 08/10/2026, valore confermato sulla fonte. Terzo valore della serie Belgio, 0,7 per il 2025E.</t>
  </si>
  <si>
    <t xml:space="preserve">Dimensione del mercato belga della cybersecurity nel 2026 secondo BDO.</t>
  </si>
  <si>
    <t xml:space="preserve">Letto da grafico, valori arrotondati a un decimale. Il 2025 è marcato E e il 2026 F. Molto inferiore al fatturato del settore Agoria (2,61 miliardi nel 2024), che include export e perimetro più ampio. Letto da estratto indicizzato della pagina. Verifica finale 08/10/2026, valore confermato sulla fonte. Quarto valore della serie Belgio, 0,7 per il 2026F.</t>
  </si>
  <si>
    <t xml:space="preserve">Dimensione del mercato belga della cybersecurity nel 2027 secondo BDO.</t>
  </si>
  <si>
    <t xml:space="preserve">Dimensione del mercato belga della cybersecurity nel 2028 secondo BDO.</t>
  </si>
  <si>
    <t xml:space="preserve">Quota del segmento servizi sul mercato belga della cybersecurity nel 2028 secondo BDO.</t>
  </si>
  <si>
    <t xml:space="preserve">Quota del segmento soluzioni sul mercato belga della cybersecurity nel 2028 secondo BDO.</t>
  </si>
  <si>
    <t xml:space="preserve">CCB-DIXANS-2025</t>
  </si>
  <si>
    <t xml:space="preserve">Centre pour la Cybersécurité Belgique (CCB)</t>
  </si>
  <si>
    <t xml:space="preserve">Publication 10 ans du Centre pour la Cybersécurité Belgique</t>
  </si>
  <si>
    <t xml:space="preserve">https://ccb.belgium.be/sites/default/files/2025-12/251204_CCB_Publicatie_10j_FR.pdf</t>
  </si>
  <si>
    <t xml:space="preserve">Budget annuel de fonctionnement du CCB (début 2020)</t>
  </si>
  <si>
    <t xml:space="preserve">Bilancio annuo di funzionamento del Centro per la cybersecurity del Belgio all'inizio del 2020.</t>
  </si>
  <si>
    <t xml:space="preserve">Dedotta. Bilancio dell'agenzia nazionale per la cybersecurity.</t>
  </si>
  <si>
    <t xml:space="preserve">Pubblicazione istituzionale per i dieci anni del CCB. Non dichiarata.</t>
  </si>
  <si>
    <t xml:space="preserve">Début 2020, le CCB employait environ 50 collaborateurs et disposait d'un budget annuel de fonctionnement d'environ 15 millions d'euros.</t>
  </si>
  <si>
    <t xml:space="preserve">Valore approssimato (environ). Letto da estratto indicizzato della pagina. Verifica finale 08/10/2026, valore confermato sulla fonte. Budget di funzionamento confermato.</t>
  </si>
  <si>
    <t xml:space="preserve">Budget annuel envisagé du CCB (Cyberstratégie 2.0)</t>
  </si>
  <si>
    <t xml:space="preserve">Bilancio annuo previsto per il CCB dopo la strategia Cyber 2.0 e l'istituzione dell'autorità di certificazione.</t>
  </si>
  <si>
    <t xml:space="preserve">une augmentation de 80 employés et un budget annuel d'environ 36 millions d'euros ont été envisagés.</t>
  </si>
  <si>
    <t xml:space="preserve">Anno non dichiarato; registrato sul 2021, avvio della strategia 2.0. Valore approssimato. Letto da estratto indicizzato della pagina. Verifica finale 08/10/2026, valore confermato sulla fonte. Budget previsto confermato, legato alla Cyberstratégie 2.0.</t>
  </si>
  <si>
    <t xml:space="preserve">CONSULTANCYNL-BDOCYBER-2026</t>
  </si>
  <si>
    <t xml:space="preserve">Consultancy.nl (dati BDO)</t>
  </si>
  <si>
    <t xml:space="preserve">Media</t>
  </si>
  <si>
    <t xml:space="preserve">Cybersecuritymarkt groeit door tot bijna €250 miljard in 2030</t>
  </si>
  <si>
    <t xml:space="preserve">25/08/2026</t>
  </si>
  <si>
    <t xml:space="preserve">https://www.consultancy.nl/nieuws/69608/cybersecuritymarkt-groeit-door-tot-bijna-250-miljard-in-2030</t>
  </si>
  <si>
    <t xml:space="preserve">BDO, Global and European Cybersecurity Industry, luglio 2026 (https://www.bdo.nl/getmedia/46087d8a-7d9a-4831-8e1c-fe8482cb676a/Global-and-European-Cybersecurity-Industry.pdf)</t>
  </si>
  <si>
    <t xml:space="preserve">Belgische cybersecuritymarkt</t>
  </si>
  <si>
    <t xml:space="preserve">Dimensione attuale del mercato belga della cybersecurity secondo BDO, riferita al 2026.</t>
  </si>
  <si>
    <t xml:space="preserve">Dedotta. L'articolo non descrive la costruzione del dato.</t>
  </si>
  <si>
    <t xml:space="preserve">Daarmee is hij ruim vier keer zo groot als de Belgische cybersecuritymarkt (€700 miljoen).</t>
  </si>
  <si>
    <t xml:space="preserve">Coerente con il grafico BDO (0,7 miliardi nel 2026). Letto da estratto indicizzato della pagina. Verifica finale 08/10/2026, valore confermato sulla fonte. Valore belga confermato nello stesso articolo.</t>
  </si>
  <si>
    <t xml:space="preserve">FORUMFUTURE-COURCOMPTESCYBER-2026</t>
  </si>
  <si>
    <t xml:space="preserve">Forum for the Future (blog), sintesi del rapporto della Cour des comptes</t>
  </si>
  <si>
    <t xml:space="preserve">Quand la Cour des comptes se penche sur la politique nationale de cybersécurité</t>
  </si>
  <si>
    <t xml:space="preserve">16/09/2026</t>
  </si>
  <si>
    <t xml:space="preserve">https://blog.forumforthefuture.be/fr/article/quand-la-cour-des-comptes-se-penche-sur-la-politique-nationale-de-cybersecurite/32385</t>
  </si>
  <si>
    <t xml:space="preserve">Cour des comptes, audit della politica nazionale di cybersecurity, 2026 (URL non trovato)</t>
  </si>
  <si>
    <t xml:space="preserve">Dépenses pour la cybersécurité de huit institutions fédérales actives en matière de sécurité</t>
  </si>
  <si>
    <t xml:space="preserve">Spesa cyber dichiarata nel 2021 da otto istituzioni federali di sicurezza, tra cui CCB, Difesa e polizia federale.</t>
  </si>
  <si>
    <t xml:space="preserve">Dato dichiarato dalle istituzioni nel rapporto annuale al governo, ripreso dalla Cour des comptes.</t>
  </si>
  <si>
    <t xml:space="preserve">huit institutions fédérales actives en matière de sécurité ... ont déclaré avoir dépensé au total 40,3 millions d'euros en 2021 pour la cybersécurité.</t>
  </si>
  <si>
    <t xml:space="preserve">Per il 2025 le stesse istituzioni prevedevano 80,8 milioni. Perimetro diverso dalla spending review BOSA (amministrazione federale). Letto da estratto indicizzato della pagina. Verifica finale 08/10/2026, valore confermato sulla fonte.</t>
  </si>
  <si>
    <t xml:space="preserve">Dépenses prévues pour la cybersécurité (huit institutions fédérales)</t>
  </si>
  <si>
    <t xml:space="preserve">Spesa cyber prevista per il 2025 dalle otto istituzioni federali di sicurezza.</t>
  </si>
  <si>
    <t xml:space="preserve">Pour 2025, elles prévoyaient d'y consacrer 80,8 millions.</t>
  </si>
  <si>
    <t xml:space="preserve">ICEX-CIBERBE-2025</t>
  </si>
  <si>
    <t xml:space="preserve">ICEX España Exportación e Inversiones (Oficina Económica y Comercial en Bruselas)</t>
  </si>
  <si>
    <t xml:space="preserve">El mercado de la ciberseguridad en Bélgica 2025 (resumen)</t>
  </si>
  <si>
    <t xml:space="preserve">https://www.icex.es/content/dam/icex/centros/belgica/documentos/2025/estudio-mercado-ciberseguridad-belgica-2025-resumen.pdf</t>
  </si>
  <si>
    <t xml:space="preserve">Non indicata nell'estratto (struttura coerente con Statista Market Insights)</t>
  </si>
  <si>
    <t xml:space="preserve">Soluciones de seguridad (volumen de mercado)</t>
  </si>
  <si>
    <t xml:space="preserve">Ricavi delle soluzioni di sicurezza nel mercato belga della cybersecurity nel 2024.</t>
  </si>
  <si>
    <t xml:space="preserve">Dedotta. Il riassunto non descrive la costruzione del dato.</t>
  </si>
  <si>
    <t xml:space="preserve">Las soluciones de seguridad generan los mayores ingresos, con un volumen de mercado de 334 millones en 2024</t>
  </si>
  <si>
    <t xml:space="preserve">Ingresos del mercado de la ciberseguridad en Bélgica</t>
  </si>
  <si>
    <t xml:space="preserve">Ricavi previsti del mercato belga della cybersecurity nel 2025.</t>
  </si>
  <si>
    <t xml:space="preserve">CAGR 2025-2029 6,5%</t>
  </si>
  <si>
    <t xml:space="preserve">soluzioni di sicurezza, servizi professionali e gestiti</t>
  </si>
  <si>
    <t xml:space="preserve">Se prevé que los ingresos del mercado de la ciberseguridad en Bélgica alcancen los 648 millones de euros en el año 2025.</t>
  </si>
  <si>
    <t xml:space="preserve">Struttura (soluzioni, servizi professionali e gestiti, CAGR 2025-2029) tipica di Statista Market Insights, fonte non dichiarata nell'estratto. Letto da estratto indicizzato della pagina. Verifica finale 08/10/2026, valore confermato sulla fonte. Valore 2025 confermato.</t>
  </si>
  <si>
    <t xml:space="preserve">Volumen de mercado 2029</t>
  </si>
  <si>
    <t xml:space="preserve">Previsione dei ricavi del mercato belga della cybersecurity al 2029.</t>
  </si>
  <si>
    <t xml:space="preserve">traduciéndose en un volumen de mercado de 834 millones de uros en 2029.</t>
  </si>
  <si>
    <t xml:space="preserve">MORDOR-CYBERBE-2026</t>
  </si>
  <si>
    <t xml:space="preserve">Taille et analyse des parts du marché belge de la cybersécurité (2026-2031)</t>
  </si>
  <si>
    <t xml:space="preserve">https://www.mordorintelligence.com/fr/industry-reports/belgium-cybersecurity-market</t>
  </si>
  <si>
    <t xml:space="preserve">Taille du marché belge de la cybersécurité (2025)</t>
  </si>
  <si>
    <t xml:space="preserve">Dimensione del mercato belga della cybersecurity nel 2025.</t>
  </si>
  <si>
    <t xml:space="preserve">La taille du marché belge de la cybersécurité devrait croître de 453 millions USD en 2025 à 492,6 millions USD en 2026</t>
  </si>
  <si>
    <t xml:space="preserve">La tabella di sintesi della stessa pagina indica erroneamente 453 miliardi. Letto da estratto indicizzato della pagina. Verifica finale 08/10/2026, valore confermato sulla fonte. La tabella della pagina riporta per errore Milliards, il testo indica milioni.</t>
  </si>
  <si>
    <t xml:space="preserve">Taille du marché belge de la cybersécurité (2026)</t>
  </si>
  <si>
    <t xml:space="preserve">Dimensione del mercato belga della cybersecurity nel 2026.</t>
  </si>
  <si>
    <t xml:space="preserve">Taille du marché belge de la cybersécurité (2031)</t>
  </si>
  <si>
    <t xml:space="preserve">Previsione del mercato belga della cybersecurity al 2031.</t>
  </si>
  <si>
    <t xml:space="preserve">TCAC 2026-2031 8,74%</t>
  </si>
  <si>
    <t xml:space="preserve">et atteindre 748,83 millions USD d'ici 2031 à un TCAC de 8,74 % sur la période 2026-2031.</t>
  </si>
  <si>
    <t xml:space="preserve">Example of measures relating to cybersecurity, NRRP budget (€ million)</t>
  </si>
  <si>
    <t xml:space="preserve">Bilancio PNRR delle misure legate alla cybersecurity censite da EPRS per lo Stato membro, periodo 2021-2026.</t>
  </si>
  <si>
    <t xml:space="preserve">(I) Cybersecurity €78.7</t>
  </si>
  <si>
    <t xml:space="preserve">Letto da estratto indicizzato della pagina. Riga paese registrata perché fonte UE unica con valori per più Stati membri (Tabella 1). Periodo RRF registrato sull'anno di chiusura.</t>
  </si>
  <si>
    <t xml:space="preserve">BOSA-ASSESSMENTSR-2025</t>
  </si>
  <si>
    <t xml:space="preserve">SPF Stratégie et Appui (BOSA)</t>
  </si>
  <si>
    <t xml:space="preserve">Assessment report spending reviews (sezione 3.6 Cybersécurité)</t>
  </si>
  <si>
    <t xml:space="preserve">https://bosa.belgium.be/sites/default/files/publications/documents/Assessment%20report%20spending%20reviews%20FR%20def.pdf</t>
  </si>
  <si>
    <t xml:space="preserve">Dépenses cybersécurité fédérales, Scénario 1 : Stratégie inchangée</t>
  </si>
  <si>
    <t xml:space="preserve">Spesa cyber prevista dell'amministrazione federale belga nel 2023 a politica invariata, scenario della spending review.</t>
  </si>
  <si>
    <t xml:space="preserve">Proiezione da questionario quantitativo 2020-2026 su sette organizzazioni rappresentative (cinque rispondenti), con spese ripartite in personale, funzionamento e investimento, a partire da 82.000 kEUR nel 2022.</t>
  </si>
  <si>
    <t xml:space="preserve">Scénario 1 : Stratégie inchangée 82.000 100.000 128.000 160.000 192.000 230.000</t>
  </si>
  <si>
    <t xml:space="preserve">Scenario a politica invariata; lo scenario 2 (strategia trasversale) prevede 170.000 kEUR nel 2027. Il 2023 è un valore di scenario, non un consuntivo di cassa verificato. Personale incluso dedotto dalla ripartizione del questionario. Letto da estratto indicizzato della pagina. Verifica finale 08/10/2026, corretto Natura da Consuntivo a Previsione. Il valore 2023 dello scenario è proiettato dal dato 2022 con crescita ipotetica del 20%, non è un consuntivo.</t>
  </si>
  <si>
    <t xml:space="preserve">Spesa cyber prevista dell'amministrazione federale belga nel 2024 a politica invariata, scenario della spending review.</t>
  </si>
  <si>
    <t xml:space="preserve">Scenario a politica invariata; lo scenario 2 (strategia trasversale) prevede 170.000 kEUR nel 2027. Il 2023 è un valore di scenario, non un consuntivo di cassa verificato. Personale incluso dedotto dalla ripartizione del questionario. Letto da estratto indicizzato della pagina.</t>
  </si>
  <si>
    <t xml:space="preserve">Spesa cyber prevista dell'amministrazione federale belga nel 2025 a politica invariata, scenario della spending review.</t>
  </si>
  <si>
    <t xml:space="preserve">Spesa cyber prevista dell'amministrazione federale belga nel 2026 a politica invariata, scenario della spending review.</t>
  </si>
  <si>
    <t xml:space="preserve">Spesa cyber prevista dell'amministrazione federale belga nel 2027 a politica invariata, scenario della spending review.</t>
  </si>
  <si>
    <t xml:space="preserve">BOSA-SPENDINGREVIEWCYBER-2023</t>
  </si>
  <si>
    <t xml:space="preserve">SPF Stratégie et Appui (BOSA), con CCB e altri enti federali</t>
  </si>
  <si>
    <t xml:space="preserve">Spending review Cybersécurité, rapport DEFI-PUBLI (2023)</t>
  </si>
  <si>
    <t xml:space="preserve">06/2023</t>
  </si>
  <si>
    <t xml:space="preserve">https://bosa.belgium.be/sites/default/files/content/documents/Spending%20review%20-%20Cybersecurity%20-%20Rapport%20DEFI-PUBLI.pdf</t>
  </si>
  <si>
    <t xml:space="preserve">Montant total estimé des dépenses pour la cybersécurité (administration fédérale)</t>
  </si>
  <si>
    <t xml:space="preserve">Spesa stimata per la cybersecurity dell'amministrazione federale belga nel 2022 da questionario agli enti federali.</t>
  </si>
  <si>
    <t xml:space="preserve">sicurezza informatica esclusa sicurezza fisica, perimetrale e altra sicurezza</t>
  </si>
  <si>
    <t xml:space="preserve">Questionario estivo 2022 a tutti gli enti federali (totale 92.686 kEUR), limitato all'amministrazione federale e depurato di sicurezza fisica, altra sicurezza e sicurezza perimetrale; in FEDCOM identificate spese cyber per 37.805 kEUR nel primo semestre 2022.</t>
  </si>
  <si>
    <t xml:space="preserve">le montant total estimé des dépenses pour la cybersécurité en 2022 s'élève à 81.947 kEUR.</t>
  </si>
  <si>
    <t xml:space="preserve">Il rapporto segnala che le spese cyber non sono distinguibili dalle altre spese IT in FEDCOM. Sola amministrazione federale. Letto da estratto indicizzato della pagina. Verifica finale 08/10/2026, valore confermato sulla fonte. Spending review federale belga basata su questionari alle amministrazioni.</t>
  </si>
  <si>
    <t xml:space="preserve">VRT-CYBERADMIN-2025</t>
  </si>
  <si>
    <t xml:space="preserve">VRT NWS</t>
  </si>
  <si>
    <t xml:space="preserve">Le gouvernement fédéral prévoit 55 millions d'euros pour la cybersécurité des administrations</t>
  </si>
  <si>
    <t xml:space="preserve">30/05/2025</t>
  </si>
  <si>
    <t xml:space="preserve">https://www.vrt.be/vrtnws/fr/2025/05/30/le-gouvernement-federal-prevoit-55-millions-d-euros-pour-la-cybe/</t>
  </si>
  <si>
    <t xml:space="preserve">Annuncio della ministra federale dell'Azione e Modernizzazione pubblica Vanessa Matz (URL non indicato)</t>
  </si>
  <si>
    <t xml:space="preserve">Budget pour la cybersécurité des administrations fédérales</t>
  </si>
  <si>
    <t xml:space="preserve">Stanziamento federale 2025 per la cybersecurity delle amministrazioni federali.</t>
  </si>
  <si>
    <t xml:space="preserve">Dedotta. Stanziamento pubblico per la sicurezza informatica delle amministrazioni.</t>
  </si>
  <si>
    <t xml:space="preserve">Annuncio governativo. Non dichiarata.</t>
  </si>
  <si>
    <t xml:space="preserve">Un budget de 55 millions d'euros sera alloué cette année à la cybersécurité des administrations</t>
  </si>
  <si>
    <t xml:space="preserve">Fabbisogno stimato oltre 108 milioni secondo stampa successiva. Stanziamento, non spesa eseguita. Letto da estratto indicizzato della pagina. Verifica finale 08/10/2026, valore confermato sulla fonte. Stanziamento 2025 confermato.</t>
  </si>
  <si>
    <t xml:space="preserve">CBN-ITARG-2025</t>
  </si>
  <si>
    <t xml:space="preserve">BG</t>
  </si>
  <si>
    <t xml:space="preserve">Bulgaria</t>
  </si>
  <si>
    <t xml:space="preserve">Capital (digitalk.bg)</t>
  </si>
  <si>
    <t xml:space="preserve">CBN. Държавата е похарчила 22.3 млн. лева за киберсигурност по ЗОП</t>
  </si>
  <si>
    <t xml:space="preserve">05/06/2025</t>
  </si>
  <si>
    <t xml:space="preserve">https://digitalk.bg/security/2025/06/05/4789735_cbn_durjavata_e_poharchila_223_mln_leva_za/</t>
  </si>
  <si>
    <t xml:space="preserve">CBN - Pannoff, Stoytcheff &amp; Co., 25a indagine annuale ИТърг sugli appalti IT pubblici</t>
  </si>
  <si>
    <t xml:space="preserve">Обща стойност на договорите за директно внедряване на решения за киберсигурност по ЗОП</t>
  </si>
  <si>
    <t xml:space="preserve">Valore dei contratti pubblici cyber 2024 firmati da ministeri e amministrazioni statali bulgare.</t>
  </si>
  <si>
    <t xml:space="preserve">Amministrazione statale</t>
  </si>
  <si>
    <t xml:space="preserve">BGN</t>
  </si>
  <si>
    <t xml:space="preserve">soluzioni di cybersecurity acquistate con appalti pubblici</t>
  </si>
  <si>
    <t xml:space="preserve">Dedotta. Somma dei contratti di appalto firmati dagli acquirenti pubblici.</t>
  </si>
  <si>
    <t xml:space="preserve">Banca dati ИТърг degli appalti IT secondo la legge sugli appalti pubblici, 94 contratti 2024 con oggetto diretto soluzioni di cybersecurity, 40 committenti.</t>
  </si>
  <si>
    <t xml:space="preserve">министерства и други организации от държавната администрация, които са сключили 50 от тези 94 договора на обща стойност 13.3 милиона лева.</t>
  </si>
  <si>
    <t xml:space="preserve">Solo appalti con oggetto diretto cyber, esclude componenti cyber dentro contratti IT più ampi. Letto da estratto indicizzato della pagina.</t>
  </si>
  <si>
    <t xml:space="preserve">Valore dei contratti pubblici cyber 2024 firmati dal settore dell'istruzione in Bulgaria.</t>
  </si>
  <si>
    <t xml:space="preserve">Istruzione</t>
  </si>
  <si>
    <t xml:space="preserve">В образователния сектор са подписани 9 договора за около 1.4 милиона лева.</t>
  </si>
  <si>
    <t xml:space="preserve">Solo appalti con oggetto diretto cyber, esclude componenti cyber dentro contratti IT più ampi. Il comunicato ALSO Bulgaria sullo stesso studio indica 17 contratti invece di 9. Letto da estratto indicizzato della pagina. Verifica finale 08/10/2026, valore confermato sulla fonte. Valore settore istruzione confermato.</t>
  </si>
  <si>
    <t xml:space="preserve">Valore dei contratti pubblici 2024 per soluzioni di cybersecurity in Bulgaria.</t>
  </si>
  <si>
    <t xml:space="preserve">Общо 94 договора за директно внедряване на решения за киберсигурност са сключени през 2024 г. ... Общата стойност на тези поръчки е 22.3 милиона лева</t>
  </si>
  <si>
    <t xml:space="preserve">Solo appalti con oggetto diretto cyber, esclude componenti cyber dentro contratti IT più ampi. Letto da estratto indicizzato della pagina. Verifica finale 08/10/2026, valore confermato sulla fonte. Valore 2024 confermato.</t>
  </si>
  <si>
    <t xml:space="preserve">EC-DIGIDECADEBG-2024</t>
  </si>
  <si>
    <t xml:space="preserve">Commissione europea (traduzione pubblicata dall'Istituto di pubblica amministrazione bulgaro)</t>
  </si>
  <si>
    <t xml:space="preserve">Relazione sullo stato del decennio digitale 2024, scheda Bulgaria</t>
  </si>
  <si>
    <t xml:space="preserve">https://www.ipa.government.bg/sites/default/files/digidecade_bg-bg.pdf</t>
  </si>
  <si>
    <t xml:space="preserve">разходни средства за център по киберсигурност към ДАНС в държавния бюджет за 2024 г.</t>
  </si>
  <si>
    <t xml:space="preserve">Stanziamento del bilancio statale bulgaro 2024 per il centro di cybersecurity dell'agenzia per la sicurezza nazionale DANS.</t>
  </si>
  <si>
    <t xml:space="preserve">Dedotta. Stanziamento del bilancio statale per un centro pubblico di cybersecurity.</t>
  </si>
  <si>
    <t xml:space="preserve">Dato ripreso dal bilancio statale bulgaro 2024 nella relazione della Commissione.</t>
  </si>
  <si>
    <t xml:space="preserve">В държавния бюджет за 2024 г. са включени приблизително 19 млн. евро (37 млн. лв.) разходни средства за център по киберсигурност</t>
  </si>
  <si>
    <t xml:space="preserve">Equivalente indicato dalla fonte circa 19 mln EUR. Letto da estratto indicizzato della pagina. Verifica finale 08/10/2026, valore confermato sulla fonte. Stanziamento 2024 in leva confermato.</t>
  </si>
  <si>
    <t xml:space="preserve">ESECURITY-CYBERBG-2025</t>
  </si>
  <si>
    <t xml:space="preserve">e-security.bg</t>
  </si>
  <si>
    <t xml:space="preserve">Българският пазар на киберсигурност достига 82,64 милиона долара през 2025 г.</t>
  </si>
  <si>
    <t xml:space="preserve">17/10/2025</t>
  </si>
  <si>
    <t xml:space="preserve">https://e-security.bg/balgarskiyat-pazar-na-kibersigurnost-dostiga-8264-miliona-dolara-prez-2025-g/</t>
  </si>
  <si>
    <t xml:space="preserve">Non indicata nell'estratto (indicatori e struttura coincidono con Statista Market Insights)</t>
  </si>
  <si>
    <t xml:space="preserve">Cyber Solutions (кибер решения), прогнозен обем</t>
  </si>
  <si>
    <t xml:space="preserve">Ricavi attesi del segmento cyber solutions in Bulgaria nel 2025.</t>
  </si>
  <si>
    <t xml:space="preserve">Cyber solutions (software e hardware di sicurezza)</t>
  </si>
  <si>
    <t xml:space="preserve">cyber solutions e security services (dedotto)</t>
  </si>
  <si>
    <t xml:space="preserve">Dedotta. L'articolo non indica fonte né metodo, la struttura suggerisce Statista che dichiara ricavi dei fornitori.</t>
  </si>
  <si>
    <t xml:space="preserve">Non dichiarata.</t>
  </si>
  <si>
    <t xml:space="preserve">водеща позиция заема Cyber Solutions (кибер решения), с прогнозен обем от 51,45 милиона долара за същата година.</t>
  </si>
  <si>
    <t xml:space="preserve">Letto da estratto indicizzato della pagina. Verifica finale 08/10/2026, valore confermato sulla fonte. Segmento cyber solutions confermato.</t>
  </si>
  <si>
    <t xml:space="preserve">приходи на пазара на киберсигурност в България</t>
  </si>
  <si>
    <t xml:space="preserve">Ricavi attesi del mercato bulgaro della cybersecurity nel 2025.</t>
  </si>
  <si>
    <t xml:space="preserve">CAGR 2025-2030 7,35%</t>
  </si>
  <si>
    <t xml:space="preserve">До края на 2025 г. пазарът на киберсигурност в България се очаква да достигне приходи от 82,64 милиона щатски долара</t>
  </si>
  <si>
    <t xml:space="preserve">Letto da estratto indicizzato della pagina. Verifica finale 08/10/2026, valore confermato sulla fonte. Valore confermato come stima 2025.</t>
  </si>
  <si>
    <t xml:space="preserve">разход за киберсигурност на служител в България</t>
  </si>
  <si>
    <t xml:space="preserve">Spesa media in cybersecurity per addetto in Bulgaria nel 2025.</t>
  </si>
  <si>
    <t xml:space="preserve">разход за киберсигурност на служител в България се очаква да достигне 27,05 долара през 2025 г.</t>
  </si>
  <si>
    <t xml:space="preserve">Valore per addetto in USD, ottenuto dividendo i ricavi di mercato per il numero di occupati. Letto da estratto indicizzato della pagina. Verifica finale 08/10/2026, valore confermato sulla fonte. Spesa per addetto confermata in dollari.</t>
  </si>
  <si>
    <t xml:space="preserve">Previsione dei ricavi del mercato bulgaro della cybersecurity al 2030.</t>
  </si>
  <si>
    <t xml:space="preserve">годишен темп на растеж (CAGR 2025-2030) от 7,35%, достигайки 117,81 милиона долара до 2030 г.</t>
  </si>
  <si>
    <t xml:space="preserve">CSF-CYBERBG-2026</t>
  </si>
  <si>
    <t xml:space="preserve">Investor.bg</t>
  </si>
  <si>
    <t xml:space="preserve">Киберсигурността вече е битка за хора, не само за технологии</t>
  </si>
  <si>
    <t xml:space="preserve">16/06/2026</t>
  </si>
  <si>
    <t xml:space="preserve">https://www.investor.bg/a/571-it-i-telekomunikatsii/432073-kibersigurnostta-veche-e-bitka-za-hora-ne-samo-za-tehnologii</t>
  </si>
  <si>
    <t xml:space="preserve">Българска фондация за киберсигурност (CSF.BG), dati riepilogati da fonti non indicate (https://csf.bg/zaplati)</t>
  </si>
  <si>
    <t xml:space="preserve">пазарът на киберсигурност у нас</t>
  </si>
  <si>
    <t xml:space="preserve">Mercato bulgaro della cybersecurity nel 2024 secondo i dati riepilogati dalla Fondazione bulgara per la cybersecurity.</t>
  </si>
  <si>
    <t xml:space="preserve">Crescita media annua circa 9%</t>
  </si>
  <si>
    <t xml:space="preserve">Dedotta. Dato riepilogato da una fondazione senza indicare fonte e metodo.</t>
  </si>
  <si>
    <t xml:space="preserve">пазарът на киберсигурност ... е оценен на около 74 млн. долара за 2024 г., с прогноза да достигне около 115 млн. долара до 2029 г.</t>
  </si>
  <si>
    <t xml:space="preserve">La pagina della fondazione indica il valore in euro nel titolo e in dollari nel testo. Letto da estratto indicizzato della pagina. Verifica finale 08/10/2026, valore confermato sulla fonte.</t>
  </si>
  <si>
    <t xml:space="preserve">Previsione del mercato bulgaro della cybersecurity al 2029 secondo la Fondazione bulgara per la cybersecurity.</t>
  </si>
  <si>
    <t xml:space="preserve">La pagina della fondazione indica il valore in euro nel titolo e in dollari nel testo. Letto da estratto indicizzato della pagina.</t>
  </si>
  <si>
    <t xml:space="preserve">grant scheme for information and communication technology and cybersecurity in SMEs €30.4</t>
  </si>
  <si>
    <t xml:space="preserve">Letto da estratto indicizzato della pagina. Riga paese registrata perché fonte UE unica con valori per più Stati membri (Tabella 1). Periodo RRF registrato sull'anno di chiusura. Misura con perimetro più ampio della sola cybersecurity.</t>
  </si>
  <si>
    <t xml:space="preserve">DAEU-ISFPROJ-2019</t>
  </si>
  <si>
    <t xml:space="preserve">Държавна агенция "Електронно управление" (DAEU)</t>
  </si>
  <si>
    <t xml:space="preserve">Проект Изграждане на елементи от национална система за киберсигурност (Фонд Вътрешна сигурност 2014-2020)</t>
  </si>
  <si>
    <t xml:space="preserve">12/08/2019</t>
  </si>
  <si>
    <t xml:space="preserve">https://e-gov.bg/wps/portal/agency/all-projects/projects-DAEU/projects-mis</t>
  </si>
  <si>
    <t xml:space="preserve">Обща стойност на проекта</t>
  </si>
  <si>
    <t xml:space="preserve">Valore del progetto DAEU per elementi del sistema nazionale bulgaro di cybersecurity finanziato dal Fondo Sicurezza interna.</t>
  </si>
  <si>
    <t xml:space="preserve">Dedotta. Fabbisogno o valore di progetti pubblici di cybersecurity.</t>
  </si>
  <si>
    <t xml:space="preserve">Valore del contratto di progetto, 7,97 mln BGN dal Fondo Sicurezza interna e 2,66 mln BGN di cofinanziamento nazionale, durata 41 mesi.</t>
  </si>
  <si>
    <t xml:space="preserve">Обща стойност на проекта: 10 630 098.57 лв., от които 7 972 573.93 лв. от Фонд „Вътрешна сигурност“ и 2 657 524.64 лв. национално съфинансиране.</t>
  </si>
  <si>
    <t xml:space="preserve">Valore pluriennale del progetto. Letto da estratto indicizzato della pagina. Verifica finale 08/10/2026, valore confermato sulla fonte. Valore del progetto con contratto del 2019 confermato.</t>
  </si>
  <si>
    <t xml:space="preserve">DAEU-PATNAKARTA-2021</t>
  </si>
  <si>
    <t xml:space="preserve">Пътна карта към Актуализирана Национална стратегия за киберсигурност Киберустойчива България 2023</t>
  </si>
  <si>
    <t xml:space="preserve">2021</t>
  </si>
  <si>
    <t xml:space="preserve">https://e-gov.bg/wps/wcm/connect/e-gov.bg-18083/f8d63fb3-47b8-42f9-9f03-75168d028271/Putna_karta_public_v.0.7_Website.pdf?MOD=AJPERES</t>
  </si>
  <si>
    <t xml:space="preserve">Проектна фаза 1 Изграждане на Национална Система за киберсигурност, общ необходим финансов ресурс</t>
  </si>
  <si>
    <t xml:space="preserve">Fabbisogno finanziario della fase 1 della tabella di marcia bulgara per costruire il sistema nazionale di cybersecurity.</t>
  </si>
  <si>
    <t xml:space="preserve">Fabbisogno finanziario della tabella di marcia della strategia nazionale, somma dei progetti per fase.</t>
  </si>
  <si>
    <t xml:space="preserve">Проектна фаза 1: Изграждане на Национална Система за киберсигурност в Република България Общ необходим финансов ресурс за фазата: 246 020 000 лв.</t>
  </si>
  <si>
    <t xml:space="preserve">Fabbisogno stimato pluriennale, non stanziamento. Letto da estratto indicizzato della pagina.</t>
  </si>
  <si>
    <t xml:space="preserve">Проектна фаза 2 Изграждане на система за киберзащита на споделените информационни ресурси, общ необходим финансов ресурс</t>
  </si>
  <si>
    <t xml:space="preserve">Fabbisogno finanziario della fase 2 della tabella di marcia bulgara per la cyber protezione delle risorse informative condivise.</t>
  </si>
  <si>
    <t xml:space="preserve">Проектна фаза 2: Изграждане на система за киберзащита на споделените информационни ресурси Общ необходим финансов ресурс за фазата: 178 537 000 лв.</t>
  </si>
  <si>
    <t xml:space="preserve">MIG-CENTRALCOMP-2023</t>
  </si>
  <si>
    <t xml:space="preserve">Министерство на иновациите и растежа</t>
  </si>
  <si>
    <t xml:space="preserve">Методология и критерии за подбор, Изграждане на централните компоненти на националната система за киберсигурност</t>
  </si>
  <si>
    <t xml:space="preserve">08/2023</t>
  </si>
  <si>
    <t xml:space="preserve">https://www.mig.government.bg/wp-content/uploads/2023/08/11.-selection-criteria_cs1_-central-components.pdf</t>
  </si>
  <si>
    <t xml:space="preserve">Общият размер на безвъзмездната финансова помощ</t>
  </si>
  <si>
    <t xml:space="preserve">Dotazione della procedura bulgara per i componenti centrali del sistema nazionale di cybersecurity.</t>
  </si>
  <si>
    <t xml:space="preserve">Dotazione della procedura di sovvenzione 2023-2026 per i componenti centrali del sistema nazionale di cybersecurity, pari a 4 mln EUR.</t>
  </si>
  <si>
    <t xml:space="preserve">Общият размер на безвъзмездната финансова помощ е 7 823 320 лева (4 000 000 евро)</t>
  </si>
  <si>
    <t xml:space="preserve">Dotazione pluriennale 2023-2026. Letto da estratto indicizzato della pagina. Verifica finale 08/10/2026, valore confermato sulla fonte. Importo del contributo confermato, procedura 2023 2026.</t>
  </si>
  <si>
    <t xml:space="preserve">EC-DIGITALDECADECY-2026</t>
  </si>
  <si>
    <t xml:space="preserve">CY</t>
  </si>
  <si>
    <t xml:space="preserve">Cipro</t>
  </si>
  <si>
    <t xml:space="preserve">Commissione europea (Digital Decade 2026 country report Cyprus, documento del Consiglio)</t>
  </si>
  <si>
    <t xml:space="preserve">Council doc. 10476/26 ADD 34, Digital Decade 2026 country report Cyprus</t>
  </si>
  <si>
    <t xml:space="preserve">https://data.consilium.europa.eu/doc/document/ST-10476-2026-ADD-34/en/pdf</t>
  </si>
  <si>
    <t xml:space="preserve">allocated budget for SMEs</t>
  </si>
  <si>
    <t xml:space="preserve">Quota 2025 dei bandi cyber destinata alle PMI cipriote.</t>
  </si>
  <si>
    <t xml:space="preserve">PMI</t>
  </si>
  <si>
    <t xml:space="preserve">Dedotta. Bandi pubblici di sostegno alla spesa cyber delle imprese.</t>
  </si>
  <si>
    <t xml:space="preserve">Dotazione dei bandi NCC-CY e RIF per la cybersecurity di PMI e turismo come riportata nel rapporto.</t>
  </si>
  <si>
    <t xml:space="preserve">with EUR 1.5 million for SMEs and EUR 1 million for the tourism sector</t>
  </si>
  <si>
    <t xml:space="preserve">allocated budget for the tourism sector</t>
  </si>
  <si>
    <t xml:space="preserve">Quota 2025 dei bandi cyber destinata al settore turistico cipriota.</t>
  </si>
  <si>
    <t xml:space="preserve">Turismo (alberghi e agenzie di viaggio)</t>
  </si>
  <si>
    <t xml:space="preserve">total allocated budget, Enhancing Cybersecurity for SMEs and in the Tourism Sector</t>
  </si>
  <si>
    <t xml:space="preserve">Dotazione complessiva 2025 dei bandi cyber per PMI e turismo a Cipro.</t>
  </si>
  <si>
    <t xml:space="preserve">The total allocated budget is EUR 2.5 million, with EUR 1.5 million for SMEs and EUR 1 million for the tourism sector</t>
  </si>
  <si>
    <t xml:space="preserve">Letto da estratto indicizzato della pagina. Verifica finale 08/10/2026, valore confermato sulla fonte. Bandi NCC-CY annunciati il 15 settembre 2025.</t>
  </si>
  <si>
    <t xml:space="preserve">budget of the 2026 call for start-ups and innovative companies</t>
  </si>
  <si>
    <t xml:space="preserve">Dotazione prevista del bando cyber 2026 per start-up e imprese innovative a Cipro.</t>
  </si>
  <si>
    <t xml:space="preserve">Start-up e imprese innovative</t>
  </si>
  <si>
    <t xml:space="preserve">The NCC-CY is also planning a call in 2026 for cybersecurity in start-ups and innovative companies ... The budget is EUR 1 million.</t>
  </si>
  <si>
    <t xml:space="preserve">EC-DPAFACTSHEETCY-2023</t>
  </si>
  <si>
    <t xml:space="preserve">Commissione europea, Interoperable Europe (Digital Public Administration factsheet Cyprus)</t>
  </si>
  <si>
    <t xml:space="preserve">Digital Public Administration factsheet 2023, Cyprus</t>
  </si>
  <si>
    <t xml:space="preserve">https://interoperable-europe.ec.europa.eu/sites/default/files/inline-files/DPA_Factsheets_2023_Cyprus_vFINAL_rev.pdf</t>
  </si>
  <si>
    <t xml:space="preserve">budget available for the implementation of the strategy</t>
  </si>
  <si>
    <t xml:space="preserve">Budget disponibile nel 2022 per l'attuazione della strategia nazionale cyber di Cipro.</t>
  </si>
  <si>
    <t xml:space="preserve">Dedotta. Risorse pubbliche per l'attuazione della strategia, non ricavi dei fornitori.</t>
  </si>
  <si>
    <t xml:space="preserve">Budget messo a disposizione per l'attuazione della strategia nazionale di cybersecurity, come riportato nella scheda.</t>
  </si>
  <si>
    <t xml:space="preserve">The budget that has been made available for the implementation of the strategy is currently around EUR 6.5 million for 2022</t>
  </si>
  <si>
    <t xml:space="preserve">Letto da estratto indicizzato della pagina. Valore approssimato. Verifica finale 08/10/2026, valore confermato sulla fonte. Valore 2022 confermato.</t>
  </si>
  <si>
    <t xml:space="preserve">STATISTA-CYBER-2025</t>
  </si>
  <si>
    <t xml:space="preserve">HR</t>
  </si>
  <si>
    <t xml:space="preserve">Croazia</t>
  </si>
  <si>
    <t xml:space="preserve">International Trade Administration (Dipartimento del Commercio USA)</t>
  </si>
  <si>
    <t xml:space="preserve">Croatia Country Commercial Guide. Information and Communication Technology</t>
  </si>
  <si>
    <t xml:space="preserve">https://www.trade.gov/country-commercial-guides/croatia-information-and-communication-technology</t>
  </si>
  <si>
    <t xml:space="preserve">Statista Market Insights, Cybersecurity, Croatia (https://www.statista.com/outlook/tmo/cybersecurity/croatia)</t>
  </si>
  <si>
    <t xml:space="preserve">Croatian Cybersecurity market projected earnings</t>
  </si>
  <si>
    <t xml:space="preserve">Ricavi previsti 2025 del mercato croato della cybersecurity secondo Statista, riportati dalla guida commerciale statunitense.</t>
  </si>
  <si>
    <t xml:space="preserve">cyber solutions e security services</t>
  </si>
  <si>
    <t xml:space="preserve">Statista Market Insights dichiara che i valori di mercato sono ricavi generati dai fornitori primari, direttamente o tramite canali, a prezzi del produttore IVA esclusa, e includono spesa B2C, B2B e B2G.</t>
  </si>
  <si>
    <t xml:space="preserve">According to Statista, the Croatian Cybersecurity market is expected to witness a significant growth in revenue, with projected earnings reaching $106.79 million in 2025.</t>
  </si>
  <si>
    <t xml:space="preserve">Data della pagina non leggibile, anno dedotto dal contenuto. Lo stesso valore è riportato da Jutarnji list il 13/07/2025. Pagina outlook Statista Croazia con valori oscurati. Letto da estratto indicizzato della pagina.</t>
  </si>
  <si>
    <t xml:space="preserve">MPUDT-NCCHR-2025</t>
  </si>
  <si>
    <t xml:space="preserve">Ministarstvo pravosuđa, uprave i digitalne transformacije</t>
  </si>
  <si>
    <t xml:space="preserve">Republika Hrvatska dodatno se pozicionirala kao predvodnica u jačanju europskog ekosustava kibernetičke sigurnosti</t>
  </si>
  <si>
    <t xml:space="preserve">17/02/2025</t>
  </si>
  <si>
    <t xml:space="preserve">https://mpudt.gov.hr/vijesti-8/republika-hrvatska-dodatno-se-pozicionirala-kao-predvodnica-u-jacanju-europskog-ekosustava-kiberneticke-sigurnosti/29877?lang=cs</t>
  </si>
  <si>
    <t xml:space="preserve">projekt Deployment of NCC-HR, ukupna vrijednost</t>
  </si>
  <si>
    <t xml:space="preserve">Valore del progetto per il Centro nazionale croato di coordinamento per la cybersecurity NCC-HR.</t>
  </si>
  <si>
    <t xml:space="preserve">Dedotta. Progetto pubblico per il centro nazionale di coordinamento cyber con sostegno alle imprese.</t>
  </si>
  <si>
    <t xml:space="preserve">Valore totale del progetto del Centro nazionale di coordinamento, cofinanziato al 50% dal programma Europa digitale, durata fino al 2028.</t>
  </si>
  <si>
    <t xml:space="preserve">projekt NKS-a pod nazivom „Deployment of NCC-HR“, ukupne vrijednosti 7,87 milijuna eura, od čega polovicu sufinancira Program Digitalna Europa (DEP).</t>
  </si>
  <si>
    <t xml:space="preserve">Valore pluriennale fino al 2028, metà da fondi UE. Letto da estratto indicizzato della pagina. Verifica finale 08/10/2026, valore confermato sulla fonte. Valore totale del progetto confermato nella stessa pagina in croato.</t>
  </si>
  <si>
    <t xml:space="preserve">MUP-NPOOC23R3I2-2024</t>
  </si>
  <si>
    <t xml:space="preserve">Ministarstvo unutarnjih poslova</t>
  </si>
  <si>
    <t xml:space="preserve">Investicija C2.3. R3-I2 Jačanje kapaciteta policije za suzbijanje kibernetičkog kriminaliteta (NPOO)</t>
  </si>
  <si>
    <t xml:space="preserve">09/04/2024</t>
  </si>
  <si>
    <t xml:space="preserve">https://mup.gov.hr/vijesti/investicija-c2-3-r3-i2-jacanje-kapaciteta-policije-za-suzbijanje-kibernetickog-kriminaliteta-u-okviru-nacionalnog-programa-oporavka-i-otpornosti/294007</t>
  </si>
  <si>
    <t xml:space="preserve">Ukupna vrijednost investicije C2.3. R3-I2</t>
  </si>
  <si>
    <t xml:space="preserve">Valore dell'investimento NPOO per rafforzare la polizia croata contro il cybercrime.</t>
  </si>
  <si>
    <t xml:space="preserve">Dedotta. Investimento pubblico della polizia in strumenti, forensica digitale e formazione.</t>
  </si>
  <si>
    <t xml:space="preserve">Valore totale dell'investimento del Piano nazionale di ripresa per la capacità della polizia contro il cybercrime, chiusura a dicembre 2024.</t>
  </si>
  <si>
    <t xml:space="preserve">Ukupna vrijednost investicije je 1.58 milijuna EUR, dok je rok završetka svih aktivnosti prosinac 2024. godine.</t>
  </si>
  <si>
    <t xml:space="preserve">Capacità di contrasto al cybercrime della polizia, perimetro di confine con la cybersecurity. Letto da estratto indicizzato della pagina. Verifica finale 08/10/2026, riverifica non riuscita (non rileggibile). Tre ricerche sul dominio mup.gov.hr non hanno restituito la pagina indicata. Altri documenti del ministero riportano 1.581.625 EUR, valore coerente. Valore letto in fase di raccolta, da ricontrollare sulla fonte.</t>
  </si>
  <si>
    <t xml:space="preserve">(I) Strengthening the capacity of the police to tackle cybercrime €1.8</t>
  </si>
  <si>
    <t xml:space="preserve">CARNET-NKSPOZIV-2025</t>
  </si>
  <si>
    <t xml:space="preserve">Poslovni dnevnik</t>
  </si>
  <si>
    <t xml:space="preserve">Stiže novac za ulaganja u kibernetičku sigurnost, a time i opasnost od guljenja</t>
  </si>
  <si>
    <t xml:space="preserve">24/07/2025</t>
  </si>
  <si>
    <t xml:space="preserve">https://www.poslovni.hr/sci-tech/stize-novac-za-ulaganja-u-kiberneticku-sigurnost-a-time-i-opasnost-od-guljenja-4493636</t>
  </si>
  <si>
    <t xml:space="preserve">CARNET, Nacionalno koordinacijsko središte za kibernetičku sigurnost (NKS), bando in consultazione pubblica</t>
  </si>
  <si>
    <t xml:space="preserve">bespovratna sredstva za ulaganja u kibernetičku sigurnost mikro, malih i srednjih poduzetnika</t>
  </si>
  <si>
    <t xml:space="preserve">Dotazione del bando NKS per contributi alla cybersecurity delle micro, piccole e medie imprese croate.</t>
  </si>
  <si>
    <t xml:space="preserve">Dedotta. Contributi pubblici a PMI che acquistano misure e servizi di cybersecurity.</t>
  </si>
  <si>
    <t xml:space="preserve">Dotazione di un bando finanziato da Europa digitale per PMI, contributi da 7.500 a 60.000 EUR al 50% dei costi.</t>
  </si>
  <si>
    <t xml:space="preserve">Mikro, mali i srednji poduzetnici uskoro bi na raspolaganju trebali imati 1,97 milijuna bespovratnog novca za ulaganja u kibernetičku sigurnost.</t>
  </si>
  <si>
    <t xml:space="preserve">Bando in consultazione pubblica al momento dell'articolo. Letto da estratto indicizzato della pagina. Verifica finale 08/10/2026, riverifica non riuscita (non rileggibile). Nessun estratto dell'articolo indicato dopo tre tentativi. Altre pagine dello stesso sito citano un bando CARNET da 1,97 milioni. Valore letto in fase di raccolta, da ricontrollare sulla fonte.</t>
  </si>
  <si>
    <t xml:space="preserve">VLADA-PRERASPODJELA-2025</t>
  </si>
  <si>
    <t xml:space="preserve">Vlada Republike Hrvatske</t>
  </si>
  <si>
    <t xml:space="preserve">Prijedlog odluke o preraspodjeli sredstava u Državnom proračunu za 2025. (136. sjednica Vlade)</t>
  </si>
  <si>
    <t xml:space="preserve">https://vlada.gov.hr/UserDocsImages/2016/Sjednice/2025/Prosinac/136_sjednica_VRH/136%20-%206.docx</t>
  </si>
  <si>
    <t xml:space="preserve">242 Zavod za sigurnost informacijskih sustava, sredstva nakon preraspodjele 2025</t>
  </si>
  <si>
    <t xml:space="preserve">Bilancio 2025 dell'ente croato ZSIS dopo la riallocazione di dicembre 2025.</t>
  </si>
  <si>
    <t xml:space="preserve">Dedotta. Bilancio dell'ente pubblico nazionale per la sicurezza dei sistemi informativi.</t>
  </si>
  <si>
    <t xml:space="preserve">Piano finanziario dell'ente fissato nella legge di bilancio statale con proiezioni biennali.</t>
  </si>
  <si>
    <t xml:space="preserve">242 ZAVOD ZA SIGURNOST INFORMACIJSKIH SUSTAVA 4.616.367 4.616.367 -177.200 4.439.167</t>
  </si>
  <si>
    <t xml:space="preserve">ZSIS copre la sicurezza dei sistemi informativi dello Stato incluse le informazioni classificate, non solo la cybersecurity. Il valore di partenza della riallocazione (4.616.367 EUR) differisce dal piano finanziario 2025 pubblicato da ZSIS (4.896.367 EUR). Letto da estratto indicizzato della pagina. Verifica finale 08/10/2026, valore confermato sulla fonte.</t>
  </si>
  <si>
    <t xml:space="preserve">ZSIS-FINPLAN-2024</t>
  </si>
  <si>
    <t xml:space="preserve">Zavod za sigurnost informacijskih sustava (ZSIS)</t>
  </si>
  <si>
    <t xml:space="preserve">Financijski plan ZSIS-a za 2025. godinu</t>
  </si>
  <si>
    <t xml:space="preserve">12/2024</t>
  </si>
  <si>
    <t xml:space="preserve">https://www.zsis.hr/default.aspx?id=470</t>
  </si>
  <si>
    <t xml:space="preserve">Financijski plan Zavoda za sigurnost informacijskih sustava</t>
  </si>
  <si>
    <t xml:space="preserve">Piano finanziario 2025 dell'ente croato per la sicurezza dei sistemi informativi ZSIS.</t>
  </si>
  <si>
    <t xml:space="preserve">Financijski plan Zavoda za sigurnost informacijskih sustava (ZSIS) za 2025. godinu u iznosu od 4.896.367 €</t>
  </si>
  <si>
    <t xml:space="preserve">ZSIS copre la sicurezza dei sistemi informativi dello Stato incluse le informazioni classificate, non solo la cybersecurity. Letto da estratto indicizzato della pagina. Verifica finale 08/10/2026, valore confermato sulla fonte. Piano finanziario 2025 approvato con il bilancio statale.</t>
  </si>
  <si>
    <t xml:space="preserve">ZSIS-FINPLAN-2025</t>
  </si>
  <si>
    <t xml:space="preserve">Financijski plan ZSIS-a za 2026. godinu</t>
  </si>
  <si>
    <t xml:space="preserve">https://www.zsis.hr/default.aspx?id=663</t>
  </si>
  <si>
    <t xml:space="preserve">Piano finanziario 2026 dell'ente croato per la sicurezza dei sistemi informativi ZSIS.</t>
  </si>
  <si>
    <t xml:space="preserve">Financijski plan Zavoda za sigurnost informacijskih sustava (ZSIS) za 2026. godinu u iznosu od 4.957.309 €</t>
  </si>
  <si>
    <t xml:space="preserve">ZSIS copre la sicurezza dei sistemi informativi dello Stato incluse le informazioni classificate, non solo la cybersecurity. Letto da estratto indicizzato della pagina. Verifica finale 08/10/2026, valore confermato sulla fonte. Piano finanziario 2026 confermato nella pagina ZSIS.</t>
  </si>
  <si>
    <t xml:space="preserve">Proiezione 2027 del bilancio dell'ente croato ZSIS.</t>
  </si>
  <si>
    <t xml:space="preserve">projekcije za 2027. godinu u iznosu od 4.603.937 €</t>
  </si>
  <si>
    <t xml:space="preserve">ZSIS copre la sicurezza dei sistemi informativi dello Stato incluse le informazioni classificate, non solo la cybersecurity. Letto da estratto indicizzato della pagina.</t>
  </si>
  <si>
    <t xml:space="preserve">Proiezione 2028 del bilancio dell'ente croato ZSIS.</t>
  </si>
  <si>
    <t xml:space="preserve">za 2028. godinu u iznosu od 4.595.524 €</t>
  </si>
  <si>
    <t xml:space="preserve">DI-CYBERPOLITISK-2025</t>
  </si>
  <si>
    <t xml:space="preserve">DK</t>
  </si>
  <si>
    <t xml:space="preserve">Danimarca</t>
  </si>
  <si>
    <t xml:space="preserve">Dansk Industri (DI)</t>
  </si>
  <si>
    <t xml:space="preserve">Cyberangreb kommer aldrig belejligt, cyberpolitisk rapport 2025</t>
  </si>
  <si>
    <t xml:space="preserve">05/2025</t>
  </si>
  <si>
    <t xml:space="preserve">https://www.danskindustri.dk/globalassets/politik-og-analyser/politiske-udspil/2025/cybersikkerhed/cyberpolitisk-rapport_2025_web.pdf?v=250526</t>
  </si>
  <si>
    <t xml:space="preserve">Non indicata nell'estratto</t>
  </si>
  <si>
    <t xml:space="preserve">Erhvervsøkonomiske konsekvenser, løbende udgifter, nedre grænse</t>
  </si>
  <si>
    <t xml:space="preserve">Estremo inferiore dei costi annui ricorrenti delle imprese danesi per NIS2.</t>
  </si>
  <si>
    <t xml:space="preserve">DKK</t>
  </si>
  <si>
    <t xml:space="preserve">Dedotta. Stima dei costi sostenuti dalle imprese per adeguarsi a NIS2.</t>
  </si>
  <si>
    <t xml:space="preserve">De erhvervsøkonomiske konsekvenser estimeres til 4,4 - 5,7 mia. kr. i omstil- lingsomkostninger og 2,7 - 3,8 mia. kr. årligt i løbende udgifter.</t>
  </si>
  <si>
    <t xml:space="preserve">Spesa incrementale di conformità, non spesa cyber totale. Costi una tantum di transizione 4,4-5,7 miliardi. Anno 2025 dedotto dall'entrata in vigore di NIS2. Letto da estratto indicizzato della pagina. Verifica finale 08/10/2026, corretto Natura da Consuntivo a Previsione. Valore confermato ma è una stima ex ante dei costi annui di NIS2, in vigore dal luglio 2025, non un consuntivo.</t>
  </si>
  <si>
    <t xml:space="preserve">Erhvervsøkonomiske konsekvenser, løbende udgifter, øvre grænse</t>
  </si>
  <si>
    <t xml:space="preserve">Estremo superiore dei costi annui ricorrenti delle imprese danesi per NIS2.</t>
  </si>
  <si>
    <t xml:space="preserve">FINANS-CYBERDK-2019</t>
  </si>
  <si>
    <t xml:space="preserve">Finans (Jyllands-Posten)</t>
  </si>
  <si>
    <t xml:space="preserve">Danske virksomheder bruger milliarder på at holde hackerne væk</t>
  </si>
  <si>
    <t xml:space="preserve">22/04/2019</t>
  </si>
  <si>
    <t xml:space="preserve">https://finans.dk/tech/ECE11311839/danske-virksomheder-bruger-milliarder-paa-at-holde-hackerne-vaek/</t>
  </si>
  <si>
    <t xml:space="preserve">Deloitte Danmark (stima non pubblicata, non consultata)</t>
  </si>
  <si>
    <t xml:space="preserve">Samlet udgift for hele den private sektor</t>
  </si>
  <si>
    <t xml:space="preserve">Spesa annua minima del settore privato danese per proteggersi dalle minacce cyber secondo Deloitte.</t>
  </si>
  <si>
    <t xml:space="preserve">Dedotta. L'articolo non descrive la costruzione della stima Deloitte.</t>
  </si>
  <si>
    <t xml:space="preserve">mens hele den private sektor i Danmark samlet bruger mindst to mia. kr. om året.</t>
  </si>
  <si>
    <t xml:space="preserve">Valore minimo (mindst), presumibilmente ottenuto moltiplicando la spesa per addetto per gli occupati. Letto da estratto indicizzato della pagina. Verifica finale 08/10/2026, valore confermato sulla fonte. Stima Deloitte basata su circa 1.000 corone per addetto, valore minimo.</t>
  </si>
  <si>
    <t xml:space="preserve">Udgift for de danske banker</t>
  </si>
  <si>
    <t xml:space="preserve">Spesa annua minima delle banche danesi per la protezione dalle minacce cyber secondo Deloitte.</t>
  </si>
  <si>
    <t xml:space="preserve">Dermed bruger alene de danske banker mindst 300 mio. kr. på at beskytte sig mod cybertrusler</t>
  </si>
  <si>
    <t xml:space="preserve">Valore minimo (mindst). Letto da estratto indicizzato della pagina.</t>
  </si>
  <si>
    <t xml:space="preserve">Udgifter til at forsvare sig pr. ansat om året</t>
  </si>
  <si>
    <t xml:space="preserve">Spesa media annua in difesa cyber per addetto nelle imprese danesi secondo Deloitte.</t>
  </si>
  <si>
    <t xml:space="preserve">udgifterne alene til at forsvare sig i gennemsnit på omkring 1.000 kr. pr. ansat. om året</t>
  </si>
  <si>
    <t xml:space="preserve">Valore per addetto, non per organizzazione. Approssimato (omkring). Letto da estratto indicizzato della pagina.</t>
  </si>
  <si>
    <t xml:space="preserve">Udgifter til at forsvare sig pr. medarbejder, finansiel sektor</t>
  </si>
  <si>
    <t xml:space="preserve">Spesa annua in difesa cyber per addetto nel settore finanziario danese secondo Deloitte.</t>
  </si>
  <si>
    <t xml:space="preserve">Settore finanziario</t>
  </si>
  <si>
    <t xml:space="preserve">og i den finansielle sektor helt oppe på 10.000 kr. pr. medarbejder.</t>
  </si>
  <si>
    <t xml:space="preserve">Valore per addetto. Letto da estratto indicizzato della pagina.</t>
  </si>
  <si>
    <t xml:space="preserve">FINANS-CYBERDK-2022</t>
  </si>
  <si>
    <t xml:space="preserve">Nye cyberkrav udløser milliardregning</t>
  </si>
  <si>
    <t xml:space="preserve">29/05/2022</t>
  </si>
  <si>
    <t xml:space="preserve">https://finans.dk/tech/ECE14053355/nye-krav-til-cybersikkerhed-sender-milliardregning-videre-til-danske-virksomheder/</t>
  </si>
  <si>
    <t xml:space="preserve">IDC Nordic (previsione non pubblicata, non consultata)</t>
  </si>
  <si>
    <t xml:space="preserve">Samlet ekstraregning i 2025 (udgift til it-sikkerhed)</t>
  </si>
  <si>
    <t xml:space="preserve">Spesa aggiuntiva in sicurezza IT in Danimarca nel 2025 secondo IDC, con crescita vicina al 10% annuo.</t>
  </si>
  <si>
    <t xml:space="preserve">circa 10% annuo fino al 2025</t>
  </si>
  <si>
    <t xml:space="preserve">Dedotta. L'articolo non descrive come IDC costruisce la stima.</t>
  </si>
  <si>
    <t xml:space="preserve">tæt ved 10 pct. om året frem mod 2025. Det giver en samlet ekstraregning i 2025 på mere end 2,5 mia. kr.</t>
  </si>
  <si>
    <t xml:space="preserve">Valore minimo (mere end). Incremento rispetto al livello del 2022, non livello del mercato. Il mercato copre settore pubblico e privato. Articolo a pagamento letto da estratto. Letto da estratto indicizzato della pagina.</t>
  </si>
  <si>
    <t xml:space="preserve">ITB-TALCYBER-2026</t>
  </si>
  <si>
    <t xml:space="preserve">IT-Branchen</t>
  </si>
  <si>
    <t xml:space="preserve">IT-Branchens talunivers, Cybersikkerhed</t>
  </si>
  <si>
    <t xml:space="preserve">23/03/2026</t>
  </si>
  <si>
    <t xml:space="preserve">https://itb.dk/tema/it-branchens-talunivers/tal-cybersikkerhed/</t>
  </si>
  <si>
    <t xml:space="preserve">Andel af SMV'ernes it-budget til cybersikkerhed</t>
  </si>
  <si>
    <t xml:space="preserve">Quota del budget IT delle PMI danesi destinata alla cybersecurity.</t>
  </si>
  <si>
    <t xml:space="preserve">Dedotta. La pagina non indica la fonte né il metodo della quota.</t>
  </si>
  <si>
    <t xml:space="preserve">Cirka otte pct. af SMV'ernes it-budget går til cybersikkerhed i dag, men andelen forventes at stige til 30%</t>
  </si>
  <si>
    <t xml:space="preserve">Anno non dichiarato, riferito alla data della pagina (i dag). L'aumento atteso al 30% non ha anno. Mordor indica una media del 9% senza fonte. Letto da estratto indicizzato della pagina.</t>
  </si>
  <si>
    <t xml:space="preserve">MSSB-NCIS-2026</t>
  </si>
  <si>
    <t xml:space="preserve">Ministeriet for Samfundssikkerhed og Beredskab</t>
  </si>
  <si>
    <t xml:space="preserve">Aftale om strategi for cyber- og informationssikkerhed 2026-2029</t>
  </si>
  <si>
    <t xml:space="preserve">28/01/2026</t>
  </si>
  <si>
    <t xml:space="preserve">https://mssb.dk/media/5jdlnv41/aftaletekst.pdf</t>
  </si>
  <si>
    <t xml:space="preserve">Udmøntet til implementeringen af NIS 2-loven</t>
  </si>
  <si>
    <t xml:space="preserve">Fondi annui stanziati dal governo danese per l'attuazione della legge NIS2 dal 2025.</t>
  </si>
  <si>
    <t xml:space="preserve">Dedotta. Stanziamento di bilancio pubblico destinato ad acquisire o produrre sicurezza.</t>
  </si>
  <si>
    <t xml:space="preserve">Accordo politico con tabella di finanziamento 2026-2029 a carico della riserva per la sicurezza sociale della legge finanziaria 2026.</t>
  </si>
  <si>
    <t xml:space="preserve">Regeringen har udmøntet 275 mio. kr. årligt fra 2025 og frem til imple- menteringen af NIS 2-loven.</t>
  </si>
  <si>
    <t xml:space="preserve">Importo annuo dal 2025 in poi. Letto da estratto indicizzato della pagina. Verifica finale 08/10/2026, valore confermato sulla fonte. Importo annuo dal 2025 confermato nel testo dell'accordo.</t>
  </si>
  <si>
    <t xml:space="preserve">https://mssb.dk/media/4ifhls3a/aftaletekst-strategi-for-cyber-og-informationssikkerhed-2026-2029.pdf</t>
  </si>
  <si>
    <t xml:space="preserve">Finansiering 2026</t>
  </si>
  <si>
    <t xml:space="preserve">Finanziamento 2026 della strategia danese, nuove iniziative e personale.</t>
  </si>
  <si>
    <t xml:space="preserve">Det svarer til 52,5 mio. kr. i 2026 faldende til 52 mio. kr. i 2029</t>
  </si>
  <si>
    <t xml:space="preserve">Di cui 27,5 milioni per nuove iniziative e 25 milioni per il personale della strategia. Letto da estratto indicizzato della pagina. Verifica finale 08/10/2026, valore confermato sulla fonte.</t>
  </si>
  <si>
    <t xml:space="preserve">Afsat til initiativerne i 2026-2029</t>
  </si>
  <si>
    <t xml:space="preserve">Fondi della nuova strategia danese di cyber e information security, cumulati 2026-2029.</t>
  </si>
  <si>
    <t xml:space="preserve">Aftaleparterne er enige om at afsætte 211 mio. kr. i 2026-2029 og 33 mio. kr. årligt i 2030 og frem til initiativerne med denne aftale</t>
  </si>
  <si>
    <t xml:space="preserve">Importo cumulato 2026-2029, anno di chiusura 2029. Focus su cittadini e PMI non coperti da NIS2. Letto da estratto indicizzato della pagina.</t>
  </si>
  <si>
    <t xml:space="preserve">Afsat årligt i 2030 og frem</t>
  </si>
  <si>
    <t xml:space="preserve">Finanziamento annuo permanente della strategia danese dal 2030.</t>
  </si>
  <si>
    <t xml:space="preserve">afsætte 211 mio. kr. i 2026-2029 og 33 mio. kr. årligt i 2030 og frem</t>
  </si>
  <si>
    <t xml:space="preserve">MORDOR-CYBERDK-2026</t>
  </si>
  <si>
    <t xml:space="preserve">Denmark Cybersecurity Market Share and Size 2031 Outlook</t>
  </si>
  <si>
    <t xml:space="preserve">https://www.mordorintelligence.com/industry-reports/denmark-cybersecurity-market</t>
  </si>
  <si>
    <t xml:space="preserve">Denmark cybersecurity market size</t>
  </si>
  <si>
    <t xml:space="preserve">Dimensione del mercato cybersecurity danese secondo Mordor Intelligence.</t>
  </si>
  <si>
    <t xml:space="preserve">CAGR 2026-2031 6,90%</t>
  </si>
  <si>
    <t xml:space="preserve">Base Year Market Size (2025) USD 480.7 Million</t>
  </si>
  <si>
    <t xml:space="preserve">Valore molto inferiore a quello svedese dello stesso editore (1,86 miliardi) e alle stime di spesa danese di Deloitte e IDC. Letto da estratto indicizzato della pagina. Verifica finale 08/10/2026, valore confermato sulla fonte. Edizione Mordor con orizzonte 2026 2031.</t>
  </si>
  <si>
    <t xml:space="preserve">Share of Denmark cybersecurity market</t>
  </si>
  <si>
    <t xml:space="preserve">Quota del mercato cybersecurity danese 2025 per bfsi secondo Mordor Intelligence.</t>
  </si>
  <si>
    <t xml:space="preserve">BFSI</t>
  </si>
  <si>
    <t xml:space="preserve">By end-user industry, consumer-facing BFSI led with 26.85% revenue share in 2025</t>
  </si>
  <si>
    <t xml:space="preserve">Quota del mercato cybersecurity danese 2025 per grandi organizzazioni secondo Mordor Intelligence.</t>
  </si>
  <si>
    <t xml:space="preserve">Grandi organizzazioni</t>
  </si>
  <si>
    <t xml:space="preserve">By enterprise size, large organizations held 69.10% of Denmark cybersecurity market share in 2025</t>
  </si>
  <si>
    <t xml:space="preserve">Quota del mercato cybersecurity danese 2025 per soluzioni secondo Mordor Intelligence.</t>
  </si>
  <si>
    <t xml:space="preserve">By offering, solutions commanded 52.95% of Denmark cybersecurity market share in 2025</t>
  </si>
  <si>
    <t xml:space="preserve">Letto da estratto indicizzato della pagina. Verifica finale 08/10/2026, valore confermato sulla fonte. Quota soluzioni 2025.</t>
  </si>
  <si>
    <t xml:space="preserve">Market Size (2026) USD 513.87 Million</t>
  </si>
  <si>
    <t xml:space="preserve">Valore molto inferiore a quello svedese dello stesso editore (1,86 miliardi) e alle stime di spesa danese di Deloitte e IDC. Letto da estratto indicizzato della pagina.</t>
  </si>
  <si>
    <t xml:space="preserve">Market Size (2031) USD 716.9 Million Growth Rate (2026 - 2031) 6.90 %</t>
  </si>
  <si>
    <t xml:space="preserve">FM-NCIS-2021</t>
  </si>
  <si>
    <t xml:space="preserve">Regeringen (Finansministeriet, Forsvarsministeriet, CFCS)</t>
  </si>
  <si>
    <t xml:space="preserve">The Danish National Strategy for Cyber and Information Security 2022-2024</t>
  </si>
  <si>
    <t xml:space="preserve">12/2021</t>
  </si>
  <si>
    <t xml:space="preserve">https://www.cfcs.dk/globalassets/cfcs/dokumenter/2022/ncis_2022-2024_en.pdf</t>
  </si>
  <si>
    <t xml:space="preserve">Cyber reserve of the defence agreement</t>
  </si>
  <si>
    <t xml:space="preserve">Riserva cyber dell'accordo sulla difesa per rafforzare la cyberdifesa danese, in aggiunta alla strategia.</t>
  </si>
  <si>
    <t xml:space="preserve">34 iniziative della strategia nazionale con stanziamento cumulato. Ripartizione annuale non dichiarata.</t>
  </si>
  <si>
    <t xml:space="preserve">strengthen Denmark's cyber defense by DKK 500 million through the implementation of the political agreement on the cyber reserve.</t>
  </si>
  <si>
    <t xml:space="preserve">Riserva dell'accordo di difesa 2018-2023, anno di chiusura 2023 dedotto. Perimetro difesa. Letto da estratto indicizzato della pagina. Verifica finale 08/10/2026, valore confermato sulla fonte. Valore confermato, l'estratto non indica l'anno 2023.</t>
  </si>
  <si>
    <t xml:space="preserve">Total allocation to 34 new key initiatives</t>
  </si>
  <si>
    <t xml:space="preserve">Fondi della strategia nazionale danese di cyber e information security 2022-2024.</t>
  </si>
  <si>
    <t xml:space="preserve">With this strategy, the government is allocating a total of DKK 270 million to 34 new key initiatives</t>
  </si>
  <si>
    <t xml:space="preserve">Importo cumulato 2022-2024, anno di chiusura 2024. Computerworld riporta circa 70 milioni annui per la strategia precedente. Letto da estratto indicizzato della pagina. Verifica finale 08/10/2026, valore confermato sulla fonte. Stanziamento complessivo della strategia 2022-2024 registrato con anno finale 2024.</t>
  </si>
  <si>
    <t xml:space="preserve">EIS-KYBERTOETUS-2026</t>
  </si>
  <si>
    <t xml:space="preserve">EE</t>
  </si>
  <si>
    <t xml:space="preserve">Estonia</t>
  </si>
  <si>
    <t xml:space="preserve">Ettevõtluse ja Innovatsiooni Sihtasutus (EIS)</t>
  </si>
  <si>
    <t xml:space="preserve">Küberturbe taseme tõstmise toetus (teadaanne)</t>
  </si>
  <si>
    <t xml:space="preserve">31/08/2026</t>
  </si>
  <si>
    <t xml:space="preserve">https://eis.ee/ettev%C3%B5tjad-saavad-t%C3%A4nasest-taotleda-k%C3%BCberturbe-taseme-t%C3%B5stmise-toetust/</t>
  </si>
  <si>
    <t xml:space="preserve">Toetuse kogumaht</t>
  </si>
  <si>
    <t xml:space="preserve">Dotazione complessiva del contributo pubblico per l'innalzamento del livello di cybersecurity delle organizzazioni soggette a NIS2.</t>
  </si>
  <si>
    <t xml:space="preserve">Bando di contributi al 50% per organizzazioni soggette ai nuovi requisiti della legge sulla cybersecurity (NIS2) dal 2026.</t>
  </si>
  <si>
    <t xml:space="preserve">Toetuse kogumaht on 2,6 miljonit eurot ning kahes taotlusvoorus toimub taotlemine jooksvalt kuni eelarve täitumiseni.</t>
  </si>
  <si>
    <t xml:space="preserve">Letto da estratto indicizzato della pagina. Verifica finale 08/10/2026, valore confermato sulla fonte. Sostegno EIS alle imprese soggette ai nuovi obblighi 2026.</t>
  </si>
  <si>
    <t xml:space="preserve">MKM-KYBERSTRAT-2024</t>
  </si>
  <si>
    <t xml:space="preserve">Majandus- ja Kommunikatsiooniministeerium</t>
  </si>
  <si>
    <t xml:space="preserve">Küberturvalisuse strateegia 2024-2030, Läbivalt IT-vaatlik Eesti</t>
  </si>
  <si>
    <t xml:space="preserve">07/2024</t>
  </si>
  <si>
    <t xml:space="preserve">https://www.mkm.ee/sites/default/files/documents/2024-07/Kyberturvalisuse%20strateegia%202024-2030_labivalt_IT_vaatlik_Eesti.pdf</t>
  </si>
  <si>
    <t xml:space="preserve">Küberturvalisuse osa riigi digiühiskonna arengukavast</t>
  </si>
  <si>
    <t xml:space="preserve">Fondi per la cybersecurity nel piano statale per la società digitale estone, 2020.</t>
  </si>
  <si>
    <t xml:space="preserve">Quota cyber del piano di sviluppo della società digitale dello Stato. Non dichiarata.</t>
  </si>
  <si>
    <t xml:space="preserve">küberturvalisuse osa sellest kasvas 3,9 miljonilt (7,4%) 16,1 miljoni euroni (10,8%).</t>
  </si>
  <si>
    <t xml:space="preserve">Küberturvalisuse osakaal digiühiskonna arengukavas</t>
  </si>
  <si>
    <t xml:space="preserve">Quota della cybersecurity sul piano statale per la società digitale estone.</t>
  </si>
  <si>
    <t xml:space="preserve">Fondi per la cybersecurity nel piano statale per la società digitale estone, 2024.</t>
  </si>
  <si>
    <t xml:space="preserve">Il piano complessivo passa da 52,6 a 149 milioni. Letto da estratto indicizzato della pagina. Verifica finale 08/10/2026, valore confermato sulla fonte. Valore 2024 confermato.</t>
  </si>
  <si>
    <t xml:space="preserve">PRAXIS-KYBERUURING-2019</t>
  </si>
  <si>
    <t xml:space="preserve">Mõttekoda Praxis</t>
  </si>
  <si>
    <t xml:space="preserve">Osservatorio o università</t>
  </si>
  <si>
    <t xml:space="preserve">Küberturbe uuring, aruanne</t>
  </si>
  <si>
    <t xml:space="preserve">23/04/2019</t>
  </si>
  <si>
    <t xml:space="preserve">https://www.praxis.ee/uploads/2018/04/K%C3%BCberturbe-uuring_aruanne-23_04_2019.pdf</t>
  </si>
  <si>
    <t xml:space="preserve">Küberturbe sektori ettevõtete küberturvalisusega seotud müügitulu</t>
  </si>
  <si>
    <t xml:space="preserve">Ricavi legati alla cybersecurity delle imprese del settore cyber estone, 2017.</t>
  </si>
  <si>
    <t xml:space="preserve">+13-20% annuo negli ultimi anni</t>
  </si>
  <si>
    <t xml:space="preserve">Elaborazione degli autori sui dati del Registro delle imprese per 52 imprese del settore cyber estone, quota cyber del fatturato, anno 2017.</t>
  </si>
  <si>
    <t xml:space="preserve">Kõikide küberturbe sektori ettevõtete vaid küberturvalisusega seotud müügitulu on hinnanguliselt 67 miljonit eurot</t>
  </si>
  <si>
    <t xml:space="preserve">Export cyber 2017 pari a 16 milioni. Anno dedotto dal riferimento 2017 del capitolo. Letto da estratto indicizzato della pagina. Verifica finale 08/10/2026, valore confermato sulla fonte. Valore confermato, la serie della stessa tabella arriva a 67,1 nel 2017.</t>
  </si>
  <si>
    <t xml:space="preserve">FIN-DIGITALSOCIETY-2026</t>
  </si>
  <si>
    <t xml:space="preserve">Rahandusministeerium</t>
  </si>
  <si>
    <t xml:space="preserve">State budget, performance area Digital society</t>
  </si>
  <si>
    <t xml:space="preserve">01/2026</t>
  </si>
  <si>
    <t xml:space="preserve">https://www.fin.ee/sites/default/files/documents/2026-01/8.%20Digital%20society_0.pdf</t>
  </si>
  <si>
    <t xml:space="preserve">Ensuring national cybersecurity</t>
  </si>
  <si>
    <t xml:space="preserve">Bilancio 2026 per l'attività di garanzia della cybersecurity nazionale nel programma Società digitale.</t>
  </si>
  <si>
    <t xml:space="preserve">Bilancio per attività dell'area di performance Società digitale per il 2026.</t>
  </si>
  <si>
    <t xml:space="preserve">Ensuring digital state services and platforms 21 M€ Ensuring national cybersecurity 18 M€ National cybersecurity management and co-ordination 14 M€</t>
  </si>
  <si>
    <t xml:space="preserve">Da sommare alla riga sulla gestione e coordinamento (14 milioni) per il totale cyber del programma. Letto da estratto indicizzato della pagina. Verifica finale 08/10/2026, valore confermato sulla fonte. Bilancio per attività 2026 del programma società digitale.</t>
  </si>
  <si>
    <t xml:space="preserve">National cybersecurity management and co-ordination</t>
  </si>
  <si>
    <t xml:space="preserve">Bilancio 2026 per la gestione e il coordinamento della cybersecurity nazionale estone.</t>
  </si>
  <si>
    <t xml:space="preserve">Ensuring national cybersecurity 18 M€ National cybersecurity management and co-ordination 14 M€</t>
  </si>
  <si>
    <t xml:space="preserve">Letto da estratto indicizzato della pagina. Verifica finale 08/10/2026, valore confermato sulla fonte. Bilancio per attività 2026.</t>
  </si>
  <si>
    <t xml:space="preserve">STARTUPESTONIA-CYBERTECH-2024</t>
  </si>
  <si>
    <t xml:space="preserve">Startup Estonia</t>
  </si>
  <si>
    <t xml:space="preserve">CyberTech koondülevaade</t>
  </si>
  <si>
    <t xml:space="preserve">https://startupestonia.ee/wp-content/uploads/2024/01/CyberTech-koondulevaade.pdf</t>
  </si>
  <si>
    <t xml:space="preserve">CyberTech startupide käive</t>
  </si>
  <si>
    <t xml:space="preserve">Fatturato complessivo delle startup cybertech estoni nel 2017.</t>
  </si>
  <si>
    <t xml:space="preserve">Startup cybertech, inclusa verifica dell'identità</t>
  </si>
  <si>
    <t xml:space="preserve">Dedotta. Somma del fatturato delle startup del settore.</t>
  </si>
  <si>
    <t xml:space="preserve">Somma del fatturato delle startup cybertech estoni registrate. Dettagli non riportati nell'estratto.</t>
  </si>
  <si>
    <t xml:space="preserve">Kui 2017. aastal oli valdkonna ettevõtete käive 13,3 M EUR</t>
  </si>
  <si>
    <t xml:space="preserve">Solo startup, perimetro diverso dal settore cyber complessivo. Fatturato totale delle imprese, non solo quota cyber. Letto da estratto indicizzato della pagina. Verifica finale 08/10/2026, valore confermato sulla fonte. Fatturato 2017 delle startup CyberTech confermato.</t>
  </si>
  <si>
    <t xml:space="preserve">CyberTech startupide käive, 2023 I-III kvartal</t>
  </si>
  <si>
    <t xml:space="preserve">Fatturato delle startup cybertech estoni nei primi tre trimestri 2023.</t>
  </si>
  <si>
    <t xml:space="preserve">2023. aasta esimese kolme kvartaliga oli CyberTech startupide käive kokku 132,4 M EUR.</t>
  </si>
  <si>
    <t xml:space="preserve">Solo tre trimestri. Include Veriff (verifica dell'identità), perimetro più ampio della cybersecurity in senso stretto. Letto da estratto indicizzato della pagina. Verifica finale 08/10/2026, valore confermato sulla fonte. Valore relativo ai primi tre trimestri 2023, non all'anno intero.</t>
  </si>
  <si>
    <t xml:space="preserve">ALLIEDICT-KYBER-2021</t>
  </si>
  <si>
    <t xml:space="preserve">FI</t>
  </si>
  <si>
    <t xml:space="preserve">Finlandia</t>
  </si>
  <si>
    <t xml:space="preserve">Allied ICT Finland</t>
  </si>
  <si>
    <t xml:space="preserve">Kyberturvallisuus Suomessa 2019-2029, visio ja tavoitteet</t>
  </si>
  <si>
    <t xml:space="preserve">06/2021</t>
  </si>
  <si>
    <t xml:space="preserve">https://www.alliedict.fi/wp-content/uploads/2021/06/3.Kyberturvallisuus_Suomessa_2019-2029.pdf</t>
  </si>
  <si>
    <t xml:space="preserve">Kyberturvallisuusalan liikevaihto</t>
  </si>
  <si>
    <t xml:space="preserve">Fatturato del settore cybersecurity finlandese, circa 6.000 addetti.</t>
  </si>
  <si>
    <t xml:space="preserve">Dedotta. Il testo riferisce il fatturato del settore cyber, cioè delle imprese fornitrici.</t>
  </si>
  <si>
    <t xml:space="preserve">Kyberturvallisuusala työllistää tällä hetkellä Suomessa arviolta 6 000 henkilöä ja alan liikevaihto on noin miljardi euroa.</t>
  </si>
  <si>
    <t xml:space="preserve">Anno non dichiarato, dedotto 2019 dal titolo del documento. Data di caricamento del PDF giugno 2021. Valore approssimato. Letto da estratto indicizzato della pagina. Verifica finale 08/10/2026, valore confermato sulla fonte. Valore approssimato dichiarato nella strategia 2019 2029.</t>
  </si>
  <si>
    <t xml:space="preserve">EK-KYBERWEBINAARI-2022</t>
  </si>
  <si>
    <t xml:space="preserve">Elinkeinoelämän keskusliitto EK</t>
  </si>
  <si>
    <t xml:space="preserve">Kyberturvallisuuswebinaari 31.3.2022 (presentazione)</t>
  </si>
  <si>
    <t xml:space="preserve">31/03/2022</t>
  </si>
  <si>
    <t xml:space="preserve">https://ek.fi/wp-content/uploads/2022/03/Kyberturvallisuuswebinaari-31032022_jaettava.pdf</t>
  </si>
  <si>
    <t xml:space="preserve">Kyberturvallisuusala Suomessa, markkina</t>
  </si>
  <si>
    <t xml:space="preserve">Mercato del settore cybersecurity in Finlandia indicato in una presentazione EK del 2022.</t>
  </si>
  <si>
    <t xml:space="preserve">Dedotta. La slide non indica fonte né metodo.</t>
  </si>
  <si>
    <t xml:space="preserve">Kyberturvallisuusala Suomessa ~4,4 Mrd€ Markkina 2021- ~10-12k alan ammattilaista</t>
  </si>
  <si>
    <t xml:space="preserve">Valore approssimato (~). Il triplo della stima Kyberala ry 2025 (1,5 miliardi) e oltre dieci volte Mordor, perimetro non chiarito. Letto da estratto indicizzato della pagina. Verifica finale 08/10/2026, valore confermato sulla fonte. Valore confermato, approssimato nella fonte.</t>
  </si>
  <si>
    <t xml:space="preserve">LVM-KYBERRAHOITUS-2025</t>
  </si>
  <si>
    <t xml:space="preserve">Liikenne- ja viestintäministeriö</t>
  </si>
  <si>
    <t xml:space="preserve">Kyberturvallisuusstrategian toimeenpanoon tarvitaan pysyvää rahoitusta (tiedote)</t>
  </si>
  <si>
    <t xml:space="preserve">20/08/2025</t>
  </si>
  <si>
    <t xml:space="preserve">https://valtioneuvosto.fi/-/1410829/kyberturvallisuusstrategian-toimeenpanoon-tarvitaan-pysyvaa-rahoitusta</t>
  </si>
  <si>
    <t xml:space="preserve">Huoltovarmuuskeskuksen rahoitus Kyberturvallisuuskeskuksen palveluille</t>
  </si>
  <si>
    <t xml:space="preserve">Finanziamento annuo del Centro per la sicurezza degli approvvigionamenti ai servizi continuativi del NCSC finlandese.</t>
  </si>
  <si>
    <t xml:space="preserve">Proposta ministeriale al bilancio 2026. Non dichiarata.</t>
  </si>
  <si>
    <t xml:space="preserve">Huoltovarmuuskeskus rahoittaa Kyberturvallisuuskeskuksen jatkuvia palveluita noin 2,5 miljoonalla eurolla vuodessa.</t>
  </si>
  <si>
    <t xml:space="preserve">Valore annuo approssimato, anno 2025 dedotto dalla data del comunicato. Letto da estratto indicizzato della pagina. Verifica finale 08/10/2026, valore confermato sulla fonte. Finanziamento annuo confermato.</t>
  </si>
  <si>
    <t xml:space="preserve">Pysyvä lisäys kyberturvallisuusstrategian mukaisiin toimiin</t>
  </si>
  <si>
    <t xml:space="preserve">Aumento permanente proposto dal 2026 per l'attuazione della strategia finlandese di cybersecurity.</t>
  </si>
  <si>
    <t xml:space="preserve">ehdottaa vuoden 2026 talousarvioon kyberturvallisuusstrategian mukaisiin toimiin 4,7 miljoonan euron pysyvää lisäystä vuodesta 2026 alkaen.</t>
  </si>
  <si>
    <t xml:space="preserve">Proposta ministeriale, esito nel bilancio approvato non verificato. Incremento annuo. Letto da estratto indicizzato della pagina. Verifica finale 08/10/2026, valore confermato sulla fonte. Proposta di bilancio 2026 confermata.</t>
  </si>
  <si>
    <t xml:space="preserve">MORDOR-CYBERFI-2025</t>
  </si>
  <si>
    <t xml:space="preserve">Finland Cybersecurity Market Size (edizione 2024-2029)</t>
  </si>
  <si>
    <t xml:space="preserve">21/02/2025</t>
  </si>
  <si>
    <t xml:space="preserve">https://www.mordorintelligence.com/industry-reports/finland-cybersecurity-market/market-size</t>
  </si>
  <si>
    <t xml:space="preserve">Finland Cybersecurity Market size</t>
  </si>
  <si>
    <t xml:space="preserve">Dimensione del mercato cybersecurity finlandese 2024, edizione precedente Mordor.</t>
  </si>
  <si>
    <t xml:space="preserve">CAGR 2024-2029 6,95%</t>
  </si>
  <si>
    <t xml:space="preserve">The Finland Cybersecurity Market size is estimated at USD 325.78 million in 2024, and is expected to reach USD 455.89 million by 2029</t>
  </si>
  <si>
    <t xml:space="preserve">Dimensione prevista del mercato cybersecurity finlandese 2029, edizione precedente Mordor.</t>
  </si>
  <si>
    <t xml:space="preserve">is expected to reach USD 455.89 million by 2029, growing at a CAGR of 6.95% during the forecast period (2024-2029).</t>
  </si>
  <si>
    <t xml:space="preserve">Letto da estratto indicizzato della pagina. Verifica finale 08/10/2026, valore confermato sulla fonte. Previsione 2029 confermata.</t>
  </si>
  <si>
    <t xml:space="preserve">MORDOR-CYBERFI-2026</t>
  </si>
  <si>
    <t xml:space="preserve">Finland Cybersecurity Market Size and Share Outlook to 2031</t>
  </si>
  <si>
    <t xml:space="preserve">03/03/2026</t>
  </si>
  <si>
    <t xml:space="preserve">https://www.mordorintelligence.com/industry-reports/finland-cybersecurity-market</t>
  </si>
  <si>
    <t xml:space="preserve">Finland cybersecurity market size</t>
  </si>
  <si>
    <t xml:space="preserve">Dimensione del mercato cybersecurity finlandese secondo Mordor Intelligence.</t>
  </si>
  <si>
    <t xml:space="preserve">CAGR 2026-2031 6,92%</t>
  </si>
  <si>
    <t xml:space="preserve">Base Year Market Size (2025) USD 348.42 Million</t>
  </si>
  <si>
    <t xml:space="preserve">Lo stesso valore è rivenduto da Research and Markets (report 5997053). Letto da estratto indicizzato della pagina. Verifica finale 08/10/2026, valore confermato sulla fonte. Valore 2025 confermato.</t>
  </si>
  <si>
    <t xml:space="preserve">projected to expand from USD 348.42 million in 2025 and USD 369.77 million in 2026</t>
  </si>
  <si>
    <t xml:space="preserve">Lo stesso valore è rivenduto da Research and Markets (report 5997053). Letto da estratto indicizzato della pagina.</t>
  </si>
  <si>
    <t xml:space="preserve">to USD 516.77 million by 2031, registering a CAGR of 6.92% between 2026 to 2031.</t>
  </si>
  <si>
    <t xml:space="preserve">TEKNOLOGIATEOLLISUUS-KYBER-2025</t>
  </si>
  <si>
    <t xml:space="preserve">Teknologiateollisuus ry</t>
  </si>
  <si>
    <t xml:space="preserve">Katsaus kyberturvallisuuden osaamistarpeisiin, uudet teknologiat laajentavat osaamistarvetta</t>
  </si>
  <si>
    <t xml:space="preserve">27/06/2025</t>
  </si>
  <si>
    <t xml:space="preserve">https://teknologiateollisuus.fi/katsaus-kyberturvallisuuden-osaamistarpeisiin-uudet-teknologiat-laajentavat-osaamistarvetta/</t>
  </si>
  <si>
    <t xml:space="preserve">Kyberala ry (Finnish Information Security Cluster, FISC), stima non pubblicata</t>
  </si>
  <si>
    <t xml:space="preserve">Kyberturvallisuusteollisuuden markkinan koko Suomessa</t>
  </si>
  <si>
    <t xml:space="preserve">Dimensione del mercato dell'industria cyber in Finlandia stimata da Kyberala ry.</t>
  </si>
  <si>
    <t xml:space="preserve">Soluzioni e servizi acquistati</t>
  </si>
  <si>
    <t xml:space="preserve">Dedotta. La stima dell'associazione di settore non è documentata.</t>
  </si>
  <si>
    <t xml:space="preserve">Kyberala ry arvioi, että kyberturvallisuusteollisuuden markkinan koko Suomessa on noin 1,5 miljardia euroa</t>
  </si>
  <si>
    <t xml:space="preserve">Anno non dichiarato, riferito alla data di pubblicazione. Il testo distingue le soluzioni e i servizi acquistati dal personale cyber assunto direttamente dalle imprese. Letto da estratto indicizzato della pagina. Verifica finale 08/10/2026, valore confermato sulla fonte. Stima dell'associazione nel 2025 confermata.</t>
  </si>
  <si>
    <t xml:space="preserve">TRAFICOM-KYBERVUOSI-2026</t>
  </si>
  <si>
    <t xml:space="preserve">Traficom, Kyberturvallisuuskeskus</t>
  </si>
  <si>
    <t xml:space="preserve">Kyberturvallisuuden vuosi 2025, Kyberturvallisuuskeskuksen toimintoja 2025</t>
  </si>
  <si>
    <t xml:space="preserve">09/02/2026</t>
  </si>
  <si>
    <t xml:space="preserve">https://vuosiraportit.traficom.fi/fi/kyberturvallisuuden-vuosi-2025/kyberturvallisuuskeskuksen-toimintoja-2025</t>
  </si>
  <si>
    <t xml:space="preserve">Tietoturvan kehittämisen tuki</t>
  </si>
  <si>
    <t xml:space="preserve">Contributi pubblici per lo sviluppo della sicurezza informatica a 313 imprese essenziali, 2022-2024.</t>
  </si>
  <si>
    <t xml:space="preserve">Rendiconto annuale dell'agenzia sui contributi erogati.</t>
  </si>
  <si>
    <t xml:space="preserve">Traficom myönsi vuosina 2022-2024 6 miljoonaa euroa Tietoturvan kehittämisen tukea 313 yhteiskunnan kannalta elintärkeälle yritykselle</t>
  </si>
  <si>
    <t xml:space="preserve">Importo cumulato 2022-2024, anno di chiusura 2024. Ultime rate pagate nel 2025. Letto da estratto indicizzato della pagina. Verifica finale 08/10/2026, valore confermato sulla fonte. Totale cumulato 2022-2024.</t>
  </si>
  <si>
    <t xml:space="preserve">TRAFICOM-NCCFI-2026</t>
  </si>
  <si>
    <t xml:space="preserve">Traficom, Kyberturvallisuuskeskus (NCC-FI)</t>
  </si>
  <si>
    <t xml:space="preserve">Kansalliset rahoitustuet</t>
  </si>
  <si>
    <t xml:space="preserve">01/09/2026</t>
  </si>
  <si>
    <t xml:space="preserve">https://www.kyberturvallisuuskeskus.fi/fi/toimintamme/kyberturvallisuuden-tutkimuksen-kehityksen-ja-innovaatioiden-kansallinen-koordinointikeskus/kansalliset-rahoitustuet</t>
  </si>
  <si>
    <t xml:space="preserve">Myönnetty rahoitustuki kyberturvallisuuslain toimeenpanoon</t>
  </si>
  <si>
    <t xml:space="preserve">Contributi concessi a 36 PMI finlandesi per l'attuazione della legge sulla cybersecurity, progetti 2026.</t>
  </si>
  <si>
    <t xml:space="preserve">Contributi a PMI soggette alla legge sulla cybersecurity 124/2025, cofinanziati dal programma Europa digitale.</t>
  </si>
  <si>
    <t xml:space="preserve">Tukea myönnettiin yhteensä 36 hakijalle. Tukea myönnettiin yhteensä 1,67 miljoonaa euroa.</t>
  </si>
  <si>
    <t xml:space="preserve">Richieste per 4,7 milioni. Fondi in parte europei (Digital Europe). Letto da estratto indicizzato della pagina. Verifica finale 08/10/2026, valore confermato sulla fonte. Contributi concessi per il 2026 confermati.</t>
  </si>
  <si>
    <t xml:space="preserve">VM-TAE2025-2024</t>
  </si>
  <si>
    <t xml:space="preserve">Valtiovarainministeriö</t>
  </si>
  <si>
    <t xml:space="preserve">Talousarvioesitys 2025, momentti 31.01.02 Liikenne- ja viestintäviraston toimintamenot</t>
  </si>
  <si>
    <t xml:space="preserve">https://budjetti.vm.fi/sisalto.jsp?year=2025&amp;lang=fi&amp;maindoc=/2025/tae/valtiovarainministerionKanta/valtiovarainministerionKanta.xml&amp;opennode=0:1:241:941:943:</t>
  </si>
  <si>
    <t xml:space="preserve">Kyberturvallisuuskeskuksen toiminta</t>
  </si>
  <si>
    <t xml:space="preserve">Stanziamento 2025 per le attività del Centro nazionale di cybersecurity finlandese presso Traficom.</t>
  </si>
  <si>
    <t xml:space="preserve">Uso stimato dello stanziamento netto del capitolo Traficom, quota del Kyberturvallisuuskeskus.</t>
  </si>
  <si>
    <t xml:space="preserve">Liikenne- ja viestintäviraston toiminta 68 005 Kyberturvallisuuskeskuksen toiminta 20 800 Yhteensä 88 805</t>
  </si>
  <si>
    <t xml:space="preserve">Proposta di bilancio, valori netti in migliaia di euro. Il Huoltovarmuuskeskus finanzia in aggiunta circa 2,5 milioni annui. Letto da estratto indicizzato della pagina. Verifica finale 08/10/2026, valore confermato sulla fonte. Valore in migliaia di euro confermato, proviene dalla proposta di bilancio 2025.</t>
  </si>
  <si>
    <t xml:space="preserve">VM-TAE2027-2026</t>
  </si>
  <si>
    <t xml:space="preserve">Talousarvioesitys 2027, momentti 31.01.02 Liikenne- ja viestintäviraston toimintamenot</t>
  </si>
  <si>
    <t xml:space="preserve">09/2026</t>
  </si>
  <si>
    <t xml:space="preserve">https://budjetti.vm.fi/indox/sisalto.jsp?year=2027&amp;lang=fi&amp;maindoc=/2027/tae/hallituksenEsitys/hallituksenEsitys.xml&amp;id=/2027/tae/hallituksenEsitys/YksityiskohtaisetPerustelut/31/01/02/02.html</t>
  </si>
  <si>
    <t xml:space="preserve">Stanziamento proposto per il 2027 per le attività del Centro nazionale di cybersecurity finlandese.</t>
  </si>
  <si>
    <t xml:space="preserve">Liikenne- ja viestintäviraston toiminta 59 919 Kyberturvallisuuskeskuksen toiminta 27 000 Yhteensä 86 919</t>
  </si>
  <si>
    <t xml:space="preserve">Proposta di bilancio del governo, migliaia di euro. Letto da estratto indicizzato della pagina.</t>
  </si>
  <si>
    <t xml:space="preserve">ACN-OBSERVATOIRE-2019</t>
  </si>
  <si>
    <t xml:space="preserve">FR</t>
  </si>
  <si>
    <t xml:space="preserve">Francia</t>
  </si>
  <si>
    <t xml:space="preserve">Alliance pour la Confiance Numérique (ACN), studio DECISION Etudes &amp; Conseil</t>
  </si>
  <si>
    <t xml:space="preserve">Observatoire de la Confiance Numérique 2019</t>
  </si>
  <si>
    <t xml:space="preserve">2019</t>
  </si>
  <si>
    <t xml:space="preserve">https://www.globalsecuritymag.fr/IMG/pdf/Observatoire_ACN_de_la_Confiance_numerique_2019.pdf</t>
  </si>
  <si>
    <t xml:space="preserve">Chiffre d'affaires réalisé en France (Confiance Numérique)</t>
  </si>
  <si>
    <t xml:space="preserve">Fatturato in Francia della filiera francese della confiance numérique nel 2018.</t>
  </si>
  <si>
    <t xml:space="preserve">+9,1% sul 2017</t>
  </si>
  <si>
    <t xml:space="preserve">cybersecurity (prodotti, software e servizi) e sicurezza digitale (identità digitale, sistemi elettronici di fiducia); dal 2025 anche IA di fiducia</t>
  </si>
  <si>
    <t xml:space="preserve">Dedotta. Il valore somma il fatturato in Francia delle imprese della filiera, ricavato da una base dati di imprese e dai questionari dei membri.</t>
  </si>
  <si>
    <t xml:space="preserve">Base dati delle imprese della filiera della confiance numérique (circa 2.100 imprese) con dati di fatturato e questionari ai membri ACN; fatturato in Francia inclusivo dell'export. Passaggi di estrapolazione non dettagliati.</t>
  </si>
  <si>
    <t xml:space="preserve">12,4 milliards d'euros de chiffre d'affaires réalisé en France, soit 9,1% de croissance 2018-2017</t>
  </si>
  <si>
    <t xml:space="preserve">Perimetro della filiera più ampio della sola cybersecurity; include l'export dalla Francia. Il fatturato cyber si ottiene applicando la quota cyber dichiarata. Documento ACN ospitato da Global Security Mag. Base dati di 765 imprese su 2.088 della filiera. Letto da estratto indicizzato della pagina. Verifica finale 08/10/2026, valore confermato sulla fonte. Perimetro confiance numérique, più ampio della sola cybersecurity.</t>
  </si>
  <si>
    <t xml:space="preserve">Répartition du chiffre d'affaires, Cybersécurité</t>
  </si>
  <si>
    <t xml:space="preserve">Quota della cybersecurity sul fatturato della filiera della confiance numérique nel 2018.</t>
  </si>
  <si>
    <t xml:space="preserve">Cybersecurity (prodotti e servizi)</t>
  </si>
  <si>
    <t xml:space="preserve">Un chiffre d'affaires réparti à 55% pour la Cybersécurité et à 45% pour la Sécurité Numérique</t>
  </si>
  <si>
    <t xml:space="preserve">Perimetro della filiera più ampio della sola cybersecurity; include l'export dalla Francia. Il fatturato cyber si ottiene applicando la quota cyber dichiarata. Letto da estratto indicizzato della pagina.</t>
  </si>
  <si>
    <t xml:space="preserve">Valeur ajoutée réalisée en France</t>
  </si>
  <si>
    <t xml:space="preserve">Valore aggiunto in Francia della filiera della confiance numérique nel 2018.</t>
  </si>
  <si>
    <t xml:space="preserve">+7,4% sul 2017</t>
  </si>
  <si>
    <t xml:space="preserve">5,8 milliards d'euros de valeur ajoutée réalisée en France, soit 7,4% de croissance 2018-2017</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</si>
  <si>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Perimetro confiance numérique, più ampio della sola cybersecurity.</t>
  </si>
  <si>
    <t xml:space="preserve">ACN-OBSERVATOIRE-2020</t>
  </si>
  <si>
    <t xml:space="preserve">Observatoire ACN 2020 de la Confiance Numérique</t>
  </si>
  <si>
    <t xml:space="preserve">01/2021</t>
  </si>
  <si>
    <t xml:space="preserve">http://www.decision.eu/wp-content/uploads/2021/01/Observatoire-ACN-2020.pdf</t>
  </si>
  <si>
    <t xml:space="preserve">Chiffre d'affaires (Confiance Numérique en France)</t>
  </si>
  <si>
    <t xml:space="preserve">Fatturato in Francia della filiera della confiance numérique nel 2019.</t>
  </si>
  <si>
    <t xml:space="preserve">+8,8% sul 2018</t>
  </si>
  <si>
    <t xml:space="preserve">13 milliards d'euros de chiffre d'affaires, soit 8,8% de croissance entre 2018 et 2019</t>
  </si>
  <si>
    <t xml:space="preserve">Perimetro della filiera più ampio della sola cybersecurity; include l'export dalla Francia. Il fatturato cyber si ottiene applicando la quota cyber dichiarata. Documento pubblicato dal sito di DECISION Etudes &amp; Conseil, autore dello studio. Letto da estratto indicizzato della pagina. Verifica finale 08/10/2026, valore confermato sulla fonte. Fatturato 2019 della filiera confermato.</t>
  </si>
  <si>
    <t xml:space="preserve">Quota della cybersecurity sul fatturato della filiera nel 2019.</t>
  </si>
  <si>
    <t xml:space="preserve">Un chiffre d'affaires réparti à 57% pour la Cybersécurité et à 43% pour la Sécurité Numérique</t>
  </si>
  <si>
    <t xml:space="preserve">Valeur ajoutée</t>
  </si>
  <si>
    <t xml:space="preserve">Valore aggiunto della filiera della confiance numérique in Francia nel 2019.</t>
  </si>
  <si>
    <t xml:space="preserve">6,1 milliards d'euros de valeur ajoutée</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</si>
  <si>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Valore aggiunto 2019 confermato.</t>
  </si>
  <si>
    <t xml:space="preserve">ACN-OBSERVATOIRE-2021</t>
  </si>
  <si>
    <t xml:space="preserve">Observatoire ACN 2021 de la Confiance Numérique</t>
  </si>
  <si>
    <t xml:space="preserve">https://www.confiance-numerique.fr/wp-content/uploads/2023/11/Observatoire-ACN-2021-de-la-confiance-numerique.pdf</t>
  </si>
  <si>
    <t xml:space="preserve">Fatturato in Francia della filiera della confiance numérique nel 2020.</t>
  </si>
  <si>
    <t xml:space="preserve">+6,4% sul 2019</t>
  </si>
  <si>
    <t xml:space="preserve">13,4 milliards d'euros de chiffre d'affaires, soit 6,4% de croissance entre 2020 et 2019</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</si>
  <si>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Fatturato 2020 in Francia confermato.</t>
  </si>
  <si>
    <t xml:space="preserve">Quota della cybersecurity sul fatturato della filiera nel 2020.</t>
  </si>
  <si>
    <t xml:space="preserve">Un chiffre d'affaires réparti à 62% pour la Cybersécurité et à 38% pour la Sécurité Numérique</t>
  </si>
  <si>
    <t xml:space="preserve">Valore aggiunto della filiera della confiance numérique in Francia nel 2020.</t>
  </si>
  <si>
    <t xml:space="preserve">6,5 milliards d'euros de valeur ajoutée</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</si>
  <si>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Valore aggiunto 2020 confermato.</t>
  </si>
  <si>
    <t xml:space="preserve">ACN-OBSERVATOIRE-2022</t>
  </si>
  <si>
    <t xml:space="preserve">Observatoire ACN 2022 de la Confiance Numérique</t>
  </si>
  <si>
    <t xml:space="preserve">05/2022</t>
  </si>
  <si>
    <t xml:space="preserve">http://www.decision.eu/wp-content/uploads/2022/05/Observatoire-ACN-2022.pdf</t>
  </si>
  <si>
    <t xml:space="preserve">Croissance de la cybersécurité</t>
  </si>
  <si>
    <t xml:space="preserve">Crescita del fatturato del segmento cybersecurity della filiera nel 2020.</t>
  </si>
  <si>
    <t xml:space="preserve">La cybersécurité a ainsi maintenu une croissance de 8,3% en 2020 contre 12,1% en 2019.</t>
  </si>
  <si>
    <t xml:space="preserve">Perimetro della filiera più ampio della sola cybersecurity; include l'export dalla Francia. Il fatturato cyber si ottiene applicando la quota cyber dichiarata. Altri documenti citano una crescita cyber 2020 dell'11,5%. Letto da estratto indicizzato della pagina.</t>
  </si>
  <si>
    <t xml:space="preserve">Fatturato in Francia della filiera della confiance numérique nel 2021.</t>
  </si>
  <si>
    <t xml:space="preserve">+7,0% sul 2020</t>
  </si>
  <si>
    <t xml:space="preserve">14,6 milliards d'euros de chiffre d'affaires, soit 7,0% de croissance entre 2021 et 2020</t>
  </si>
  <si>
    <t xml:space="preserve">Perimetro della filiera più ampio della sola cybersecurity; include l'export dalla Francia. Il fatturato cyber si ottiene applicando la quota cyber dichiarata. I membri rispondenti al questionario rappresentano il 5% del fatturato della filiera. Letto da estratto indicizzato della pagina. Verifica finale 08/10/2026, valore confermato sulla fonte. Fatturato 2021 confermato.</t>
  </si>
  <si>
    <t xml:space="preserve">Quota della cybersecurity sul fatturato della filiera nel 2021.</t>
  </si>
  <si>
    <t xml:space="preserve">Un chiffre d'affaires réparti à 63% pour la Cybersécurité et à 37% pour la Sécurité Numérique</t>
  </si>
  <si>
    <t xml:space="preserve">Valore aggiunto della filiera della confiance numérique in Francia nel 2021.</t>
  </si>
  <si>
    <t xml:space="preserve">7,1 milliards d'euros de valeur ajoutée</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</si>
  <si>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Valore aggiunto 2021 confermato.</t>
  </si>
  <si>
    <t xml:space="preserve">ACN-OBSERVATOIRE-2023</t>
  </si>
  <si>
    <t xml:space="preserve">Observatoire de la Filière de la Confiance Numérique 2023</t>
  </si>
  <si>
    <t xml:space="preserve">https://www.confiance-numerique.fr/wp-content/uploads/2023/11/Observatoire-ACN-2023-de-la-confiance-numerique-bd.pdf</t>
  </si>
  <si>
    <t xml:space="preserve">Fatturato in Francia della filiera della confiance numérique nel 2022.</t>
  </si>
  <si>
    <t xml:space="preserve">+10,1% sul 2021</t>
  </si>
  <si>
    <t xml:space="preserve">17,7 milliards d'euros de chiffre d'affaires, soit 10,1% de croissance entre 2022 et 2021</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</si>
  <si>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Fatturato 2022 della filiera in Francia confermato.</t>
  </si>
  <si>
    <t xml:space="preserve">Produits de cybersécurité (part du CA total)</t>
  </si>
  <si>
    <t xml:space="preserve">Quota dei prodotti di cybersecurity sul fatturato totale della filiera nel 2022.</t>
  </si>
  <si>
    <t xml:space="preserve">Prodotti di cybersecurity</t>
  </si>
  <si>
    <t xml:space="preserve">les produits de cybersécurité correspondent à 29% du CA total de la filière</t>
  </si>
  <si>
    <t xml:space="preserve">Quota della cybersecurity sul fatturato della filiera nel 2022.</t>
  </si>
  <si>
    <t xml:space="preserve">Un chiffre d'affaires réparti à 56% pour la Cybersécurité et à 44% pour la Sécurité Numérique</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</si>
  <si>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Quota cyber del fatturato 2022 confermata.</t>
  </si>
  <si>
    <t xml:space="preserve">Valore aggiunto della filiera della confiance numérique in Francia nel 2022.</t>
  </si>
  <si>
    <t xml:space="preserve">8,4 milliards d'euros de valeur ajoutée</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</si>
  <si>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Valore aggiunto 2022 confermato.</t>
  </si>
  <si>
    <t xml:space="preserve">ACN-OBSERVATOIRE-2024</t>
  </si>
  <si>
    <t xml:space="preserve">Observatoire de la Filière de la Confiance Numérique 2024</t>
  </si>
  <si>
    <t xml:space="preserve">06/2024</t>
  </si>
  <si>
    <t xml:space="preserve">https://www.confiance-numerique.fr/wp-content/uploads/2024/05/ACN-Observatoire-de-la-filiere-de-la-confiance-numerique2024-bd.pdf</t>
  </si>
  <si>
    <t xml:space="preserve">Fatturato in Francia della filiera della confiance numérique nel 2023.</t>
  </si>
  <si>
    <t xml:space="preserve">+9,6% sul 2022</t>
  </si>
  <si>
    <t xml:space="preserve">19 milliards d'euros de chiffre d'affaires, soit 9,6% de croissance entre 2022 et 2023</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</si>
  <si>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Osservatorio ACN 2024 condotto da DECISION su base imprese della filiera.</t>
  </si>
  <si>
    <t xml:space="preserve">Croissance cybersécurité 2023</t>
  </si>
  <si>
    <t xml:space="preserve">Crescita del fatturato del segmento cybersecurity della filiera nel 2023.</t>
  </si>
  <si>
    <t xml:space="preserve">avec un croissance à 9,6% globalement, soit 8,9% dans la sécurité numérique et 10.1% dans la cybersécurité.</t>
  </si>
  <si>
    <t xml:space="preserve">Quota dei prodotti di cybersecurity sul fatturato totale della filiera nel 2023.</t>
  </si>
  <si>
    <t xml:space="preserve">les produits de cybersécurité correspondent à 30% du CA total de la filière de sécurité</t>
  </si>
  <si>
    <t xml:space="preserve">Quota della cybersecurity sul fatturato della filiera nel 2023.</t>
  </si>
  <si>
    <t xml:space="preserve">Un chiffre d'affaires réparti à 55% pour la Cybersécurité et à 45% pour la Sécurité Numérique.</t>
  </si>
  <si>
    <t xml:space="preserve">Valore aggiunto della filiera della confiance numérique in Francia nel 2023.</t>
  </si>
  <si>
    <t xml:space="preserve">9 milliards d'euros de valeur ajoutée</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</si>
  <si>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Valore aggiunto 2023 della filiera fiducia digitale.</t>
  </si>
  <si>
    <t xml:space="preserve">ACN-OBSERVATOIRE-2025</t>
  </si>
  <si>
    <t xml:space="preserve">Observatoire de la Filière de la Confiance Numérique 2025 (pagina di sintesi ACN)</t>
  </si>
  <si>
    <t xml:space="preserve">https://www.confiance-numerique.fr/lobservatoire-de-la-confiance-numerique/</t>
  </si>
  <si>
    <t xml:space="preserve">Chiffre d'affaires en France (Confiance Numérique)</t>
  </si>
  <si>
    <t xml:space="preserve">Fatturato in Francia della filiera della confiance numérique nel 2024.</t>
  </si>
  <si>
    <t xml:space="preserve">33.5Milliards € À l'international générés dans le monde par la filière française de la confiance numérique, 21.3 MDS € en France</t>
  </si>
  <si>
    <t xml:space="preserve">Perimetro della filiera più ampio della sola cybersecurity; include l'export dalla Francia. Il fatturato cyber si ottiene applicando la quota cyber dichiarata. Dal 2025 il perimetro include l'IA di fiducia. Crescita 2024 del 6,2% riportata da terzi. Letto da estratto indicizzato della pagina. Verifica finale 08/10/2026, valore confermato sulla fonte. Fatturato in Francia confermato, anno 2024 indicato nella pagina.</t>
  </si>
  <si>
    <t xml:space="preserve">Répartition du chiffre d'affaires, cybersécurité</t>
  </si>
  <si>
    <t xml:space="preserve">Quota della cybersecurity sul fatturato della filiera nel 2024.</t>
  </si>
  <si>
    <t xml:space="preserve">53% Pour la cybersécurité, 40% pour la sécurité numérique, 7% pour l'IA de confiance</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</si>
  <si>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Quota cybersecurity sul fatturato confermata.</t>
  </si>
  <si>
    <t xml:space="preserve">Valore aggiunto della filiera della confiance numérique in Francia nel 2024.</t>
  </si>
  <si>
    <t xml:space="preserve">10Milliards € De valeur ajoutée</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</si>
  <si>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Valore aggiunto confermato nella stessa pagina riferita al 2024.</t>
  </si>
  <si>
    <t xml:space="preserve">ACN-OBSERVATOIRE-2026</t>
  </si>
  <si>
    <t xml:space="preserve">Observatoire ACN 2026 de la Confiance Numérique (pagina di sintesi ACN)</t>
  </si>
  <si>
    <t xml:space="preserve">https://www.confiance-numerique.fr/https-www-confiance-numerique-fr-wp-content-uploads-2026-06-observatoire-acn-2026-de-la-confiance-numerique-bd-pdf/</t>
  </si>
  <si>
    <t xml:space="preserve">Fatturato in Francia della filiera della confiance numérique nel 2025.</t>
  </si>
  <si>
    <t xml:space="preserve">+5,4% sul 2024</t>
  </si>
  <si>
    <t xml:space="preserve">34.7Milliards € À l'international générés dans le monde par la filière française de la confiance numérique, 22.4 MDS € en France</t>
  </si>
  <si>
    <t xml:space="preserve">Perimetro della filiera più ampio della sola cybersecurity; include l'export dalla Francia. Il fatturato cyber si ottiene applicando la quota cyber dichiarata. Perimetro con IA di fiducia. Letto da estratto indicizzato della pagina. Verifica finale 08/10/2026, valore confermato sulla fonte. Valore confermato, il perimetro della confiance numérique include anche identità digitale e IA di fiducia.</t>
  </si>
  <si>
    <t xml:space="preserve">Croissance cybersécurité 2025</t>
  </si>
  <si>
    <t xml:space="preserve">Crescita del fatturato del segmento cybersecurity della filiera nel 2025.</t>
  </si>
  <si>
    <t xml:space="preserve">23.4% Pour l'IA de confiance, +2.4% pour la sécurité numérique, 6.4 % pour la cybersécurité</t>
  </si>
  <si>
    <t xml:space="preserve">Valore aggiunto della filiera della confiance numérique in Francia nel 2025.</t>
  </si>
  <si>
    <t xml:space="preserve">10.6Milliards € De valeur ajoutée</t>
  </si>
  <si>
    <t xml:space="preserve">Perimetro della filiera più ampio della sola cybersecurity; include l'export dalla Francia. Il fatturato cyber si ottiene applicando la quota cyber dichiarata. Letto da estratto indicizzato della pagina. Verifica finale 08/10/2026, valore confermato sulla fonte. Valore aggiunto confermato nella pagina dell'Osservatorio ACN 2026.</t>
  </si>
  <si>
    <t xml:space="preserve">CBI-CYBEREUR-2026</t>
  </si>
  <si>
    <t xml:space="preserve">CBI, Centre for the Promotion of Imports from developing countries (Ministero degli esteri dei Paesi Bassi)</t>
  </si>
  <si>
    <t xml:space="preserve">The European market potential for cybersecurity products and services</t>
  </si>
  <si>
    <t xml:space="preserve">19/02/2026</t>
  </si>
  <si>
    <t xml:space="preserve">https://www.cbi.eu/market-information/outsourcing-itobpo/cybersecurity/market-potential</t>
  </si>
  <si>
    <t xml:space="preserve">Statista Market Insights, Cybersecurity (pagine paese)</t>
  </si>
  <si>
    <t xml:space="preserve">Market size (revenue 2025)</t>
  </si>
  <si>
    <t xml:space="preserve">Ricavi del mercato della cybersecurity del paese nel 2025 nella tabella CBI basata su Statista.</t>
  </si>
  <si>
    <t xml:space="preserve">CAGR 2025-2030 5,09%</t>
  </si>
  <si>
    <t xml:space="preserve">Dedotta. I valori paese sono ripresi da Statista, che misura ricavi dei vendor.</t>
  </si>
  <si>
    <t xml:space="preserve">Non dichiarata per il totale europeo. Valori paese ripresi da statistiche Statista.</t>
  </si>
  <si>
    <t xml:space="preserve">France €5.23 billion 5.09%</t>
  </si>
  <si>
    <t xml:space="preserve">Letto da estratto indicizzato della pagina. Riga paese da pagina multi-paese CBI. Valori Statista di aggiornamento non specificato, da confrontare con la pagina Statista del paese. Verifica finale 08/10/2026, valore confermato sulla fonte. Valore della Francia confermato in tabella e nel testo.</t>
  </si>
  <si>
    <t xml:space="preserve">CESIN-BAROMETRE-2026</t>
  </si>
  <si>
    <t xml:space="preserve">CESIN (Club des Experts de la Sécurité de l'Information et du Numérique)</t>
  </si>
  <si>
    <t xml:space="preserve">Baromètre de la cybersécurité des entreprises, vague 11</t>
  </si>
  <si>
    <t xml:space="preserve">https://cesin.fr/document.php?d=69772236858eb&amp;share=1</t>
  </si>
  <si>
    <t xml:space="preserve">Part des entreprises consacrant 5% ou plus du budget IT/digital à la sécurité</t>
  </si>
  <si>
    <t xml:space="preserve">Quota di imprese membri CESIN che destinano almeno il 5 per cento del budget IT alla sicurezza, anno 2020.</t>
  </si>
  <si>
    <t xml:space="preserve">Survey annuale ai responsabili della sicurezza delle imprese membri CESIN; base 397 rispondenti nella vague 11. Domanda Q18 sulla quota del budget IT dedicata alla sicurezza, per classi.</t>
  </si>
  <si>
    <t xml:space="preserve">5% ou plus du budget IT/digital est consacrée à la sécurité ... 29% 44% 45% 45% 48% 42% 2020 2021 2022 2023 2024 2025</t>
  </si>
  <si>
    <t xml:space="preserve">Quota di imprese sopra una soglia, non quota di spesa. Campione di grandi organizzazioni membri CESIN, non rappresentativo. Valori 2020-2024 dalle edizioni precedenti riportati nel grafico. Letto da estratto indicizzato della pagina.</t>
  </si>
  <si>
    <t xml:space="preserve">Quota di imprese membri CESIN che destinano almeno il 5 per cento del budget IT alla sicurezza, anno 2021.</t>
  </si>
  <si>
    <t xml:space="preserve">Quota di imprese sopra una soglia, non quota di spesa. Campione di grandi organizzazioni membri CESIN, non rappresentativo. Valori 2020-2024 dalle edizioni precedenti riportati nel grafico. Letto da estratto indicizzato della pagina. Verifica finale 08/10/2026, valore confermato sulla fonte. Quota 2021 confermata nella serie storica del barometro CESIN.</t>
  </si>
  <si>
    <t xml:space="preserve">Quota di imprese membri CESIN che destinano almeno il 5 per cento del budget IT alla sicurezza, anno 2022.</t>
  </si>
  <si>
    <t xml:space="preserve">Quota di imprese membri CESIN che destinano almeno il 5 per cento del budget IT alla sicurezza, anno 2023.</t>
  </si>
  <si>
    <t xml:space="preserve">Quota di imprese membri CESIN che destinano almeno il 5 per cento del budget IT alla sicurezza, anno 2024.</t>
  </si>
  <si>
    <t xml:space="preserve">Quota di imprese membri CESIN che destinano almeno il 5 per cento del budget IT alla sicurezza, anno 2025.</t>
  </si>
  <si>
    <t xml:space="preserve">PAC-CYBERFR-2025</t>
  </si>
  <si>
    <t xml:space="preserve">ChannelNews (dati PAC)</t>
  </si>
  <si>
    <t xml:space="preserve">Le marché français de la cybersécurité va encore progresser de 10 % en 2025</t>
  </si>
  <si>
    <t xml:space="preserve">23/04/2025</t>
  </si>
  <si>
    <t xml:space="preserve">https://www.channelnews.fr/le-marche-francais-de-la-cybersecurite-va-encore-progresser-de-10-en-2025-145191</t>
  </si>
  <si>
    <t xml:space="preserve">PAC (Pierre Audoin Consultants), studio sul mercato francese della cybersecurity 2025 (URL non disponibile)</t>
  </si>
  <si>
    <t xml:space="preserve">Dépenses de logiciels et de services de cybersécurité</t>
  </si>
  <si>
    <t xml:space="preserve">Spesa in Francia per software e servizi di cybersecurity prevista per il 2025 da PAC.</t>
  </si>
  <si>
    <t xml:space="preserve">+10% sul 2024</t>
  </si>
  <si>
    <t xml:space="preserve">software, piattaforme cloud e servizi (hardware escluso)</t>
  </si>
  <si>
    <t xml:space="preserve">Dedotta. L'articolo riporta i dati PAC come spesa senza descriverne la costruzione.</t>
  </si>
  <si>
    <t xml:space="preserve">les dépenses de logiciels et de services de cybersécurité vont croitre de 10 % cette année en France pour s'établir à 7,96 Md€.</t>
  </si>
  <si>
    <t xml:space="preserve">Perimetro senza hardware. Letto da estratto indicizzato della pagina. Verifica finale 08/10/2026, valore confermato sulla fonte. Stima 2025 confermata nell'articolo dell'aprile 2025.</t>
  </si>
  <si>
    <t xml:space="preserve">Dépenses de logiciels (et plateformes cloud) de cybersécurité</t>
  </si>
  <si>
    <t xml:space="preserve">Spesa in software e piattaforme cloud di cybersecurity in Francia prevista per il 2025.</t>
  </si>
  <si>
    <t xml:space="preserve">Software e piattaforme cloud</t>
  </si>
  <si>
    <t xml:space="preserve">TCAM 2025-2029 8,7%</t>
  </si>
  <si>
    <t xml:space="preserve">soit 4,96 Md€ contre 3,01 Md€ pour les logiciels (et plateformes cloud).</t>
  </si>
  <si>
    <t xml:space="preserve">Perimetro senza hardware. Letto da estratto indicizzato della pagina.</t>
  </si>
  <si>
    <t xml:space="preserve">Dépenses de services de cybersécurité</t>
  </si>
  <si>
    <t xml:space="preserve">Spesa in servizi di cybersecurity in Francia prevista per il 2025, pari al 62 per cento del totale.</t>
  </si>
  <si>
    <t xml:space="preserve">TCAM 2025-2029 9,6%</t>
  </si>
  <si>
    <t xml:space="preserve">Les services représenteront ainsi près des deux tiers (62 %) des dépenses de cybersécurité en France cette année, soit 4,96 Md€</t>
  </si>
  <si>
    <t xml:space="preserve">Poids de la sécurité dans les dépenses informatiques en France</t>
  </si>
  <si>
    <t xml:space="preserve">Quota della sicurezza sulla spesa informatica in Francia secondo PAC.</t>
  </si>
  <si>
    <t xml:space="preserve">Le poids de la sécurité dans les dépenses informatiques ... En France il atteint déjà 11,6 %.</t>
  </si>
  <si>
    <t xml:space="preserve">Perimetro senza hardware. Anno della quota 11,6% non esplicitato, assunto 2025. Letto da estratto indicizzato della pagina.</t>
  </si>
  <si>
    <t xml:space="preserve">Dépenses de cybersécurité (prévision 2029)</t>
  </si>
  <si>
    <t xml:space="preserve">Previsione PAC della spesa in Francia per software e servizi di cybersecurity al 2029.</t>
  </si>
  <si>
    <t xml:space="preserve">TCAM 2025-2029 9,28%</t>
  </si>
  <si>
    <t xml:space="preserve">un taux moyen de croissance annuelle du marché de +9,28 %. Marché qui devrait atteindre 11,36 Md€ en 2029.</t>
  </si>
  <si>
    <t xml:space="preserve">CNI-CSFSECURITE-2025</t>
  </si>
  <si>
    <t xml:space="preserve">Conseil national de l'industrie (CNI), Comité stratégique de filière Industries de sécurité</t>
  </si>
  <si>
    <t xml:space="preserve">Contrat stratégique de filière Industries de sécurité 2024-2027</t>
  </si>
  <si>
    <t xml:space="preserve">https://www.entreprises.gouv.fr/files/files/Entites/CNI/2025/contrat-filiere-industries-securite.pdf</t>
  </si>
  <si>
    <t xml:space="preserve">Chiffre d'affaires cybersécurité (produits et services) de la filière Industries de sécurité</t>
  </si>
  <si>
    <t xml:space="preserve">Fatturato 2021 della cybersecurity, prodotti e servizi, nella filiera francese delle industrie di sicurezza.</t>
  </si>
  <si>
    <t xml:space="preserve">crescita media annua quasi 10% 2018-2021</t>
  </si>
  <si>
    <t xml:space="preserve">prodotti e servizi di cybersecurity</t>
  </si>
  <si>
    <t xml:space="preserve">Non dichiarata nell'estratto; i dati cyber includono prodotti e servizi.</t>
  </si>
  <si>
    <t xml:space="preserve">la cybersécurité ... représente en 2021 près de 30 % de son chiffre d'affaires total, soit 9,1 milliards d'euros</t>
  </si>
  <si>
    <t xml:space="preserve">Coerente con ACN 2022 (63% di 14,6 miliardi). Ricavi della filiera francese, export incluso. Letto da estratto indicizzato della pagina. Verifica finale 08/10/2026, valore confermato sulla fonte.</t>
  </si>
  <si>
    <t xml:space="preserve">DGE-CYBERSECURITE-2024</t>
  </si>
  <si>
    <t xml:space="preserve">Direction générale des Entreprises (DGE), Ministère de l'Économie</t>
  </si>
  <si>
    <t xml:space="preserve">La cybersécurité (pagina settoriale)</t>
  </si>
  <si>
    <t xml:space="preserve">https://www.entreprises.gouv.fr/secteurs-dactivite/le-secteur-du-numerique-en-france/la-cybersecurite</t>
  </si>
  <si>
    <t xml:space="preserve">ACN, Observatoire de la Confiance Numérique 2024 (https://www.confiance-numerique.fr/wp-content/uploads/2024/05/ACN-Observatoire-de-la-filiere-de-la-confiance-numerique2024-bd.pdf)</t>
  </si>
  <si>
    <t xml:space="preserve">Chiffre d'affaires de la filière cyber</t>
  </si>
  <si>
    <t xml:space="preserve">Fatturato 2023 della filiera francese della cybersecurity secondo il Ministero dell'Economia su dati ACN.</t>
  </si>
  <si>
    <t xml:space="preserve">prodotti, software e servizi di cybersecurity</t>
  </si>
  <si>
    <t xml:space="preserve">Dato ripreso dall'Observatoire ACN 2024; corrisponde al 55% del fatturato della filiera di 19 miliardi.</t>
  </si>
  <si>
    <t xml:space="preserve">10,45 milliards d'euros Chiffre d'affaires de la filière cyber en 2023. Source : observatoire ACN de la confiance numérique (2024).</t>
  </si>
  <si>
    <t xml:space="preserve">Ricavi dell'industria con sede in Francia, export incluso; non è il mercato domestico. Letto da estratto indicizzato della pagina. Verifica finale 08/10/2026, valore confermato sulla fonte. Pagina DGE che cita l'Osservatorio ACN 2024.</t>
  </si>
  <si>
    <t xml:space="preserve">EXAEGIS-CYBERFR-2026</t>
  </si>
  <si>
    <t xml:space="preserve">Exaegis</t>
  </si>
  <si>
    <t xml:space="preserve">Società di analisi</t>
  </si>
  <si>
    <t xml:space="preserve">Cybersécurité, analyses de marché et classements</t>
  </si>
  <si>
    <t xml:space="preserve">https://research.exaegis.com/cybersecurite</t>
  </si>
  <si>
    <t xml:space="preserve">Marché des solutions et services numériques de cybersécurité (2029)</t>
  </si>
  <si>
    <t xml:space="preserve">Previsione del mercato francese delle soluzioni e dei servizi digitali di cybersecurity al 2029.</t>
  </si>
  <si>
    <t xml:space="preserve">crescita 11,4% sul periodo; circa 12% nel 2026</t>
  </si>
  <si>
    <t xml:space="preserve">software, servizi IT, consulenza e audit</t>
  </si>
  <si>
    <t xml:space="preserve">Dedotta. Il mercato è descritto come composto da editori, ESN e società di consulenza e audit.</t>
  </si>
  <si>
    <t xml:space="preserve">Le marché des solutions et services numériques de cybersécurité s'élèvera à plus de 9 milliards d'euros en 2029</t>
  </si>
  <si>
    <t xml:space="preserve">Valore pubblicato come soglia minima (plus de 9 milliards). Letto da estratto indicizzato della pagina. Verifica finale 08/10/2026, valore confermato sulla fonte.</t>
  </si>
  <si>
    <t xml:space="preserve">GOUV-PLANCYBER-2021</t>
  </si>
  <si>
    <t xml:space="preserve">Gouvernement français (info.gouv.fr)</t>
  </si>
  <si>
    <t xml:space="preserve">Un plan à 1 milliard d'euros pour renforcer la cybersécurité</t>
  </si>
  <si>
    <t xml:space="preserve">18/02/2021</t>
  </si>
  <si>
    <t xml:space="preserve">https://www.info.gouv.fr/actualite/un-plan-a-1-milliard-d-euros-pour-renforcer-la-cybersecurite</t>
  </si>
  <si>
    <t xml:space="preserve">Chiffre d'affaires de la filière (situation de départ)</t>
  </si>
  <si>
    <t xml:space="preserve">Fatturato di partenza della filiera francese della cybersecurity indicato nella strategia nazionale del 2021.</t>
  </si>
  <si>
    <t xml:space="preserve">obiettivo 25 miliardi nel 2025</t>
  </si>
  <si>
    <t xml:space="preserve">Dedotta. Fatturato delle imprese della filiera.</t>
  </si>
  <si>
    <t xml:space="preserve">multiplier par trois le chiffre d'affaires de la filière (passant de 7,3 milliards à 25 milliards d'euros)</t>
  </si>
  <si>
    <t xml:space="preserve">Anno di riferimento non dichiarato, assunto 2020. Valore inferiore agli 8,3 miliardi cyber 2020 desumibili da ACN 2021. Il 25 miliardi è un obiettivo politico. Letto da estratto indicizzato della pagina. Verifica finale 08/10/2026, valore confermato sulla fonte. Valore di partenza confermato. L'estratto non indica l'anno esatto del dato di base.</t>
  </si>
  <si>
    <t xml:space="preserve">GRANDVIEW-CYBERFR-2026</t>
  </si>
  <si>
    <t xml:space="preserve">Grand View Research (Horizon)</t>
  </si>
  <si>
    <t xml:space="preserve">France Cyber Security Market Outlook, 2033</t>
  </si>
  <si>
    <t xml:space="preserve">https://www.grandviewresearch.com/horizon/outlook/cyber-security-market/france</t>
  </si>
  <si>
    <t xml:space="preserve">France cyber security market revenue</t>
  </si>
  <si>
    <t xml:space="preserve">Ricavi del mercato francese della cybersecurity nel 2025.</t>
  </si>
  <si>
    <t xml:space="preserve">The France cyber security market generated a revenue of USD 9,250.0 million in 2025</t>
  </si>
  <si>
    <t xml:space="preserve">Letto da estratto indicizzato della pagina. Verifica finale 08/10/2026, valore confermato sulla fonte. Valore 2025 confermato.</t>
  </si>
  <si>
    <t xml:space="preserve">Hardware revenue share</t>
  </si>
  <si>
    <t xml:space="preserve">Quota del segmento hardware sui ricavi del mercato francese della cybersecurity nel 2025.</t>
  </si>
  <si>
    <t xml:space="preserve">Hardware was the largest segment with a revenue share of 56.92% in 2025.</t>
  </si>
  <si>
    <t xml:space="preserve">Letto da estratto indicizzato della pagina. Verifica finale 08/10/2026, valore confermato sulla fonte. Quota hardware 2025 confermata.</t>
  </si>
  <si>
    <t xml:space="preserve">France cyber security market forecast</t>
  </si>
  <si>
    <t xml:space="preserve">Previsione dei ricavi del mercato francese della cybersecurity al 2033.</t>
  </si>
  <si>
    <t xml:space="preserve">CAGR 2026-2033 11,8%</t>
  </si>
  <si>
    <t xml:space="preserve">is expected to reach USD 22,421.7 million by 2033. The France market is expected to grow at a CAGR of 11.8% from 2026 to 2033.</t>
  </si>
  <si>
    <t xml:space="preserve">GRANDVIEW-CYBERSERVFR-2025</t>
  </si>
  <si>
    <t xml:space="preserve">France Cyber Security Services Market Size &amp; Outlook, 2030</t>
  </si>
  <si>
    <t xml:space="preserve">https://www.grandviewresearch.com/horizon/outlook/cyber-security-services-market/france</t>
  </si>
  <si>
    <t xml:space="preserve">France cyber security services market revenue</t>
  </si>
  <si>
    <t xml:space="preserve">Ricavi del mercato francese dei servizi di cybersecurity nel 2024.</t>
  </si>
  <si>
    <t xml:space="preserve">The France cyber security services market generated a revenue of USD 3,710.0 million in 2024</t>
  </si>
  <si>
    <t xml:space="preserve">France cyber security services market forecast</t>
  </si>
  <si>
    <t xml:space="preserve">Previsione dei ricavi del mercato francese dei servizi di cybersecurity al 2030.</t>
  </si>
  <si>
    <t xml:space="preserve">CAGR 2025-2030 13,6%</t>
  </si>
  <si>
    <t xml:space="preserve">is expected to reach USD 7,657.5 million by 2030. The France market is expected to grow at a CAGR of 13.6% from 2025 to 2030.</t>
  </si>
  <si>
    <t xml:space="preserve">Letto da estratto indicizzato della pagina. Verifica finale 08/10/2026, valore confermato sulla fonte. Previsione 2030 confermata.</t>
  </si>
  <si>
    <t xml:space="preserve">PAC-CYBERFR-2026</t>
  </si>
  <si>
    <t xml:space="preserve">INCYBER News (dati PAC)</t>
  </si>
  <si>
    <t xml:space="preserve">En croissance, le marché français de la cybersécurité reste trop fragmenté</t>
  </si>
  <si>
    <t xml:space="preserve">29/06/2026</t>
  </si>
  <si>
    <t xml:space="preserve">https://incyber.org/article/croissance-marche-francais-cybersecurite-reste-trop-fragmente/</t>
  </si>
  <si>
    <t xml:space="preserve">PAC (Eric Domage, intervento pubblico 2026; URL non disponibile)</t>
  </si>
  <si>
    <t xml:space="preserve">Marché français de la cybersécurité</t>
  </si>
  <si>
    <t xml:space="preserve">Mercato francese della cybersecurity nel 2025 secondo PAC, consuntivo presentato nel 2026.</t>
  </si>
  <si>
    <t xml:space="preserve">+8,3% sul 2024</t>
  </si>
  <si>
    <t xml:space="preserve">Le marché français de la cybersécurité a donc atteint 7,34 milliards d'euros l'an dernier, en hausse de 8,3 %.</t>
  </si>
  <si>
    <t xml:space="preserve">Inferiore alla previsione PAC di aprile 2025 per lo stesso anno (7,96 miliardi). Letto da estratto indicizzato della pagina. Verifica finale 08/10/2026, valore confermato sulla fonte. Articolo del 2026, l'anno scorso corrisponde al 2025.</t>
  </si>
  <si>
    <t xml:space="preserve">Marché français des fournisseurs de services de cybersécurité managés</t>
  </si>
  <si>
    <t xml:space="preserve">Mercato francese dei servizi gestiti di cybersecurity nel 2025 secondo PAC.</t>
  </si>
  <si>
    <t xml:space="preserve">Servizi gestiti</t>
  </si>
  <si>
    <t xml:space="preserve">Le marché français de ces fournisseurs de services de cybersécurité managés représentait environ 1,2 milliard d'euros en 2025</t>
  </si>
  <si>
    <t xml:space="preserve">Valore approssimato (environ). Letto da estratto indicizzato della pagina.</t>
  </si>
  <si>
    <t xml:space="preserve">Marché français des services de cybersécurité managés (2029)</t>
  </si>
  <si>
    <t xml:space="preserve">Previsione PAC del mercato francese dei servizi gestiti di cybersecurity al 2029.</t>
  </si>
  <si>
    <t xml:space="preserve">circa 14% annuo</t>
  </si>
  <si>
    <t xml:space="preserve">et devrait atteindre 2,1 milliards en 2029, soit une croissance de l'ordre de 14 % par an</t>
  </si>
  <si>
    <t xml:space="preserve">Letto da estratto indicizzato della pagina. Verifica finale 08/10/2026, valore confermato sulla fonte. Previsione 2029 dei servizi gestiti confermata.</t>
  </si>
  <si>
    <t xml:space="preserve">Marché français de la cybersécurité (horizon 2030)</t>
  </si>
  <si>
    <t xml:space="preserve">Previsione PAC del mercato francese della cybersecurity al 2030.</t>
  </si>
  <si>
    <t xml:space="preserve">TCAM 2025-2030 7,9%</t>
  </si>
  <si>
    <t xml:space="preserve">un nouveau plafond à horizon 2030, avec 10,7 milliards d'euros de revenus, soit un taux de croissance annuel moyen de 7,9 %.</t>
  </si>
  <si>
    <t xml:space="preserve">DELPHES-CYBERSECURITE-2021</t>
  </si>
  <si>
    <t xml:space="preserve">Indexpresse Delphes (CCI Paris Île-de-France)</t>
  </si>
  <si>
    <t xml:space="preserve">Cybersécurité (étude sectorielle Delphes T3.2110.74)</t>
  </si>
  <si>
    <t xml:space="preserve">10/2021</t>
  </si>
  <si>
    <t xml:space="preserve">https://www.indexpresse-delphes.fr/sites/www.indexpresse-delphes.fr/files/etudes/T3.2110.74-CYBERSECURITE.pdf</t>
  </si>
  <si>
    <t xml:space="preserve">ACN, Observatoire de la Confiance Numérique 2021 (https://www.confiance-numerique.fr/wp-content/uploads/2023/11/Observatoire-ACN-2021-de-la-confiance-numerique.pdf)</t>
  </si>
  <si>
    <t xml:space="preserve">Marché de la cybersécurité en France</t>
  </si>
  <si>
    <t xml:space="preserve">Fatturato 2020 della cybersecurity in Francia, voce totale, secondo i dati ACN ripresi da Delphes.</t>
  </si>
  <si>
    <t xml:space="preserve">+11,5% sul 2019</t>
  </si>
  <si>
    <t xml:space="preserve">Studio documentario che riprende l'Observatoire ACN 2021. Non dichiarata.</t>
  </si>
  <si>
    <t xml:space="preserve">Le marché de la cybersécurité, qui représente 62 % de la confiance numérique, a quant à lui atteint 8,3 milliards d'euros en France en 2020.</t>
  </si>
  <si>
    <t xml:space="preserve">Definito mercato dalla fonte, ma costruito come fatturato della filiera francese (export incluso), quindi lato offerta. Letto da estratto indicizzato della pagina. Verifica finale 08/10/2026, valore confermato sulla fonte. Valore 2020 confermato nello studio Indexpresse.</t>
  </si>
  <si>
    <t xml:space="preserve">Produits et logiciels de cybersécurité</t>
  </si>
  <si>
    <t xml:space="preserve">Fatturato 2020 della cybersecurity in Francia, voce prodotti e software, secondo i dati ACN ripresi da Delphes.</t>
  </si>
  <si>
    <t xml:space="preserve">Prodotti e software</t>
  </si>
  <si>
    <t xml:space="preserve">Les produits et logiciels de cybersécurité représentent 51,6 % du marché, s'établissant à environ 4,3 milliards d'euros en 2020 en France.</t>
  </si>
  <si>
    <t xml:space="preserve">Definito mercato dalla fonte, ma costruito come fatturato della filiera francese (export incluso), quindi lato offerta. Letto da estratto indicizzato della pagina.</t>
  </si>
  <si>
    <t xml:space="preserve">Services de cybersécurité</t>
  </si>
  <si>
    <t xml:space="preserve">Fatturato 2020 della cybersecurity in Francia, voce servizi, secondo i dati ACN ripresi da Delphes.</t>
  </si>
  <si>
    <t xml:space="preserve">+12,3% sul 2019</t>
  </si>
  <si>
    <t xml:space="preserve">les services ont progressé de 12,3 % en valeur, atteignant un chiffre d'affaires de 4 milliards d'euros en France, en 2020</t>
  </si>
  <si>
    <t xml:space="preserve">MRFR-CYBERFR-2025</t>
  </si>
  <si>
    <t xml:space="preserve">Market Research Future</t>
  </si>
  <si>
    <t xml:space="preserve">France Cybersecurity Market Size, Share &amp; Future Scope</t>
  </si>
  <si>
    <t xml:space="preserve">https://www.marketresearchfuture.com/reports/france-cybersecurity-market-46038</t>
  </si>
  <si>
    <t xml:space="preserve">France Cybersecurity Market (2025)</t>
  </si>
  <si>
    <t xml:space="preserve">Dimensione del mercato francese della cybersecurity nel 2025 secondo il riquadro di sintesi.</t>
  </si>
  <si>
    <t xml:space="preserve">Forecast Period: 2025 - 2035 CAGR: 10.28% 2024: $ 7.64 Billion 2025: $ 8.51 Billion 2035: $ 22.42 Billion</t>
  </si>
  <si>
    <t xml:space="preserve">La stessa pagina riporta anche 5,72 miliardi nel 2024, 6,37 nel 2025 e 23,57 nel 2035; valori interni incoerenti. Letto da estratto indicizzato della pagina. Verifica finale 08/10/2026, corretto Natura da Consuntivo a Previsione. Il 2025 rientra nel periodo di previsione dichiarato. La stessa pagina riporta anche 6,37 miliardi per il 2025, valori incoerenti.</t>
  </si>
  <si>
    <t xml:space="preserve">France Cybersecurity Market (2035)</t>
  </si>
  <si>
    <t xml:space="preserve">Previsione del mercato francese della cybersecurity al 2035 secondo il riquadro di sintesi.</t>
  </si>
  <si>
    <t xml:space="preserve">CAGR 2025-2035 10,28%</t>
  </si>
  <si>
    <t xml:space="preserve">Forecast Period: 2025 - 2035 CAGR: 10.28% ... 2035: $ 22.42 Billion</t>
  </si>
  <si>
    <t xml:space="preserve">Valori interni incoerenti, vedi riga 2025. Letto da estratto indicizzato della pagina.</t>
  </si>
  <si>
    <t xml:space="preserve">MARKETSANDMARKETS-CYBERFRGEO-2025</t>
  </si>
  <si>
    <t xml:space="preserve">MarketsandMarkets</t>
  </si>
  <si>
    <t xml:space="preserve">France Cybersecurity Market (2025-2030): Size and Share (pagina geografica)</t>
  </si>
  <si>
    <t xml:space="preserve">https://www.marketsandmarkets.com/Market-Reports/geography/cyber-security-market/france</t>
  </si>
  <si>
    <t xml:space="preserve">Dimensione del mercato francese della cybersecurity nel 2025.</t>
  </si>
  <si>
    <t xml:space="preserve">The France Cybersecurity Market was valued at $5676.9 Million in 2025</t>
  </si>
  <si>
    <t xml:space="preserve">France Cybersecurity Market (2030)</t>
  </si>
  <si>
    <t xml:space="preserve">Previsione del mercato francese della cybersecurity al 2030.</t>
  </si>
  <si>
    <t xml:space="preserve">CAGR 2025-2030 6,9%</t>
  </si>
  <si>
    <t xml:space="preserve">projected to reach to $7907.4 Million by 2030, representing a compound annual growth rate of 6.9%.</t>
  </si>
  <si>
    <t xml:space="preserve">MINECO-STRATCYBER-2022</t>
  </si>
  <si>
    <t xml:space="preserve">Ministère de l'Économie, des Finances et de la Souveraineté industrielle et numérique</t>
  </si>
  <si>
    <t xml:space="preserve">Stratégie nationale d'accélération pour la cybersécurité : les premières réalisations</t>
  </si>
  <si>
    <t xml:space="preserve">02/2022</t>
  </si>
  <si>
    <t xml:space="preserve">https://www.economie.gouv.fr/strategie-nationale-acceleration-cybersecurite</t>
  </si>
  <si>
    <t xml:space="preserve">dont argent public</t>
  </si>
  <si>
    <t xml:space="preserve">Quota di fondi pubblici nella dotazione pluriennale della strategia nazionale di accelerazione per la cybersecurity.</t>
  </si>
  <si>
    <t xml:space="preserve">Dedotta. Dotazione finanziaria pubblica dedicata alla cybersecurity.</t>
  </si>
  <si>
    <t xml:space="preserve">Dotazione programmata della strategia lanciata nel febbraio 2021 e integrata in France 2030. Non dichiarata.</t>
  </si>
  <si>
    <t xml:space="preserve">Financement total de la stratégie d'accélération cybersécurité, dont 720 millions d'euros d'argent public.</t>
  </si>
  <si>
    <t xml:space="preserve">Dotazione pluriennale registrata sull'anno di lancio 2021. Letto da estratto indicizzato della pagina.</t>
  </si>
  <si>
    <t xml:space="preserve">Financement total de la stratégie d'accélération cybersécurité</t>
  </si>
  <si>
    <t xml:space="preserve">Dotazione complessiva pluriennale della strategia nazionale di accelerazione per la cybersecurity, fondi pubblici e privati.</t>
  </si>
  <si>
    <t xml:space="preserve">1 039 000 000 D'EUROS Financement total de la stratégie d'accélération cybersécurité, dont 720 millions d'euros d'argent public.</t>
  </si>
  <si>
    <t xml:space="preserve">Dotazione pluriennale (orizzonte 2025) registrata sull'anno di lancio 2021; include cofinanziamenti privati. Strategia orientata all'offerta (filiera), non alla spesa delle PA. Letto da estratto indicizzato della pagina.</t>
  </si>
  <si>
    <t xml:space="preserve">Volet cybersécurité du plan France Relance (pilotage ANSSI)</t>
  </si>
  <si>
    <t xml:space="preserve">Fondi del piano France Relance per elevare la sicurezza digitale dello Stato e dei servizi pubblici, gestiti dall'ANSSI.</t>
  </si>
  <si>
    <t xml:space="preserve">Dotazione del piano di rilancio 2021-2022 sotto pilotaggio ANSSI. Non dichiarata.</t>
  </si>
  <si>
    <t xml:space="preserve">Le volet cybersécurité du plan France Relance, mobilisant 136 millions d'euros sous pilotage de l'ANSSI</t>
  </si>
  <si>
    <t xml:space="preserve">Dotazione 2021-2022 registrata sull'anno 2021; destinata a Stato, enti territoriali e sanità. Letto da estratto indicizzato della pagina. Verifica finale 08/10/2026, valore confermato sulla fonte. Dotazione confermata.</t>
  </si>
  <si>
    <t xml:space="preserve">MORDOR-CYBERFR-2026</t>
  </si>
  <si>
    <t xml:space="preserve">Taille et part du marché de la cybersécurité en France (2026-2031)</t>
  </si>
  <si>
    <t xml:space="preserve">https://www.mordorintelligence.com/fr/industry-reports/france-cybersecurity-market</t>
  </si>
  <si>
    <t xml:space="preserve">Part des grandes organisations dans les dépenses</t>
  </si>
  <si>
    <t xml:space="preserve">Quota delle grandi organizzazioni sulla spesa in cybersecurity in Francia nel 2025.</t>
  </si>
  <si>
    <t xml:space="preserve">Definizione dichiarata come spesa in Francia in software, hardware e servizi di cybersecurity di organizzazioni private e pubbliche. Passaggi non dichiarati.</t>
  </si>
  <si>
    <t xml:space="preserve">Les grandes organisations ont représenté 64,05 % des dépenses 2025</t>
  </si>
  <si>
    <t xml:space="preserve">Part des solutions</t>
  </si>
  <si>
    <t xml:space="preserve">Quota delle soluzioni sul mercato francese della cybersecurity nel 2025.</t>
  </si>
  <si>
    <t xml:space="preserve">Par offre, les solutions ont représenté 52,10 % de la part de marché de la cybersécurité en France en 2025</t>
  </si>
  <si>
    <t xml:space="preserve">Letto da estratto indicizzato della pagina. Verifica finale 08/10/2026, valore confermato sulla fonte. Quota soluzioni confermata.</t>
  </si>
  <si>
    <t xml:space="preserve">Part du BFSI</t>
  </si>
  <si>
    <t xml:space="preserve">Quota del settore bancario, finanziario e assicurativo sul mercato francese della cybersecurity nel 2025.</t>
  </si>
  <si>
    <t xml:space="preserve">Par secteur vertical, le BFSI a contribué à hauteur de 29,10 % à la taille du marché de la cybersécurité en France en 2025</t>
  </si>
  <si>
    <t xml:space="preserve">Letto da estratto indicizzato della pagina. Verifica finale 08/10/2026, valore confermato sulla fonte. Quota BFSI 2025 confermata.</t>
  </si>
  <si>
    <t xml:space="preserve">Taille du marché de l'année de base (2025)</t>
  </si>
  <si>
    <t xml:space="preserve">Dimensione del mercato francese della cybersecurity nell'anno base 2025.</t>
  </si>
  <si>
    <t xml:space="preserve">Le marché de la cybersécurité en France était évalué à 9,10 milliards USD en 2025</t>
  </si>
  <si>
    <t xml:space="preserve">Taille du marché 2026</t>
  </si>
  <si>
    <t xml:space="preserve">Dimensione del mercato francese della cybersecurity nel 2026.</t>
  </si>
  <si>
    <t xml:space="preserve">La taille du marché de la cybersécurité en France s'établit à 10,11 milliards USD en 2026.</t>
  </si>
  <si>
    <t xml:space="preserve">Letto da estratto indicizzato della pagina. Verifica finale 08/10/2026, valore confermato sulla fonte. Valore 2026 confermato.</t>
  </si>
  <si>
    <t xml:space="preserve">Taille du marché 2031</t>
  </si>
  <si>
    <t xml:space="preserve">Previsione del mercato francese della cybersecurity al 2031.</t>
  </si>
  <si>
    <t xml:space="preserve">TCAC 2026-2031 11,08%</t>
  </si>
  <si>
    <t xml:space="preserve">pour atteindre 17,09 milliards USD d'ici 2031, à un TCAC de 11,08 % au cours de la période de prévision (2026-2031).</t>
  </si>
  <si>
    <t xml:space="preserve">NUMEUM-CONJONCTURE-2024</t>
  </si>
  <si>
    <t xml:space="preserve">Numeum (sindacato delle imprese del digitale, federazione Syntec) con PAC</t>
  </si>
  <si>
    <t xml:space="preserve">Secteur du numérique en France : une croissance continue (conférence semestrielle juin 2024)</t>
  </si>
  <si>
    <t xml:space="preserve">https://numeum.fr/wp-content/uploads/2025/03/CP20Numeum_ConfC3A9rence20semestrielle20juin202024.pdf.pdf</t>
  </si>
  <si>
    <t xml:space="preserve">PAC (modellizzazione del mercato per Numeum)</t>
  </si>
  <si>
    <t xml:space="preserve">La Sécurité : un marché</t>
  </si>
  <si>
    <t xml:space="preserve">Mercato francese della sicurezza digitale nel 2024 tra i temi del mercato del digitale, previsione di giugno 2024.</t>
  </si>
  <si>
    <t xml:space="preserve">+10,6% previsto nel 2024</t>
  </si>
  <si>
    <t xml:space="preserve">Dedotta. Cifre di mercato dalla modellizzazione PAC per gli operatori del digitale, integrate da survey alle imprese del settore.</t>
  </si>
  <si>
    <t xml:space="preserve">Cifre di mercato dalla modellizzazione PAC per Numeum e indicatori da survey online a oltre 320 imprese del digitale (aprile-maggio 2024).</t>
  </si>
  <si>
    <t xml:space="preserve">La Sécurité : un marché de 7 milliards d'euros avec +10,6% de croissance prévue en 2024.</t>
  </si>
  <si>
    <t xml:space="preserve">Sei mesi dopo la stessa fonte indica 4,6 miliardi per il 2024; perimetro del tema sicurezza non definito. Letto da estratto indicizzato della pagina. Verifica finale 08/10/2026, valore confermato sulla fonte. Valore confermato, la frase non chiarisce se i 7 miliardi si riferiscano al 2023 o al 2024.</t>
  </si>
  <si>
    <t xml:space="preserve">NUMEUM-CONJONCTURES2-2024</t>
  </si>
  <si>
    <t xml:space="preserve">Marché du numérique en France : bilan 2024 et perspectives 2025 (conférence semestrielle S2 2024)</t>
  </si>
  <si>
    <t xml:space="preserve">10/12/2024</t>
  </si>
  <si>
    <t xml:space="preserve">https://numeum.fr/wp-content/uploads/2025/03/CP20Numeum_ConfC3A9rence20semestrielle20S2-2024.pdf.pdf</t>
  </si>
  <si>
    <t xml:space="preserve">La Sécurité (un marché)</t>
  </si>
  <si>
    <t xml:space="preserve">Mercato francese della sicurezza digitale nel 2024 tra i temi del mercato del digitale, stima di dicembre 2024.</t>
  </si>
  <si>
    <t xml:space="preserve">+11,9% nel 2024</t>
  </si>
  <si>
    <t xml:space="preserve">Cifre e analisi tratte da interviste di PAC agli operatori del mercato su tre mestieri, editori e piattaforme cloud, ESN, consulenza in tecnologie.</t>
  </si>
  <si>
    <t xml:space="preserve">La Sécurité (un marché de 4,6 milliards d'euros avec +11,9% de croissance en 2024)</t>
  </si>
  <si>
    <t xml:space="preserve">Incoerente con i 7 miliardi indicati a giugno 2024 dalla stessa fonte; probabile cambio di perimetro (solo ricavi dei tre mestieri Numeum). Letto da estratto indicizzato della pagina. Verifica finale 08/10/2026, valore confermato sulla fonte.</t>
  </si>
  <si>
    <t xml:space="preserve">(I) Innovating for the resilience of our business models (PIA4) (I) Cybersecurity of state services €336.0</t>
  </si>
  <si>
    <t xml:space="preserve">SENAT-RAPPORTCYBER-2023</t>
  </si>
  <si>
    <t xml:space="preserve">Sénat (rapport d'information n. 638, 2022-2023)</t>
  </si>
  <si>
    <t xml:space="preserve">Rapport d'information Sénat r22-638 sulla cybersecurity</t>
  </si>
  <si>
    <t xml:space="preserve">https://www.senat.fr/rap/r22-638/r22-6381.pdf</t>
  </si>
  <si>
    <t xml:space="preserve">Moyens de la cybersécurité civile</t>
  </si>
  <si>
    <t xml:space="preserve">Risorse annue della cybersecurity civile dello Stato secondo il rapporto del Senato.</t>
  </si>
  <si>
    <t xml:space="preserve">Rapporto parlamentare basato su documenti di bilancio e audizioni. Non dichiarata per il dato.</t>
  </si>
  <si>
    <t xml:space="preserve">Avec quelque 120 millions d'euros, les moyens de la cybersécurité « civile » restent sans commune mesure inférieurs à ceux consacrés aux armées.</t>
  </si>
  <si>
    <t xml:space="preserve">Valore approssimato (quelque); anno assunto pari a quello del rapporto. Letto da estratto indicizzato della pagina. Verifica finale 08/10/2026, valore confermato sulla fonte.</t>
  </si>
  <si>
    <t xml:space="preserve">Besoins programmés pour le cyber (LPM 2024-2030)</t>
  </si>
  <si>
    <t xml:space="preserve">Fabbisogno programmato per il cyber nella legge di programmazione militare 2024-2030.</t>
  </si>
  <si>
    <t xml:space="preserve">Avec 4 milliards d'euros de besoins programmés pour le cyber, contre 1,6 milliard d'euros pour la LPM 2019-2025</t>
  </si>
  <si>
    <t xml:space="preserve">Dotazione pluriennale 2024-2030 registrata sull'anno iniziale; ciberdifesa militare. Letto da estratto indicizzato della pagina.</t>
  </si>
  <si>
    <t xml:space="preserve">Cyber dans la LPM 2019-2025</t>
  </si>
  <si>
    <t xml:space="preserve">Dotazione per il cyber nella legge di programmazione militare 2019-2025.</t>
  </si>
  <si>
    <t xml:space="preserve">Dotazione pluriennale 2019-2025 registrata sull'anno iniziale; ciberdifesa militare. Letto da estratto indicizzato della pagina. Verifica finale 08/10/2026, corretto Anno di riferimento da 2019 a 2025. Importo programmato per l'intero periodo 2019-2025, non per il 2019. Si usa l'anno di chiusura come per le altre dotazioni pluriennali.</t>
  </si>
  <si>
    <t xml:space="preserve">IDC-PRESSFR-2025</t>
  </si>
  <si>
    <t xml:space="preserve">Silicon.fr (dati IDC France)</t>
  </si>
  <si>
    <t xml:space="preserve">Les Benchmarks de l'IT 2026: les solutions de cybersécurité</t>
  </si>
  <si>
    <t xml:space="preserve">13/04/2026</t>
  </si>
  <si>
    <t xml:space="preserve">https://www.silicon.fr/business-1367/les-benchmarks-de-lit-2026-les-solutions-de-cybersecurite-226696</t>
  </si>
  <si>
    <t xml:space="preserve">IDC France, 2025 (URL non disponibile)</t>
  </si>
  <si>
    <t xml:space="preserve">Dépenses en cybersécurité en France</t>
  </si>
  <si>
    <t xml:space="preserve">Spesa in cybersecurity in Francia nel 2024 secondo IDC France, citata dalla stampa.</t>
  </si>
  <si>
    <t xml:space="preserve">+14% sul 2023</t>
  </si>
  <si>
    <t xml:space="preserve">Dedotta. L'articolo non descrive la costruzione del dato IDC.</t>
  </si>
  <si>
    <t xml:space="preserve">En France, les dépenses en cybersécurité ont progressé de 14 % en 2024 pour atteindre 7,2 milliards d'euros (IDC France, 2025)</t>
  </si>
  <si>
    <t xml:space="preserve">Comunicato IDC originale non trovato. Letto da estratto indicizzato della pagina. Verifica finale 08/10/2026, valore confermato sulla fonte. Articolo Silicon che riprende IDC France.</t>
  </si>
  <si>
    <t xml:space="preserve">SKEMA-PUBLIKACYBER-2026</t>
  </si>
  <si>
    <t xml:space="preserve">SKEMA Business School (Publika)</t>
  </si>
  <si>
    <t xml:space="preserve">Cybersécurité française : une offre qui croît plus vite que son absorption</t>
  </si>
  <si>
    <t xml:space="preserve">24/06/2026</t>
  </si>
  <si>
    <t xml:space="preserve">https://publika.skema.edu/fr/cybersecurite-francaise-une-offre-qui-croit-plus-vite-que-son-absorption/</t>
  </si>
  <si>
    <t xml:space="preserve">ACN, Observatoire de la filière de la Confiance Numérique 2025 (https://www.confiance-numerique.fr/observatoire-acn/observatoire-de-la-filiere-de-la-confiance-numerique-2025/)</t>
  </si>
  <si>
    <t xml:space="preserve">Audit, planning et conseil cyber</t>
  </si>
  <si>
    <t xml:space="preserve">Fatturato 2024 della filiera francese nel segmento servizi di audit, pianificazione e consulenza secondo l'Observatoire ACN 2025.</t>
  </si>
  <si>
    <t xml:space="preserve">Servizi di audit, pianificazione e consulenza</t>
  </si>
  <si>
    <t xml:space="preserve">servizi di cybersecurity</t>
  </si>
  <si>
    <t xml:space="preserve">dont 2,189 milliards pour l'audit, le planning et le conseil</t>
  </si>
  <si>
    <t xml:space="preserve">PDF ACN 2025 non letto direttamente; dati citati da articolo accademico. Ricavi dell'industria nazionale inclusivi dell'export. Letto da estratto indicizzato della pagina.</t>
  </si>
  <si>
    <t xml:space="preserve">Mise en oeuvre cyber</t>
  </si>
  <si>
    <t xml:space="preserve">Fatturato 2024 della filiera francese nel segmento servizi di implementazione secondo l'Observatoire ACN 2025.</t>
  </si>
  <si>
    <t xml:space="preserve">Servizi di implementazione</t>
  </si>
  <si>
    <t xml:space="preserve">1,614 milliard pour la mise en œuvre</t>
  </si>
  <si>
    <t xml:space="preserve">Sécurisation de l'infogérance et exploitation</t>
  </si>
  <si>
    <t xml:space="preserve">Fatturato 2024 della filiera francese nel segmento servizi gestiti e di esercizio secondo l'Observatoire ACN 2025.</t>
  </si>
  <si>
    <t xml:space="preserve">Servizi gestiti e di esercizio</t>
  </si>
  <si>
    <t xml:space="preserve">1,119 milliard pour la sécurisation de l'infogérance et de l'exploitation</t>
  </si>
  <si>
    <t xml:space="preserve">Services de cybersécurité (chiffre d'affaires)</t>
  </si>
  <si>
    <t xml:space="preserve">Fatturato 2024 della filiera francese nel segmento servizi di cybersecurity secondo l'Observatoire ACN 2025.</t>
  </si>
  <si>
    <t xml:space="preserve">Servizi di cybersecurity</t>
  </si>
  <si>
    <t xml:space="preserve">L'Observatoire ACN chiffre les services de cybersécurité à 5,036 milliards d'euros, 29 271 emplois et 717 entreprises en 2024</t>
  </si>
  <si>
    <t xml:space="preserve">XERFI-CYBER-2025</t>
  </si>
  <si>
    <t xml:space="preserve">Xerfi</t>
  </si>
  <si>
    <t xml:space="preserve">Le marché de la cybersécurité à l'horizon 2030 (presentazione dello studio)</t>
  </si>
  <si>
    <t xml:space="preserve">https://www.xerfi.com/presentationetude/le-marche-de-la-cybersecurite_sae24</t>
  </si>
  <si>
    <t xml:space="preserve">Dimensione del mercato francese della cybersecurity nel 2025 secondo Xerfi.</t>
  </si>
  <si>
    <t xml:space="preserve">apparecchiature, software, soluzioni cloud e servizi</t>
  </si>
  <si>
    <t xml:space="preserve">Dedotta. Il mercato è definito come insieme delle imprese che offrono prodotti e servizi di sicurezza.</t>
  </si>
  <si>
    <t xml:space="preserve">Non dichiarata nella presentazione gratuita.</t>
  </si>
  <si>
    <t xml:space="preserve">Le marché mondial de la cybersécurité représentait plus de 250 milliards de dollars en 2025 dont 6,4 milliards d'euros rien qu'en France.</t>
  </si>
  <si>
    <t xml:space="preserve">Clientela dichiarata, privati, imprese e amministrazioni pubbliche. Natura dichiarata dalla fonte al passato per il 2025. Letto da estratto indicizzato della pagina. Verifica finale 08/10/2026, valore confermato sulla fonte. Valore Francia 2025 confermato.</t>
  </si>
  <si>
    <t xml:space="preserve">6WRESEARCH-CYBERDE-2026</t>
  </si>
  <si>
    <t xml:space="preserve">DE</t>
  </si>
  <si>
    <t xml:space="preserve">Germania</t>
  </si>
  <si>
    <t xml:space="preserve">6Wresearch</t>
  </si>
  <si>
    <t xml:space="preserve">Germany Cyber Security Market (2020-2026), aggiornamento giugno 2026</t>
  </si>
  <si>
    <t xml:space="preserve">https://www.6wresearch.com/industry-report/germany-cyber-security-market-2020-2026</t>
  </si>
  <si>
    <t xml:space="preserve">Germany Cyber Security Market</t>
  </si>
  <si>
    <t xml:space="preserve">Dimensione del mercato tedesco della cybersecurity nel 2025 secondo 6Wresearch.</t>
  </si>
  <si>
    <t xml:space="preserve">The Germany Cyber Security Market was estimated at USD 107 Million in 2025 and is projected to reach USD 115 Million by 2032</t>
  </si>
  <si>
    <t xml:space="preserve">Valore di due ordini di grandezza inferiore alle altre fonti; probabile errore o perimetro molto ristretto. Letto da estratto indicizzato della pagina. Verifica finale 08/10/2026, valore confermato sulla fonte. Valore 2025 confermato.</t>
  </si>
  <si>
    <t xml:space="preserve">Germany Cyber Security Market (forecast)</t>
  </si>
  <si>
    <t xml:space="preserve">Previsione del mercato tedesco della cybersecurity al 2032 secondo 6Wresearch.</t>
  </si>
  <si>
    <t xml:space="preserve">CAGR 2026-2032 1,0%</t>
  </si>
  <si>
    <t xml:space="preserve">projected to reach USD 115 Million by 2032, growing at a CAGR of 1.0% from 2026 to 2032.</t>
  </si>
  <si>
    <t xml:space="preserve">Valore anomalo, vedi riga 2025. Letto da estratto indicizzato della pagina. Verifica finale 08/10/2026, valore confermato sulla fonte. Previsione 2032 confermata.</t>
  </si>
  <si>
    <t xml:space="preserve">Cybersecurity market size by country, Germany (€bn)</t>
  </si>
  <si>
    <t xml:space="preserve">Dimensione del mercato tedesco della cybersecurity nel 2023 secondo BDO.</t>
  </si>
  <si>
    <t xml:space="preserve">CAGR 2023-2028 7,2%</t>
  </si>
  <si>
    <t xml:space="preserve">Cybersecurity market size and dynamics by country, €bn Germany ... 6.4 6.9 7.5 8.0 8.5 9.0 +7.2%</t>
  </si>
  <si>
    <t xml:space="preserve">Letto da grafico. Il 2025 è marcato E (stima) e il 2026 F (previsione) nel rapporto. Valori inferiori di circa il 30% alla serie Bitkom PAC (9,2 miliardi nel 2023). Letto da estratto indicizzato della pagina.</t>
  </si>
  <si>
    <t xml:space="preserve">Share of security services, Germany</t>
  </si>
  <si>
    <t xml:space="preserve">Quota del segmento servizi sul mercato tedesco della cybersecurity nel 2023 secondo BDO.</t>
  </si>
  <si>
    <t xml:space="preserve">Germany ... 56% 44% 2023 54% 46% 2024 ... 50% 50% 2028F</t>
  </si>
  <si>
    <t xml:space="preserve">Attribuzione ai segmenti dedotta dal testo che indica la quota crescente delle soluzioni; letto da grafico. Letto da estratto indicizzato della pagina.</t>
  </si>
  <si>
    <t xml:space="preserve">Share of security solutions, Germany</t>
  </si>
  <si>
    <t xml:space="preserve">Quota del segmento soluzioni sul mercato tedesco della cybersecurity nel 2023 secondo BDO.</t>
  </si>
  <si>
    <t xml:space="preserve">Dimensione del mercato tedesco della cybersecurity nel 2024 secondo BDO.</t>
  </si>
  <si>
    <t xml:space="preserve">Letto da grafico. Il 2025 è marcato E (stima) e il 2026 F (previsione) nel rapporto. Valori inferiori di circa il 30% alla serie Bitkom PAC (9,2 miliardi nel 2023). Letto da estratto indicizzato della pagina. Verifica finale 08/10/2026, valore confermato sulla fonte. Serie Germania 2023 2028F, il valore 6,9 corrisponde al 2024 nel grafico del PDF BDO.</t>
  </si>
  <si>
    <t xml:space="preserve">Dimensione del mercato tedesco della cybersecurity nel 2025 secondo BDO.</t>
  </si>
  <si>
    <t xml:space="preserve">Dimensione del mercato tedesco della cybersecurity nel 2026 secondo BDO.</t>
  </si>
  <si>
    <t xml:space="preserve">Dimensione del mercato tedesco della cybersecurity nel 2027 secondo BDO.</t>
  </si>
  <si>
    <t xml:space="preserve">Dimensione del mercato tedesco della cybersecurity nel 2028 secondo BDO.</t>
  </si>
  <si>
    <t xml:space="preserve">Quota del segmento servizi sul mercato tedesco della cybersecurity nel 2028 secondo BDO.</t>
  </si>
  <si>
    <t xml:space="preserve">Quota del segmento soluzioni sul mercato tedesco della cybersecurity nel 2028 secondo BDO.</t>
  </si>
  <si>
    <t xml:space="preserve">BITKOM-ITKMARKT-2024</t>
  </si>
  <si>
    <t xml:space="preserve">Bitkom e.V.</t>
  </si>
  <si>
    <t xml:space="preserve">Digitalbranche wächst - aber nicht überall (Presseinformation Halbjahres-Konjunktur 2024)</t>
  </si>
  <si>
    <t xml:space="preserve">26/06/2024</t>
  </si>
  <si>
    <t xml:space="preserve">https://www.bitkom.org/Presse/Presseinformation/Digitalbranche-waechst-aber-nicht-ueberall</t>
  </si>
  <si>
    <t xml:space="preserve">IDC (dati ITK-Marktzahlen Bitkom con IDC)</t>
  </si>
  <si>
    <t xml:space="preserve">Sicherheits-Software (Umsatz)</t>
  </si>
  <si>
    <t xml:space="preserve">Ricavi del segmento software di sicurezza nel mercato IT tedesco, anno 2024.</t>
  </si>
  <si>
    <t xml:space="preserve">+12,7% sul 2023</t>
  </si>
  <si>
    <t xml:space="preserve">Dedotta. I valori sono Umsätze (ricavi) dei segmenti del mercato ITK calcolati da Bitkom con IDC.</t>
  </si>
  <si>
    <t xml:space="preserve">Dati del mercato ITK Bitkom elaborati con IDC. Non dichiarata per il segmento sicurezza.</t>
  </si>
  <si>
    <t xml:space="preserve">Sicherheits-Software steht dabei mit plus 12,7 Prozent auf 4,7 Milliarden Euro an der Wachstumsspitze.</t>
  </si>
  <si>
    <t xml:space="preserve">Sicherheitstechnologien (Umsatz)</t>
  </si>
  <si>
    <t xml:space="preserve">Ricavi del segmento hardware di sicurezza nel mercato IT tedesco, anno 2024.</t>
  </si>
  <si>
    <t xml:space="preserve">+4,1% sul 2023</t>
  </si>
  <si>
    <t xml:space="preserve">Auch die Nachfrage nach Sicherheitstechnologien wächst weiter überdurchschnittlich, in diesem Jahr um 4,1 Prozent auf 1,2 Milliarden Euro.</t>
  </si>
  <si>
    <t xml:space="preserve">Voce Hardware dedotta, Sicherheitstechnologien nel segmento hardware IT (nell'edizione di gennaio 2023 indicati come Security Appliances). Letto da estratto indicizzato della pagina. Verifica finale 08/10/2026, valore confermato sulla fonte. Comunicato del 26 giugno 2024, valore 2024 confermato.</t>
  </si>
  <si>
    <t xml:space="preserve">BITKOM-ITKMARKT-2025</t>
  </si>
  <si>
    <t xml:space="preserve">Digitalbranche wächst um 4,6 Prozent (Presseinformation Jahres-Pressekonferenz 2025)</t>
  </si>
  <si>
    <t xml:space="preserve">09/01/2025</t>
  </si>
  <si>
    <t xml:space="preserve">https://www.bitkom.org/Presse/Presseinformation/Lichtblick-Rezession-Digitalbranche-waechst</t>
  </si>
  <si>
    <t xml:space="preserve">Sicherheitssoftware (Umsatz)</t>
  </si>
  <si>
    <t xml:space="preserve">Ricavi del segmento software di sicurezza nel mercato IT tedesco, previsione 2025.</t>
  </si>
  <si>
    <t xml:space="preserve">+11% sul 2024</t>
  </si>
  <si>
    <t xml:space="preserve">Sicherheitssoftware steigt um 11 Prozent auf 5,1 Milliarden Euro an.</t>
  </si>
  <si>
    <t xml:space="preserve">Perimetro ITK diverso dal mercato IT-Sicherheit Bitkom (software 4,8 miliardi nel 2025 secondo PAC). Letto da estratto indicizzato della pagina.</t>
  </si>
  <si>
    <t xml:space="preserve">BITKOM-ITSICHERHEIT-2019</t>
  </si>
  <si>
    <t xml:space="preserve">Rekordjahr im Markt für IT-Sicherheit (Presseinformation, it-sa 2019)</t>
  </si>
  <si>
    <t xml:space="preserve">08/10/2019</t>
  </si>
  <si>
    <t xml:space="preserve">https://www.bitkom.org/Presse/Presseinformation/Rekordjahr-im-Markt-fuer-IT-Sicherheit</t>
  </si>
  <si>
    <t xml:space="preserve">IDC (calcoli su incarico di Bitkom)</t>
  </si>
  <si>
    <t xml:space="preserve">Ausgaben für Dienstleistungen (IT-Sicherheit)</t>
  </si>
  <si>
    <t xml:space="preserve">Spesa per servizi di sicurezza IT in Germania, pari al 53 per cento del mercato.</t>
  </si>
  <si>
    <t xml:space="preserve">+10,2% sul 2018</t>
  </si>
  <si>
    <t xml:space="preserve">Dedotta. Il comunicato presenta il dato come Umsatz o Ausgaben calcolati da IDC per segmenti di offerta, senza survey presso gli acquirenti.</t>
  </si>
  <si>
    <t xml:space="preserve">Il comunicato dichiara solo che i dati derivano da calcoli di IDC su incarico di Bitkom. Non dichiarata.</t>
  </si>
  <si>
    <t xml:space="preserve">Die Ausgaben belaufen sich im Jahr 2019 auf voraussichtlich 2,4 Milliarden Euro, ein Plus von 10,2 Prozent.</t>
  </si>
  <si>
    <t xml:space="preserve">Il brief di progetto indica che il perimetro Bitkom include il settore pubblico, ma nessun estratto consultato lo dichiara; la quota del budget IT da survey Bitkom Research non va sommata a questo dato. Letto da estratto indicizzato della pagina.</t>
  </si>
  <si>
    <t xml:space="preserve">Ausgaben für Geräte und Hardware (IT-Sicherheit)</t>
  </si>
  <si>
    <t xml:space="preserve">Spesa per dispositivi e hardware di sicurezza IT in Germania.</t>
  </si>
  <si>
    <t xml:space="preserve">+9,6% sul 2018</t>
  </si>
  <si>
    <t xml:space="preserve">780 Millionen Euro entfallen auf Geräte und Hardware (plus 9,6 Prozent).</t>
  </si>
  <si>
    <t xml:space="preserve">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Valore hardware 2019 confermato.</t>
  </si>
  <si>
    <t xml:space="preserve">Ausgaben für Hardware, Software und Services im Bereich IT-Sicherheit</t>
  </si>
  <si>
    <t xml:space="preserve">Spesa in Germania per hardware, software e servizi di sicurezza IT stimata per l'anno in corso.</t>
  </si>
  <si>
    <t xml:space="preserve">+10% sul 2018</t>
  </si>
  <si>
    <t xml:space="preserve">geben Unternehmen in Deutschland voraussichtlich 4,6 Milliarden Euro für Hardware, Software und Services im Bereich IT-Sicherheit aus</t>
  </si>
  <si>
    <t xml:space="preserve">Il testo attribuisce la spesa alle imprese (Unternehmen).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Comunicato dell'ottobre 2019 su calcoli IDC, valore confermato.</t>
  </si>
  <si>
    <t xml:space="preserve">Ausgaben für IT-Sicherheitssoftware</t>
  </si>
  <si>
    <t xml:space="preserve">Spesa per software di sicurezza IT in Germania.</t>
  </si>
  <si>
    <t xml:space="preserve">+9,9% sul 2018</t>
  </si>
  <si>
    <t xml:space="preserve">Für IT-Sicherheitssoftware geben Unternehmen in Deutschland 1,4 Milliarden Euro aus, das sind 9,9 Prozent mehr als im Vorjahr.</t>
  </si>
  <si>
    <t xml:space="preserve">Ausgaben für IT-Sicherheit (Prognose)</t>
  </si>
  <si>
    <t xml:space="preserve">Previsione della spesa in sicurezza IT in Germania per l'anno successivo.</t>
  </si>
  <si>
    <t xml:space="preserve">+7,5% sul 2019</t>
  </si>
  <si>
    <t xml:space="preserve">Für das Jahr 2020 ist ein weiteres Wachstum um 7,5 Prozent auf 4,9 Milliarden Euro prognostiziert.</t>
  </si>
  <si>
    <t xml:space="preserve">BITKOM-ITSICHERHEIT-2020</t>
  </si>
  <si>
    <t xml:space="preserve">Markt für IT-Sicherheit auf Allzeithoch (Presseinformation, it-sa 2020)</t>
  </si>
  <si>
    <t xml:space="preserve">06/10/2020</t>
  </si>
  <si>
    <t xml:space="preserve">https://www.bitkom.org/Presse/Presseinformation/Markt-fuer-IT-Sicherheit-auf-Allzeithoch</t>
  </si>
  <si>
    <t xml:space="preserve">Spesa per servizi di sicurezza IT in Germania, pari al 55 per cento del mercato.</t>
  </si>
  <si>
    <t xml:space="preserve">+6,8% sul 2019</t>
  </si>
  <si>
    <t xml:space="preserve">Die Ausgaben belaufen sich im Jahr 2020 auf voraussichtlich 2,8 Milliarden Euro, ein Plus von 6,8 Prozent.</t>
  </si>
  <si>
    <t xml:space="preserve">+4,9% sul 2019</t>
  </si>
  <si>
    <t xml:space="preserve">750 Millionen Euro entfallen auf Geräte und Hardware (plus 4,9 Prozent).</t>
  </si>
  <si>
    <t xml:space="preserve">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Segmento hardware 2020 confermato.</t>
  </si>
  <si>
    <t xml:space="preserve">+5,6% sul 2019</t>
  </si>
  <si>
    <t xml:space="preserve">So werden in Deutschland voraussichtlich 5,2 Milliarden Euro für Hardware, Software und Services im Bereich IT-Sicherheit ausgegeben</t>
  </si>
  <si>
    <t xml:space="preserve">Il valore 2019 implicito è diverso da quello dell'edizione 2019 (4,6 miliardi), segno di revisione della serie.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Valore 2020 da calcoli IDC sui ricavi, confermato.</t>
  </si>
  <si>
    <t xml:space="preserve">+3,8% sul 2019</t>
  </si>
  <si>
    <t xml:space="preserve">Für IT-Sicherheitssoftware werden im laufenden Jahr 1,6 Milliarden Euro in Deutschland ausgegeben</t>
  </si>
  <si>
    <t xml:space="preserve">+9,3% sul 2020</t>
  </si>
  <si>
    <t xml:space="preserve">Für das Jahr 2021 ist ein weiteres Wachstum um 9,3 Prozent auf 5,7 Milliarden Euro prognostiziert.</t>
  </si>
  <si>
    <t xml:space="preserve">BITKOM-ITSICHERHEIT-2021</t>
  </si>
  <si>
    <t xml:space="preserve">Markt für IT-Sicherheit bricht erneut Umsatzrekord (Presseinformation, it-sa 2021)</t>
  </si>
  <si>
    <t xml:space="preserve">12/10/2021</t>
  </si>
  <si>
    <t xml:space="preserve">https://www.bitkom.org/Presse/Presseinformation/Markt-fuer-IT-Sicherheit-bricht-Umsatzrekord</t>
  </si>
  <si>
    <t xml:space="preserve">IDC</t>
  </si>
  <si>
    <t xml:space="preserve">Umsatz IT-Sicherheit (Rekordjahr 2020)</t>
  </si>
  <si>
    <t xml:space="preserve">Mercato della sicurezza IT in Germania nel 2020 secondo l'edizione 2021.</t>
  </si>
  <si>
    <t xml:space="preserve">Il comunicato dichiara che i dati si basano su calcoli e studi di IDC. Non dichiarata.</t>
  </si>
  <si>
    <t xml:space="preserve">nochmals 9,7 Prozent über dem bisherigen Rekordjahr 2020 (5,6 Milliarden Euro Umsatz)</t>
  </si>
  <si>
    <t xml:space="preserve">Valore 2020 rivisto rispetto all'edizione 2020 (5,2 miliardi).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Valore 2020 confermato nel comunicato Bitkom con calcoli IDC.</t>
  </si>
  <si>
    <t xml:space="preserve">Spesa per servizi di sicurezza IT in Germania, pari al 50 per cento del mercato.</t>
  </si>
  <si>
    <t xml:space="preserve">+9,8% sul 2020</t>
  </si>
  <si>
    <t xml:space="preserve">Die Ausgaben belaufen sich im Jahr 2021 auf voraussichtlich 3,1 Milliarden Euro - ein Plus von 9,8 Prozent.</t>
  </si>
  <si>
    <t xml:space="preserve">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Valore dei servizi 2021 confermato.</t>
  </si>
  <si>
    <t xml:space="preserve">+9,7% sul 2020</t>
  </si>
  <si>
    <t xml:space="preserve">So werden in Deutschland im Jahr 2021 voraussichtlich 6,2 Milliarden Euro für Hardware, Software und Services im Bereich IT-Sicherheit ausgegeben.</t>
  </si>
  <si>
    <t xml:space="preserve">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Stima 2021 confermata nel comunicato.</t>
  </si>
  <si>
    <t xml:space="preserve">+11,4% sul 2020</t>
  </si>
  <si>
    <t xml:space="preserve">Für IT-Sicherheitssoftware werden im laufenden Jahr 2,3 Milliarden Euro ausgegeben; 11,4 Prozent mehr als im Vorjahr.</t>
  </si>
  <si>
    <t xml:space="preserve">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Valore software 2021 confermato, anno corrente del comunicato di ottobre 2021.</t>
  </si>
  <si>
    <t xml:space="preserve">Ausgaben für spezielle Geräte und Hardware (IT-Sicherheit)</t>
  </si>
  <si>
    <t xml:space="preserve">+4,9% sul 2020</t>
  </si>
  <si>
    <t xml:space="preserve">Weitere 815 Millionen Euro entfallen auf spezielle Geräte und Hardware (plus 4,9 Prozent).</t>
  </si>
  <si>
    <t xml:space="preserve">Umsatz IT-Sicherheit (Prognose 2022)</t>
  </si>
  <si>
    <t xml:space="preserve">Previsione del mercato della sicurezza IT in Germania per il 2022.</t>
  </si>
  <si>
    <t xml:space="preserve">+9,9% sul 2021</t>
  </si>
  <si>
    <t xml:space="preserve">Für das Jahr 2022 ist ein neuerliches Umsatzplus von 9,9 Prozent auf 6,8 Milliarden Euro prognostiziert.</t>
  </si>
  <si>
    <t xml:space="preserve">Umsatz IT-Sicherheit (Prognose 2025)</t>
  </si>
  <si>
    <t xml:space="preserve">Previsione del mercato della sicurezza IT in Germania per il 2025.</t>
  </si>
  <si>
    <t xml:space="preserve">Crescita media annua 9,5% fino al 2025</t>
  </si>
  <si>
    <t xml:space="preserve">sollen im Jahr 2025 rund 8,9 Milliarden Euro Umsatz mit Lösungen für ein Mehr an IT-Sicherheit erzielt werden.</t>
  </si>
  <si>
    <t xml:space="preserve">BITKOM-ITSICHERHEIT-2022</t>
  </si>
  <si>
    <t xml:space="preserve">7,8 Milliarden Euro: Markt für IT-Sicherheit wächst 2022 um 13 Prozent (Presseinformation, it-sa 2022)</t>
  </si>
  <si>
    <t xml:space="preserve">25/10/2022</t>
  </si>
  <si>
    <t xml:space="preserve">https://www.bitkom.org/Presse/Presseinformation/7-8-Milliarden-Euro-Markt-fuer-IT-Sicherheit-waechst-2022-um-13-Prozent</t>
  </si>
  <si>
    <t xml:space="preserve">Ausgaben für Dienstleistungen rund um IT-Sicherheit</t>
  </si>
  <si>
    <t xml:space="preserve">Spesa per servizi di sicurezza IT in Germania, pari a circa il 46 per cento del mercato.</t>
  </si>
  <si>
    <t xml:space="preserve">+14% sul 2021</t>
  </si>
  <si>
    <t xml:space="preserve">Dienstleistungen rund um IT-Sicherheit, die 2022 mit 3,6 Milliarden Euro (plus 14 Prozent) rund 46 Prozent des Gesamtmarkts ausmachen.</t>
  </si>
  <si>
    <t xml:space="preserve">Ausgaben für Hardware, Software und Dienstleistungen im Bereich IT-Sicherheit</t>
  </si>
  <si>
    <t xml:space="preserve">+13% sul 2021</t>
  </si>
  <si>
    <t xml:space="preserve">Die Ausgaben für Hardware, Software und Dienstleistungen im Bereich IT-Sicherheit werden sich 2022 auf rund 7,8 Milliarden Euro belaufen</t>
  </si>
  <si>
    <t xml:space="preserve">Il valore 2022 è poi indicato in 8,1 miliardi nella tabella Messe Essen che cita Bitkom.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Valore 2022 confermato.</t>
  </si>
  <si>
    <t xml:space="preserve">Ausgaben für IT-Sicherheits-Hardware</t>
  </si>
  <si>
    <t xml:space="preserve">Spesa per hardware di sicurezza IT in Germania.</t>
  </si>
  <si>
    <t xml:space="preserve">Weitere 1,0 Milliarden Euro entfallen auf IT-Sicherheits-Hardware (plus 14 Prozent).</t>
  </si>
  <si>
    <t xml:space="preserve">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Componente hardware confermata.</t>
  </si>
  <si>
    <t xml:space="preserve">Ausgaben für Sicherheitssoftware</t>
  </si>
  <si>
    <t xml:space="preserve">Spesa per software di sicurezza in Germania, pari al 41 per cento del mercato.</t>
  </si>
  <si>
    <t xml:space="preserve">+12% sul 2021</t>
  </si>
  <si>
    <t xml:space="preserve">Ausgaben für Sicherheitssoftware steigen im laufenden Jahr um 12 Prozent auf 3,2 Milliarden Euro</t>
  </si>
  <si>
    <t xml:space="preserve">Ausgaben für IT-Sicherheit (Prognose 2023)</t>
  </si>
  <si>
    <t xml:space="preserve">Previsione della spesa in sicurezza IT in Germania per il 2023.</t>
  </si>
  <si>
    <t xml:space="preserve">+10% sul 2022</t>
  </si>
  <si>
    <t xml:space="preserve">Für 2023 wird ein erneutes Plus um 10 Prozent auf 8,5 Milliarden Euro erwartet.</t>
  </si>
  <si>
    <t xml:space="preserve">BITKOM-ITSICHERHEIT-2023</t>
  </si>
  <si>
    <t xml:space="preserve">Markt für IT-Sicherheit wächst auf mehr als 9 Milliarden Euro (Presseinformation, it-sa 2023)</t>
  </si>
  <si>
    <t xml:space="preserve">10/10/2023</t>
  </si>
  <si>
    <t xml:space="preserve">https://www.bitkom.org/Presse/Presseinformation/Markt-IT-Sicherheit-waechst-mehr-9-Milliarden-Euro</t>
  </si>
  <si>
    <t xml:space="preserve">Aufwendungen für Dienstleistungen rund um IT-Sicherheit</t>
  </si>
  <si>
    <t xml:space="preserve">Spesa per servizi di sicurezza IT in Germania.</t>
  </si>
  <si>
    <t xml:space="preserve">+12% sul 2022</t>
  </si>
  <si>
    <t xml:space="preserve">Aufwendungen für Dienstleistungen rund um IT-Sicherheit, die um 12 Prozent auf 4,0 Milliarden Euro zulegen.</t>
  </si>
  <si>
    <t xml:space="preserve">Ausgaben für IT-Sicherheit</t>
  </si>
  <si>
    <t xml:space="preserve">Spesa per sicurezza IT in Germania stimata per l'anno in corso.</t>
  </si>
  <si>
    <t xml:space="preserve">+13% sul 2022</t>
  </si>
  <si>
    <t xml:space="preserve">Im laufenden Jahr klettern die Ausgaben für IT-Sicherheit um 13 Prozent auf 9,2 Milliarden Euro.</t>
  </si>
  <si>
    <t xml:space="preserve">La versione inglese del comunicato attribuisce la spesa alle imprese (German businesses).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Valore 2023 confermato, comunicato di ottobre 2023.</t>
  </si>
  <si>
    <t xml:space="preserve">+18% sul 2022</t>
  </si>
  <si>
    <t xml:space="preserve">Ausgaben für IT-Sicherheitssoftware mit rund 4,3 Milliarden Euro (plus 18 Prozent).</t>
  </si>
  <si>
    <t xml:space="preserve">IT-Sicherheits-Hardware</t>
  </si>
  <si>
    <t xml:space="preserve">Spesa per hardware di sicurezza IT in Germania, indicata come poco meno di 0,9 miliardi.</t>
  </si>
  <si>
    <t xml:space="preserve">Unverändert weitere knapp 0,9 Milliarden entfallen auf IT-Sicherheits-Hardware.</t>
  </si>
  <si>
    <t xml:space="preserve">Valore pubblicato come knapp 0,9 (poco meno di). Il brief di progetto indica che il perimetro Bitkom include il settore pubblico, ma nessun estratto consultato lo dichiara; la quota del budget IT da survey Bitkom Research non va sommata a questo dato. Letto da estratto indicizzato della pagina.</t>
  </si>
  <si>
    <t xml:space="preserve">Ausgaben für IT-Sicherheit (Prognose 2024)</t>
  </si>
  <si>
    <t xml:space="preserve">Previsione della spesa in sicurezza IT in Germania per il 2024.</t>
  </si>
  <si>
    <t xml:space="preserve">+13% sul 2023</t>
  </si>
  <si>
    <t xml:space="preserve">Im kommenden Jahr wird ein erneuter Anstieg um rund 13 Prozent auf 10,3 Milliarden Euro erwartet.</t>
  </si>
  <si>
    <t xml:space="preserve">BITKOM-ITSICHERHEIT-2024</t>
  </si>
  <si>
    <t xml:space="preserve">Erstmals mehr als 10 Milliarden Euro für Deutschlands Cybersicherheit (Presseinformation, it-sa 2024)</t>
  </si>
  <si>
    <t xml:space="preserve">23/10/2024</t>
  </si>
  <si>
    <t xml:space="preserve">https://www.bitkom.org/Presse/Presseinformation/Erstmals-mehr-als-10-Milliarden-Euro-fuer-Deutschlands-Cybersicherheit</t>
  </si>
  <si>
    <t xml:space="preserve">IDC Worldwide Security Spending Guide, July (V2 2024)</t>
  </si>
  <si>
    <t xml:space="preserve">+11,4% sul 2023</t>
  </si>
  <si>
    <t xml:space="preserve">Il comunicato cita come base IDC Worldwide Security Spending Guide luglio 2024. Passaggi di stima non dichiarati.</t>
  </si>
  <si>
    <t xml:space="preserve">Aufwendungen für Dienstleistungen rund um IT-Sicherheit mit einem Plus von 11,4 Prozent auf 4,4 Milliarden Euro.</t>
  </si>
  <si>
    <t xml:space="preserve">Spesa per sicurezza IT in Germania stimata per il 2024 nell'edizione di ottobre.</t>
  </si>
  <si>
    <t xml:space="preserve">+13,8% sul 2023</t>
  </si>
  <si>
    <t xml:space="preserve">Im laufenden Jahr steigen die entsprechenden Ausgaben um 13,8 Prozent auf 11,2 Milliarden Euro</t>
  </si>
  <si>
    <t xml:space="preserve">Valore superiore al consuntivo 2024 della serie PAC dell'edizione 2025 (10,1 miliardi) per cambio di fonte primaria.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Comunicato Bitkom del 23 ottobre 2024 su IDC Security Spending Guide.</t>
  </si>
  <si>
    <t xml:space="preserve">+5,2% sul 2023</t>
  </si>
  <si>
    <t xml:space="preserve">Die Ausgaben für IT-Sicherheits-Hardware legen ebenfalls zu, allerdings mit einem Wachstum um 5,2 Prozent auf rund 970 Millionen</t>
  </si>
  <si>
    <t xml:space="preserve">Spesa per software di sicurezza in Germania.</t>
  </si>
  <si>
    <t xml:space="preserve">+17,3% sul 2023</t>
  </si>
  <si>
    <t xml:space="preserve">Sie steigen um 17,3 Prozent auf 5,8 Milliarden Euro.</t>
  </si>
  <si>
    <t xml:space="preserve">BITKOM-ITSICHERHEIT-2025</t>
  </si>
  <si>
    <t xml:space="preserve">Cybercrime und der Markt für IT-Sicherheit 2025 (Charts Pressekonferenz it-sa, 7. Oktober 2025)</t>
  </si>
  <si>
    <t xml:space="preserve">07/10/2025</t>
  </si>
  <si>
    <t xml:space="preserve">https://www.bitkom.org/sites/main/files/2025-10/bitkom-charts-cybercrime-und-der-markt-fuer-it-sicherheit-2025.pdf</t>
  </si>
  <si>
    <t xml:space="preserve">PAC (Pierre Audoin Consultants)</t>
  </si>
  <si>
    <t xml:space="preserve">Umsatz mit IT-Sicherheit in Deutschland</t>
  </si>
  <si>
    <t xml:space="preserve">Mercato della sicurezza IT in Germania nel 2023 secondo la serie PAC.</t>
  </si>
  <si>
    <t xml:space="preserve">Dedotta. Il grafico intitola il dato Umsatz mit IT-Sicherheit da dati PAC per segmenti di offerta, senza survey presso gli acquirenti.</t>
  </si>
  <si>
    <t xml:space="preserve">Il materiale dichiara solo che le previsioni di mercato si basano su dati di PAC. Non dichiarata.</t>
  </si>
  <si>
    <t xml:space="preserve">Umsatz mit IT-Sicherheit in Deutschland (in Mrd. Euro) 9,2 10,1 11,1 12,2 2023 2024 2025* 2026*</t>
  </si>
  <si>
    <t xml:space="preserve">Valore letto da grafico. Il brief di progetto indica che il perimetro Bitkom include il settore pubblico, ma nessun estratto consultato lo dichiara; la quota del budget IT da survey Bitkom Research non va sommata a questo dato. Letto da estratto indicizzato della pagina.</t>
  </si>
  <si>
    <t xml:space="preserve">Umsatz mit IT-Sicherheit nach Segmenten, Hardware</t>
  </si>
  <si>
    <t xml:space="preserve">Mercato della sicurezza IT in Germania, segmento hardware, anno 2023.</t>
  </si>
  <si>
    <t xml:space="preserve">Umsatz mit IT-Sicherheit nach Segmenten (in Mrd. Euro) ... IT-Services Software &amp; Cloud Platforms Hardware</t>
  </si>
  <si>
    <t xml:space="preserve">Valore letto da grafico; attribuzione ai segmenti dedotta dall'ordine della legenda e coerente con il comunicato per il 2025.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La serie Hardware vale 0,8 miliardi in tutti gli anni, compreso il 2023.</t>
  </si>
  <si>
    <t xml:space="preserve">Umsatz mit IT-Sicherheit nach Segmenten, IT-Services</t>
  </si>
  <si>
    <t xml:space="preserve">Mercato della sicurezza IT in Germania, segmento servizi, anno 2023.</t>
  </si>
  <si>
    <t xml:space="preserve">Valore letto da grafico; attribuzione ai segmenti dedotta dall'ordine della legenda e coerente con il comunicato per il 2025. Il brief di progetto indica che il perimetro Bitkom include il settore pubblico, ma nessun estratto consultato lo dichiara; la quota del budget IT da survey Bitkom Research non va sommata a questo dato. Letto da estratto indicizzato della pagina.</t>
  </si>
  <si>
    <t xml:space="preserve">Umsatz mit IT-Sicherheit nach Segmenten, Software &amp; Cloud Platforms</t>
  </si>
  <si>
    <t xml:space="preserve">Mercato della sicurezza IT in Germania, segmento software e piattaforme cloud, anno 2023.</t>
  </si>
  <si>
    <t xml:space="preserve">Mercato della sicurezza IT in Germania nel 2024 secondo la serie PAC.</t>
  </si>
  <si>
    <t xml:space="preserve">+10,6% sul 2023</t>
  </si>
  <si>
    <t xml:space="preserve">Valore letto da grafico. Inferiore agli 11,2 miliardi stimati per il 2024 nell'edizione IDC di ottobre 2024.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Grafico PAC Bitkom, 10,1 miliardi nel 2024.</t>
  </si>
  <si>
    <t xml:space="preserve">Mercato della sicurezza IT in Germania, segmento hardware, anno 2024.</t>
  </si>
  <si>
    <t xml:space="preserve">Mercato della sicurezza IT in Germania, segmento servizi, anno 2024.</t>
  </si>
  <si>
    <t xml:space="preserve">Mercato della sicurezza IT in Germania, segmento software e piattaforme cloud, anno 2024.</t>
  </si>
  <si>
    <t xml:space="preserve">Mercato della sicurezza IT in Germania nel 2025, presentato come previsione.</t>
  </si>
  <si>
    <t xml:space="preserve">+10,1% sul 2024</t>
  </si>
  <si>
    <t xml:space="preserve">Umsatz mit IT-Sicherheit in Deutschland (in Mrd. Euro) ... *Prognose</t>
  </si>
  <si>
    <t xml:space="preserve">Valore letto da grafico, marcato come Prognose; era l'anno in corso alla pubblicazione. Il brief di progetto indica che il perimetro Bitkom include il settore pubblico, ma nessun estratto consultato lo dichiara; la quota del budget IT da survey Bitkom Research non va sommata a questo dato. Letto da estratto indicizzato della pagina.</t>
  </si>
  <si>
    <t xml:space="preserve">Mercato della sicurezza IT in Germania, segmento hardware, anno 2025.</t>
  </si>
  <si>
    <t xml:space="preserve">Mercato della sicurezza IT in Germania, segmento servizi, anno 2025.</t>
  </si>
  <si>
    <t xml:space="preserve">Valore letto da grafico; attribuzione ai segmenti dedotta dall'ordine della legenda e coerente con il comunicato per il 2025.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Serie IT-Services del grafico per segmenti, 5,6 miliardi nel 2025 con asterisco di previsione.</t>
  </si>
  <si>
    <t xml:space="preserve">Mercato della sicurezza IT in Germania, segmento software e piattaforme cloud, anno 2025.</t>
  </si>
  <si>
    <t xml:space="preserve">Valore letto da grafico; attribuzione ai segmenti dedotta dall'ordine della legenda e coerente con il comunicato per il 2025. 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Serie Software e Cloud Platforms del grafico, 4,8 miliardi nel 2025.</t>
  </si>
  <si>
    <t xml:space="preserve">Previsione del mercato della sicurezza IT in Germania per il 2026.</t>
  </si>
  <si>
    <t xml:space="preserve">+9,9% sul 2025</t>
  </si>
  <si>
    <t xml:space="preserve">Auch für 2026 wird mit einem deutlichen Plus um 9,9 Prozent auf dann 12,2 Milliarden Euro gerechnet.</t>
  </si>
  <si>
    <t xml:space="preserve">Valore letto da grafico e confermato dal comunicato stampa dello stesso giorno. Il brief di progetto indica che il perimetro Bitkom include il settore pubblico, ma nessun estratto consultato lo dichiara; la quota del budget IT da survey Bitkom Research non va sommata a questo dato. Letto da estratto indicizzato della pagina.</t>
  </si>
  <si>
    <t xml:space="preserve">Mercato della sicurezza IT in Germania, segmento hardware, anno 2026.</t>
  </si>
  <si>
    <t xml:space="preserve">Mercato della sicurezza IT in Germania, segmento servizi, anno 2026.</t>
  </si>
  <si>
    <t xml:space="preserve">Mercato della sicurezza IT in Germania, segmento software e piattaforme cloud, anno 2026.</t>
  </si>
  <si>
    <t xml:space="preserve">BITKOM-ITSICHERHEITFEB-2024</t>
  </si>
  <si>
    <t xml:space="preserve">Cybersicherheit: Deutscher Markt erstmals über 10-Milliarden-Marke (Presseinformation, febbraio 2024)</t>
  </si>
  <si>
    <t xml:space="preserve">14/02/2024</t>
  </si>
  <si>
    <t xml:space="preserve">https://www.bitkom.org/Presse/Presseinformation/Cybersicherheit-Deutscher-Markt-ueber-10-Milliarden-Marke</t>
  </si>
  <si>
    <t xml:space="preserve">IDC Worldwide ICT Spending Guide Enterprise and SMB by Industry (V1 2024) e IDC Semiannual Services Tracker Forecast Security Segmentation 2023 H1</t>
  </si>
  <si>
    <t xml:space="preserve">+12,0% sul 2023</t>
  </si>
  <si>
    <t xml:space="preserve">Il comunicato cita le banche dati IDC usate (ICT Spending Guide per settore e dimensione, Services Tracker). Passaggi di stima non dichiarati.</t>
  </si>
  <si>
    <t xml:space="preserve">Die Ausgaben für Dienstleistungen rund um IT-Sicherheit sollen ebenfalls stark um 12,0 Prozent auf 4,4 Milliarden Euro wachsen.</t>
  </si>
  <si>
    <t xml:space="preserve">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Stima 2024 su dati IDC Spending Guide e Services Tracker.</t>
  </si>
  <si>
    <t xml:space="preserve">Spesa per sicurezza IT in Germania stimata per il 2024 nell'edizione di febbraio.</t>
  </si>
  <si>
    <t xml:space="preserve">+13,1% sul 2023</t>
  </si>
  <si>
    <t xml:space="preserve">Im laufenden Jahr werden die Ausgaben um voraussichtlich 13,1 Prozent steigen und mit rund 10,5 Milliarden Euro erstmals über der Marke</t>
  </si>
  <si>
    <t xml:space="preserve">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Comunicato Bitkom del 14 febbraio 2024 su dati IDC.</t>
  </si>
  <si>
    <t xml:space="preserve">Ausgaben für Sicherheits-Software</t>
  </si>
  <si>
    <t xml:space="preserve">+16,9% sul 2023</t>
  </si>
  <si>
    <t xml:space="preserve">die Ausgaben für Sicherheits-Software, die um voraussichtlich 16,9 Prozent auf 5,2 Milliarden Euro zulegen.</t>
  </si>
  <si>
    <t xml:space="preserve">Il brief di progetto indica che il perimetro Bitkom include il settore pubblico, ma nessun estratto consultato lo dichiara; la quota del budget IT da survey Bitkom Research non va sommata a questo dato. Letto da estratto indicizzato della pagina. Verifica finale 08/10/2026, valore confermato sulla fonte. Stima 2024 su dati IDC.</t>
  </si>
  <si>
    <t xml:space="preserve">Investitionen in IT-Sicherheits-Hardware</t>
  </si>
  <si>
    <t xml:space="preserve">+0,4% sul 2023</t>
  </si>
  <si>
    <t xml:space="preserve">die Investitionen in IT-Sicherheits-Hardware mit rund 939 Millionen Euro bleiben.</t>
  </si>
  <si>
    <t xml:space="preserve">Ausgaben für IT-Sicherheit (Prognose 2025)</t>
  </si>
  <si>
    <t xml:space="preserve">Previsione della spesa in sicurezza IT in Germania per il 2025.</t>
  </si>
  <si>
    <t xml:space="preserve">+13,6% sul 2024</t>
  </si>
  <si>
    <t xml:space="preserve">Dann soll der IT-Sicherheitsmarkt um 13,6 Prozent auf 12,0 Milliarden Euro zulegen</t>
  </si>
  <si>
    <t xml:space="preserve">Previsione superiore al valore 2025 della serie PAC (11,1 miliardi) per cambio di fonte primaria. Il brief di progetto indica che il perimetro Bitkom include il settore pubblico, ma nessun estratto consultato lo dichiara; la quota del budget IT da survey Bitkom Research non va sommata a questo dato. Letto da estratto indicizzato della pagina.</t>
  </si>
  <si>
    <t xml:space="preserve">BITKOM-WIRTSCHAFTSSCHUTZ-2025</t>
  </si>
  <si>
    <t xml:space="preserve">Bitkom e.V. (Bitkom Research)</t>
  </si>
  <si>
    <t xml:space="preserve">Wirtschaftsschutz 2025 (Studienbericht)</t>
  </si>
  <si>
    <t xml:space="preserve">https://www.bitkom.org/sites/main/files/2025-12/bitkom-studienbericht-wirtschaftsschutz-2025.pdf</t>
  </si>
  <si>
    <t xml:space="preserve">Durchschnittlicher Anteil des IT-Sicherheitsbudgets am gesamten IT-Budget</t>
  </si>
  <si>
    <t xml:space="preserve">Quota media del budget IT destinata alla sicurezza IT dichiarata dalle imprese tedesche con almeno 10 addetti, anno 2025.</t>
  </si>
  <si>
    <t xml:space="preserve">Survey riportata all'universo</t>
  </si>
  <si>
    <t xml:space="preserve">Survey CATI rappresentativa su 1.002 imprese in Germania con almeno 10 addetti e fatturato di almeno 1 milione di euro, settimane 16-24 del 2025, errore +/- 3 punti.</t>
  </si>
  <si>
    <t xml:space="preserve">Der durchschnittliche Anteil des IT-Sicherheitsbudgets am gesamten IT-Budget beträgt im Jahr 2025 18 Prozent.</t>
  </si>
  <si>
    <t xml:space="preserve">Lo stesso valore è riportato nel comunicato Bitkom sul mercato IT-Sicherheit del 07/10/2025. Quota autodichiarata, non confrontabile con i rapporti di mercato. Letto da estratto indicizzato della pagina.</t>
  </si>
  <si>
    <t xml:space="preserve">BITKOM-WIRTSCHAFTSSCHUTZ-2026</t>
  </si>
  <si>
    <t xml:space="preserve">Wirtschaftsschutz 2026 (Studienbericht)</t>
  </si>
  <si>
    <t xml:space="preserve">https://www.bitkom.org/sites/main/files/2026-09/bitkom-studienbericht-wirtschaftsschutz-2026.pdf</t>
  </si>
  <si>
    <t xml:space="preserve">Durchschnittlicher Anteil des Budgets für IT-Sicherheit am gesamten IT-Budget</t>
  </si>
  <si>
    <t xml:space="preserve">Quota media del budget IT destinata alla sicurezza IT dichiarata dalle imprese tedesche con almeno 10 addetti, anno 2022.</t>
  </si>
  <si>
    <t xml:space="preserve">Survey CATI rappresentativa su 1.003 imprese in Germania con almeno 10 addetti e fatturato di almeno 1 milione di euro; rispondenti responsabili della sicurezza aziendale. Media delle quote autodichiarate.</t>
  </si>
  <si>
    <t xml:space="preserve">Zuvor war dieser Anteil deutlich gestiegen: von 9 Prozent im Jahr 2022 über 14 Prozent 2023 auf 17 Prozent 2024.</t>
  </si>
  <si>
    <t xml:space="preserve">Quota autodichiarata, di norma comprensiva del personale interno (non dichiarato), non confrontabile con i rapporti di mercato. Valori 2022-2025 provenienti dalle edizioni precedenti della stessa survey annuale. Letto da estratto indicizzato della pagina.</t>
  </si>
  <si>
    <t xml:space="preserve">Quota media del budget IT destinata alla sicurezza IT dichiarata dalle imprese tedesche con almeno 10 addetti, anno 2023.</t>
  </si>
  <si>
    <t xml:space="preserve">Quota autodichiarata, di norma comprensiva del personale interno (non dichiarato), non confrontabile con i rapporti di mercato. Valori 2022-2025 provenienti dalle edizioni precedenti della stessa survey annuale. Letto da estratto indicizzato della pagina. Verifica finale 08/10/2026, valore confermato sulla fonte. Quota da survey Bitkom alle imprese, studio Wirtschaftsschutz 2026.</t>
  </si>
  <si>
    <t xml:space="preserve">Quota media del budget IT destinata alla sicurezza IT dichiarata dalle imprese tedesche con almeno 10 addetti, anno 2024.</t>
  </si>
  <si>
    <t xml:space="preserve">Im Durchschnitt fließen 2026 wie bereits im Vorjahr 18 Prozent des gesamten IT-Budgets in die IT-Sicherheit.</t>
  </si>
  <si>
    <t xml:space="preserve">Quota autodichiarata, di norma comprensiva del personale interno (non dichiarato), non confrontabile con i rapporti di mercato. Valori 2022-2025 provenienti dalle edizioni precedenti della stessa survey annuale. Letto da estratto indicizzato della pagina. Verifica finale 08/10/2026, valore confermato sulla fonte. Il 18% vale per il 2025 (Vorjahr) e per il 2026.</t>
  </si>
  <si>
    <t xml:space="preserve">Quota media del budget IT destinata alla sicurezza IT dichiarata dalle imprese tedesche con almeno 10 addetti, anno 2026.</t>
  </si>
  <si>
    <t xml:space="preserve">BSI-KURZPROFIL-2026</t>
  </si>
  <si>
    <t xml:space="preserve">Bundesamt für Sicherheit in der Informationstechnik (BSI)</t>
  </si>
  <si>
    <t xml:space="preserve">Kurzprofil des BSI</t>
  </si>
  <si>
    <t xml:space="preserve">https://www.bsi.bund.de/DE/Das-BSI/Auftrag/BSI-Kurzprofil/kurzprofil_node.html</t>
  </si>
  <si>
    <t xml:space="preserve">Budget/Haushalt</t>
  </si>
  <si>
    <t xml:space="preserve">Bilancio annuale dell'agenzia federale per la sicurezza informatica BSI nel 2025.</t>
  </si>
  <si>
    <t xml:space="preserve">Dedotta. Stanziamento di bilancio dell'agenzia pubblica che acquista e produce sicurezza.</t>
  </si>
  <si>
    <t xml:space="preserve">Dato di bilancio (Haushalt) dell'agenzia. Non dichiarata.</t>
  </si>
  <si>
    <t xml:space="preserve">Budget/Haushalt: 230,7 Millionen Euro (2025)</t>
  </si>
  <si>
    <t xml:space="preserve">Bilancio complessivo dell'agenzia, incluse spese di personale (deduzione da natura di bilancio d'ente); non è la spesa cyber totale della PA federale. Letto da estratto indicizzato della pagina. Verifica finale 08/10/2026, valore confermato sulla fonte. Bilancio BSI 2025 confermato.</t>
  </si>
  <si>
    <t xml:space="preserve">CAGR 2025-2030 5,52%</t>
  </si>
  <si>
    <t xml:space="preserve">Germany €6.87 billion 5.52%</t>
  </si>
  <si>
    <t xml:space="preserve">Letto da estratto indicizzato della pagina. Riga paese da pagina multi-paese CBI. Valori Statista di aggiornamento non specificato, da confrontare con la pagina Statista del paese. Verifica finale 08/10/2026, valore confermato sulla fonte. Valore della Germania confermato in tabella e nel testo.</t>
  </si>
  <si>
    <t xml:space="preserve">DELOITTE-CYBERMITTELSTAND-2020</t>
  </si>
  <si>
    <t xml:space="preserve">Deloitte Private (Deloitte Deutschland)</t>
  </si>
  <si>
    <t xml:space="preserve">Cyber Security im Mittelstand (Erfolgsfaktorenstudie, 2020)</t>
  </si>
  <si>
    <t xml:space="preserve">06/2020</t>
  </si>
  <si>
    <t xml:space="preserve">https://it-sicherheit.de/wp-content/uploads/2024/09/Deloitte_Studie_Cybersecurity_im_Mittelstand.pdf</t>
  </si>
  <si>
    <t xml:space="preserve">Jährliche Ausgaben für Cyber Security (Mittelwert)</t>
  </si>
  <si>
    <t xml:space="preserve">Spesa annua media per cybersecurity dichiarata dalle imprese del Mittelstand tedesco del campione.</t>
  </si>
  <si>
    <t xml:space="preserve">Survey Deloitte a imprese del Mittelstand con fatturato medio del campione di 387 milioni di euro. Numerosità non riportata nell'estratto (n=353 secondo LBBW Research).</t>
  </si>
  <si>
    <t xml:space="preserve">Der entsprechende jährliche Mittelwert in unserer Studie beläuft sich auf 80.050 Euro.</t>
  </si>
  <si>
    <t xml:space="preserve">Studio gratuito Deloitte ospitato da it-sicherheit.de. Anno di riferimento non dichiarato, assunto pari all'anno della survey. Il 40% dichiara meno di 10.000 euro annui. Valore medio per impresa, da non moltiplicare per il numero di imprese. Letto da estratto indicizzato della pagina.</t>
  </si>
  <si>
    <t xml:space="preserve">BUNDESTAG-HAUSHALT2025-2025</t>
  </si>
  <si>
    <t xml:space="preserve">Deutscher Bundestag</t>
  </si>
  <si>
    <t xml:space="preserve">Jeder dritte Euro im Innenetat für die Bundespolizei (Textarchiv, Haushalt 2025, Einzelplan 06)</t>
  </si>
  <si>
    <t xml:space="preserve">18/09/2025</t>
  </si>
  <si>
    <t xml:space="preserve">https://www.bundestag.de/dokumente/textarchiv/2025/kw38-de-inneres-1104014</t>
  </si>
  <si>
    <t xml:space="preserve">Haushaltsentwurf 2025, Einzelplan 06 (BMI)</t>
  </si>
  <si>
    <t xml:space="preserve">Ausgaben Bundesamt für Sicherheit in der Informationstechnik (BSI)</t>
  </si>
  <si>
    <t xml:space="preserve">Spesa prevista nel bilancio federale per il BSI, anno 2024.</t>
  </si>
  <si>
    <t xml:space="preserve">Stanziamenti del bilancio federale, Einzelplan 06 del Ministero dell'Interno. Non dichiarata.</t>
  </si>
  <si>
    <t xml:space="preserve">Ein Ausgabenrückgang von 238 Millionen Euro im vergangenen Jahr auf 231 Millionen Euro im laufenden Jahr ist im Haushaltsentwurf beim BSI vorgesehen.</t>
  </si>
  <si>
    <t xml:space="preserve">Stanziamento di bilancio (Soll o progetto), non spesa eseguita. Letto da estratto indicizzato della pagina. Verifica finale 08/10/2026, valore confermato sulla fonte. Articolo del 2025 sul bilancio BSI, anno precedente quindi 2024.</t>
  </si>
  <si>
    <t xml:space="preserve">Spesa prevista nel bilancio federale per il BSI, anno 2025.</t>
  </si>
  <si>
    <t xml:space="preserve">Stanziamento di bilancio (Soll o progetto), non spesa eseguita. Letto da estratto indicizzato della pagina.</t>
  </si>
  <si>
    <t xml:space="preserve">BUNDESTAG-HAUSHALT2026-2025</t>
  </si>
  <si>
    <t xml:space="preserve">Bundestag genehmigt 15,76 Milliarden Euro für das Innenministerium (Textarchiv, Haushalt 2026)</t>
  </si>
  <si>
    <t xml:space="preserve">27/11/2025</t>
  </si>
  <si>
    <t xml:space="preserve">https://www.bundestag.de/dokumente/textarchiv/2025/kw48-de-inneres-1126080</t>
  </si>
  <si>
    <t xml:space="preserve">Haushaltsentwurf 2026, Einzelplan 06 (BMI)</t>
  </si>
  <si>
    <t xml:space="preserve">Spesa prevista nel bilancio federale 2026 per il BSI.</t>
  </si>
  <si>
    <t xml:space="preserve">da 231 milioni nel 2025</t>
  </si>
  <si>
    <t xml:space="preserve">Ein Ausgabenzuwachs von geplanten 231 Millionen Euro im laufenden Jahr auf 379 Millionen Euro im kommenden Jahr ist im Haushaltsentwurf beim BSI vorgesehen.</t>
  </si>
  <si>
    <t xml:space="preserve">Valore del progetto di bilancio; nel dibattito citato un aumento a 380 milioni. Stanziamento, non spesa eseguita. Letto da estratto indicizzato della pagina. Verifica finale 08/10/2026, valore confermato sulla fonte. Stanziamento BSI 2026 confermato.</t>
  </si>
  <si>
    <t xml:space="preserve">EXPERTMR-CYBERDE-2025</t>
  </si>
  <si>
    <t xml:space="preserve">Expert Market Research</t>
  </si>
  <si>
    <t xml:space="preserve">Deutscher Cybersicherheit Markt Größe, Anteil 2035</t>
  </si>
  <si>
    <t xml:space="preserve">https://www.expertmarketresearch.com/de/reports/germany-cyber-security-market</t>
  </si>
  <si>
    <t xml:space="preserve">Marktgröße 2025</t>
  </si>
  <si>
    <t xml:space="preserve">Dimensione del mercato tedesco della cybersecurity nel 2025.</t>
  </si>
  <si>
    <t xml:space="preserve">Der deutsche Cybersicherheitsmarkt erreichte in 2025 rund USD 12.75 Billion.</t>
  </si>
  <si>
    <t xml:space="preserve">Letto da estratto indicizzato della pagina. Verifica finale 08/10/2026, valore confermato sulla fonte. Billion usato nel senso inglese di miliardo.</t>
  </si>
  <si>
    <t xml:space="preserve">Marktgröße 2035</t>
  </si>
  <si>
    <t xml:space="preserve">Previsione del mercato tedesco della cybersecurity al 2035.</t>
  </si>
  <si>
    <t xml:space="preserve">CAGR 2026-2035 8,20%</t>
  </si>
  <si>
    <t xml:space="preserve">zwischen 2026 und 2035 mit einer CAGR von 8.20% wächst und bis 2035 fast USD 28.04 Billion erreicht.</t>
  </si>
  <si>
    <t xml:space="preserve">GRANDVIEW-CYBERDE-2026</t>
  </si>
  <si>
    <t xml:space="preserve">Germany Cyber Security Market Size &amp; Outlook, 2026-2033</t>
  </si>
  <si>
    <t xml:space="preserve">https://www.grandviewresearch.com/horizon/outlook/cyber-security-market/germany</t>
  </si>
  <si>
    <t xml:space="preserve">Germany cyber security market revenue</t>
  </si>
  <si>
    <t xml:space="preserve">Ricavi del mercato tedesco della cybersecurity nel 2025.</t>
  </si>
  <si>
    <t xml:space="preserve">The Germany cyber security market generated a revenue of USD 15,102.7 million in 2025</t>
  </si>
  <si>
    <t xml:space="preserve">Quota del segmento hardware sui ricavi del mercato tedesco della cybersecurity nel 2025.</t>
  </si>
  <si>
    <t xml:space="preserve">Hardware was the largest segment with a revenue share of 52.74% in 2025.</t>
  </si>
  <si>
    <t xml:space="preserve">Quota hardware molto superiore a quella della serie Bitkom PAC (circa 7%). Letto da estratto indicizzato della pagina. Verifica finale 08/10/2026, valore confermato sulla fonte.</t>
  </si>
  <si>
    <t xml:space="preserve">Germany cyber security market forecast</t>
  </si>
  <si>
    <t xml:space="preserve">Previsione dei ricavi del mercato tedesco della cybersecurity al 2033.</t>
  </si>
  <si>
    <t xml:space="preserve">CAGR 2026-2033 10,5%</t>
  </si>
  <si>
    <t xml:space="preserve">is expected to reach USD 33,397.6 million by 2033. The Germany market is expected to grow at a CAGR of 10.5% from 2026 to 2033.</t>
  </si>
  <si>
    <t xml:space="preserve">GRANDVIEW-CYBERSERVDE-2025</t>
  </si>
  <si>
    <t xml:space="preserve">Germany Cyber Security Services Market Size &amp; Outlook, 2025-2030</t>
  </si>
  <si>
    <t xml:space="preserve">https://www.grandviewresearch.com/horizon/outlook/cyber-security-services-market/germany</t>
  </si>
  <si>
    <t xml:space="preserve">Germany cyber security services market revenue</t>
  </si>
  <si>
    <t xml:space="preserve">Ricavi del mercato tedesco dei servizi di cybersecurity nel 2024.</t>
  </si>
  <si>
    <t xml:space="preserve">The Germany cyber security services market generated a revenue of USD 4,896.6 million in 2024</t>
  </si>
  <si>
    <t xml:space="preserve">Letto da estratto indicizzato della pagina. Verifica finale 08/10/2026, valore confermato sulla fonte. Pagina Horizon outlook servizi Germania.</t>
  </si>
  <si>
    <t xml:space="preserve">Germany cyber security services market forecast</t>
  </si>
  <si>
    <t xml:space="preserve">Previsione dei ricavi del mercato tedesco dei servizi di cybersecurity al 2030.</t>
  </si>
  <si>
    <t xml:space="preserve">CAGR 2025-2030 14,1%</t>
  </si>
  <si>
    <t xml:space="preserve">expected to reach USD 10,381.4 million by 2030. The Germany market is expected to grow at a CAGR of 14.1% from 2025 to 2030.</t>
  </si>
  <si>
    <t xml:space="preserve">Esiste una seconda pagina Grand View sui cybersecurity services Germania con 3.499,4 milioni USD nel 2025, incoerente con questa. Letto da estratto indicizzato della pagina.</t>
  </si>
  <si>
    <t xml:space="preserve">IMARC-CYBERDE-2025</t>
  </si>
  <si>
    <t xml:space="preserve">IMARC Group</t>
  </si>
  <si>
    <t xml:space="preserve">Germany Cybersecurity Market Size &amp; Growth Report 2033</t>
  </si>
  <si>
    <t xml:space="preserve">https://www.imarcgroup.com/germany-cybersecurity-market</t>
  </si>
  <si>
    <t xml:space="preserve">Germany cybersecurity market size</t>
  </si>
  <si>
    <t xml:space="preserve">Dimensione del mercato tedesco della cybersecurity nel 2024.</t>
  </si>
  <si>
    <t xml:space="preserve">The Germany cybersecurity market size reached USD 13.60 Billion in 2024.</t>
  </si>
  <si>
    <t xml:space="preserve">Letto da estratto indicizzato della pagina. Verifica finale 08/10/2026, valore confermato sulla fonte. Valore 2024 confermato nella pagina IMARC.</t>
  </si>
  <si>
    <t xml:space="preserve">Germany cybersecurity market size (forecast)</t>
  </si>
  <si>
    <t xml:space="preserve">Previsione del mercato tedesco della cybersecurity al 2033.</t>
  </si>
  <si>
    <t xml:space="preserve">CAGR 2025-2033 10,80%</t>
  </si>
  <si>
    <t xml:space="preserve">IMARC Group expects the market to reach USD 37.90 Billion by 2033, exhibiting a growth rate (CAGR) of 10.80% during 2025-2033.</t>
  </si>
  <si>
    <t xml:space="preserve">Letto da estratto indicizzato della pagina. Verifica finale 08/10/2026, valore confermato sulla fonte. Previsione 2033 confermata nella pagina IMARC.</t>
  </si>
  <si>
    <t xml:space="preserve">KENRESEARCH-CYBERDE-2025</t>
  </si>
  <si>
    <t xml:space="preserve">Ken Research</t>
  </si>
  <si>
    <t xml:space="preserve">Germany Cybersecurity and Cloud Security Market</t>
  </si>
  <si>
    <t xml:space="preserve">https://www.kenresearch.com/germany-cybersecurity-and-cloud-security-market</t>
  </si>
  <si>
    <t xml:space="preserve">Valore del mercato tedesco di cybersecurity e cloud security, anno non indicato.</t>
  </si>
  <si>
    <t xml:space="preserve">La pagina dichiara una analisi storica quinquennale. Non dichiarata altrimenti.</t>
  </si>
  <si>
    <t xml:space="preserve">The Germany Cybersecurity and Cloud Security Market is valued at approximately USD 12 billion, based on a five-year historical analysis.</t>
  </si>
  <si>
    <t xml:space="preserve">Anno di riferimento non dichiarato, assunto pari all'anno di pubblicazione. Perimetro include cloud security. Letto da estratto indicizzato della pagina. Verifica finale 08/10/2026, riverifica non riuscita (non trovato). La pagina Ken Research restituisce solo testo di navigazione, il valore di 12 miliardi non compare dopo tre tentativi. Valore letto in fase di raccolta, da ricontrollare sulla fonte.</t>
  </si>
  <si>
    <t xml:space="preserve">Spending for cybersecurity products and services</t>
  </si>
  <si>
    <t xml:space="preserve">Spesa per prodotti e servizi di cybersecurity in Germania nel periodo più recente.</t>
  </si>
  <si>
    <t xml:space="preserve">with spending estimated at approximately €8.5 billion for cybersecurity products and services in the most recent period.</t>
  </si>
  <si>
    <t xml:space="preserve">Anno non dichiarato (most recent period), assunto pari all'anno di pubblicazione. Fonte primaria non indicata. Letto da estratto indicizzato della pagina. Verifica finale 08/10/2026, riverifica non riuscita (non trovato). La pagina Ken Research restituisce solo testo di navigazione, la spesa di 8,5 miliardi non compare dopo tre tentativi. Valore letto in fase di raccolta, da ricontrollare sulla fonte.</t>
  </si>
  <si>
    <t xml:space="preserve">LUENENDONK-ITDIENSTLEISTER-2025</t>
  </si>
  <si>
    <t xml:space="preserve">Lünendonk &amp; Hossenfelder GmbH</t>
  </si>
  <si>
    <t xml:space="preserve">Lünendonk-Listen 2025: IT-Dienstleister blicken nach durchwachsenem Jahr 2024 optimistisch in die Zukunft (Presseinformation)</t>
  </si>
  <si>
    <t xml:space="preserve">03/06/2025</t>
  </si>
  <si>
    <t xml:space="preserve">https://www.luenendonk.de/luenendonk-listen-2025-it-dienstleister-blicken-nach-durchwachsenem-jahr-2024-optimistisch-in-die-zukunft/</t>
  </si>
  <si>
    <t xml:space="preserve">Umsatzwachstum Cyber Security bei IT-Dienstleistern (Erwartung 2025)</t>
  </si>
  <si>
    <t xml:space="preserve">Crescita attesa nel 2025 dei ricavi da cybersecurity dei fornitori di servizi IT attivi in Germania.</t>
  </si>
  <si>
    <t xml:space="preserve">servizi IT di cybersecurity</t>
  </si>
  <si>
    <t xml:space="preserve">Aspettative dichiarate dai fornitori di servizi IT partecipanti alla Lünendonk-Studie 2025 sul mercato dei servizi IT in Germania. Numerosità non indicata nell'estratto.</t>
  </si>
  <si>
    <t xml:space="preserve">Besonders stark sollen 2025 die Umsätze mit den Themen ... Cyber Security (+11,4 %) ... bei den IT-Dienstleistern zulegen.</t>
  </si>
  <si>
    <t xml:space="preserve">Aspettativa di crescita dei fornitori, non dimensione del mercato. Letto da estratto indicizzato della pagina.</t>
  </si>
  <si>
    <t xml:space="preserve">MRFR-CYBERDE-2025</t>
  </si>
  <si>
    <t xml:space="preserve">Germany Cybersecurity Market Size, Industry Trends 2035</t>
  </si>
  <si>
    <t xml:space="preserve">https://www.marketresearchfuture.com/reports/germany-cybersecurity-market-46036</t>
  </si>
  <si>
    <t xml:space="preserve">Germany Cybersecurity Market (2025)</t>
  </si>
  <si>
    <t xml:space="preserve">Dimensione del mercato tedesco della cybersecurity nel 2025 secondo il riquadro di sintesi.</t>
  </si>
  <si>
    <t xml:space="preserve">Forecast Period: 2025 - 2035 CAGR: 10.28% 2024: $ 10.61 Billion 2025: $ 11.82 Billion 2035: $ 31.15 Billion</t>
  </si>
  <si>
    <t xml:space="preserve">La stessa pagina riporta anche 9,53 miliardi nel 2024, 10,61 nel 2025 e 34,7 nel 2035 con CAGR 11,372%; valori interni incoerenti. Letto da estratto indicizzato della pagina. Verifica finale 08/10/2026, valore confermato sulla fonte. Valore 2025 confermato nel riquadro di sintesi. Il testo della pagina riporta cifre diverse e incoerenti.</t>
  </si>
  <si>
    <t xml:space="preserve">Germany Cybersecurity Market (2035)</t>
  </si>
  <si>
    <t xml:space="preserve">Previsione del mercato tedesco della cybersecurity al 2035 secondo il riquadro di sintesi.</t>
  </si>
  <si>
    <t xml:space="preserve">Forecast Period: 2025 - 2035 CAGR: 10.28% ... 2035: $ 31.15 Billion</t>
  </si>
  <si>
    <t xml:space="preserve">Valori interni incoerenti, vedi riga 2025. Letto da estratto indicizzato della pagina. Verifica finale 08/10/2026, valore confermato sulla fonte. Valore 2035 confermato nel riquadro di sintesi. Il testo riporta 34,7 miliardi, incoerenza interna della fonte.</t>
  </si>
  <si>
    <t xml:space="preserve">MARKETSANDMARKETS-CYBERDE-2025</t>
  </si>
  <si>
    <t xml:space="preserve">Germany Cybersecurity Market Report 2025-2030</t>
  </si>
  <si>
    <t xml:space="preserve">https://www.marketsandmarkets.com/Market-Reports/germany-cybersecurity-market-91945586.html</t>
  </si>
  <si>
    <t xml:space="preserve">Market Size in 2024 (Value)</t>
  </si>
  <si>
    <t xml:space="preserve">La pagina indica come fonti ricerca secondaria, interviste a esperti e analisi MarketsandMarkets.</t>
  </si>
  <si>
    <t xml:space="preserve">Market Size in 2024 (Value) USD 11.92 Billion</t>
  </si>
  <si>
    <t xml:space="preserve">Letto da estratto indicizzato della pagina. Verifica finale 08/10/2026, valore confermato sulla fonte. Valore 2024 presente nella tabella della pagina.</t>
  </si>
  <si>
    <t xml:space="preserve">Germany cybersecurity market (2025)</t>
  </si>
  <si>
    <t xml:space="preserve">The Germany cybersecurity market is projected to grow from USD 13.03 billion in 2025 to USD 20.61 billion by 2030</t>
  </si>
  <si>
    <t xml:space="preserve">Letto da estratto indicizzato della pagina. Verifica finale 08/10/2026, valore confermato sulla fonte. Valore 2025 confermato nella pagina.</t>
  </si>
  <si>
    <t xml:space="preserve">Market Forecast in 2030 (Value)</t>
  </si>
  <si>
    <t xml:space="preserve">Previsione del mercato tedesco della cybersecurity al 2030.</t>
  </si>
  <si>
    <t xml:space="preserve">CAGR 2025-2030 9,6%</t>
  </si>
  <si>
    <t xml:space="preserve">Market Forecast in 2030 (Value) USD 20.61 Billion Growth Rate CAGR of 9.6% from 2025-2030</t>
  </si>
  <si>
    <t xml:space="preserve">Letto da estratto indicizzato della pagina. Verifica finale 08/10/2026, valore confermato sulla fonte. Previsione 2030 confermata nella pagina.</t>
  </si>
  <si>
    <t xml:space="preserve">MARKETSANDMARKETS-CYBERDEGEO-2025</t>
  </si>
  <si>
    <t xml:space="preserve">Germany Cybersecurity Market (2025-2030): Size and Share (pagina geografica)</t>
  </si>
  <si>
    <t xml:space="preserve">https://www.marketsandmarkets.com/Market-Reports/geography/cyber-security-market/germany</t>
  </si>
  <si>
    <t xml:space="preserve">Germany Cybersecurity Market, TELECOMMUNICATIONS</t>
  </si>
  <si>
    <t xml:space="preserve">Mercato tedesco della cybersecurity nel settore telecomunicazioni, anno 2025.</t>
  </si>
  <si>
    <t xml:space="preserve">Telecomunicazioni</t>
  </si>
  <si>
    <t xml:space="preserve">|TELECOMMUNICATIONS|660.1|716.3|776.5|840.5|926.5|1020.8|9.1|</t>
  </si>
  <si>
    <t xml:space="preserve">Letto da estratto indicizzato della pagina. Verifica finale 08/10/2026, valore confermato sulla fonte. Prima colonna della tabella per verticale, anno 2025, in milioni USD.</t>
  </si>
  <si>
    <t xml:space="preserve">Mercato tedesco della cybersecurity nel settore telecomunicazioni, previsione 2030.</t>
  </si>
  <si>
    <t xml:space="preserve">CAGR 2025-2030 9,1%</t>
  </si>
  <si>
    <t xml:space="preserve">MARKETSANDMARKETS-GOVCYBERDE-2026</t>
  </si>
  <si>
    <t xml:space="preserve">Germany Government &amp; Public Sector Cybersecurity Market (pagina geografica)</t>
  </si>
  <si>
    <t xml:space="preserve">https://www.marketsandmarkets.com/Market-Reports/geography/government-public-sector-cybersecurity-market/Germany</t>
  </si>
  <si>
    <t xml:space="preserve">Germany Government &amp; Public Sector Cybersecurity Market</t>
  </si>
  <si>
    <t xml:space="preserve">Mercato della cybersecurity della PA tedesca nel 2026.</t>
  </si>
  <si>
    <t xml:space="preserve">The Germany Government &amp; Public Sector Cybersecurity Market was valued at $4362 Million in 2026</t>
  </si>
  <si>
    <t xml:space="preserve">Germany Government &amp; Public Sector Cybersecurity Market (forecast)</t>
  </si>
  <si>
    <t xml:space="preserve">Previsione del mercato della cybersecurity della PA tedesca al 2031.</t>
  </si>
  <si>
    <t xml:space="preserve">CAGR 2026-2031 13,2%</t>
  </si>
  <si>
    <t xml:space="preserve">projected to reach to $8108.2 Million by 2031, representing a compound annual growth rate of 13.2%.</t>
  </si>
  <si>
    <t xml:space="preserve">Il solo segmento PA (4,4 miliardi USD) supera un terzo del mercato totale MarketsandMarkets e circa un terzo della serie Bitkom. Letto da estratto indicizzato della pagina.</t>
  </si>
  <si>
    <t xml:space="preserve">MESSEESSEN-SICHERHEITSMARKT-2026</t>
  </si>
  <si>
    <t xml:space="preserve">Messe Essen GmbH (Security Essen)</t>
  </si>
  <si>
    <t xml:space="preserve">Umsatzplus von über 5 Prozent in 2025: Sicherheitsmarkt in Deutschland wächst auf über 34 Milliarden Euro (Marktdaten)</t>
  </si>
  <si>
    <t xml:space="preserve">https://static.messe-essen-digitalmedia.de/uploads/E302/presstexts/3_marktdaten.pdf</t>
  </si>
  <si>
    <t xml:space="preserve">Bitkom (https://www.bitkom.org)</t>
  </si>
  <si>
    <t xml:space="preserve">IT-Sicherheit (Umsätze in Milliarden Euro)</t>
  </si>
  <si>
    <t xml:space="preserve">Mercato della sicurezza IT in Germania nel 2022 nella tabella del mercato della sicurezza, valore attribuito a Bitkom.</t>
  </si>
  <si>
    <t xml:space="preserve">Dedotta. Riprende la serie Bitkom costruita su ricavi dei segmenti di offerta.</t>
  </si>
  <si>
    <t xml:space="preserve">Tabella con fonti BDSW, VDMA, BHE, FVSB, FAS, Bitkom. Non dichiarata.</t>
  </si>
  <si>
    <t xml:space="preserve">IT-Sicherheit 8,1 9,2 10,1 11,1 ... Umsätze in Milliarden Euro. Quellen: BDSW (* geschätzt), VDMA, BHE, FVSB, FAS, Bitkom</t>
  </si>
  <si>
    <t xml:space="preserve">Gli anni 2023-2025 coincidono con la serie Bitkom 2025; il 2022 (8,1) differisce dai 7,8 miliardi del comunicato Bitkom 2022 e non è stato trovato su bitkom.org. Letto da estratto indicizzato della pagina. Verifica finale 08/10/2026, valore confermato sulla fonte. 8,1 corrisponde al 2022. La stessa serie arriva a 11,1 miliardi nel 2025.</t>
  </si>
  <si>
    <t xml:space="preserve">MORDOR-CYBERDE-2026</t>
  </si>
  <si>
    <t xml:space="preserve">Deutschland Cybersicherheitsmarkt, Größe, Wachstum &amp; Statistiken (2026-2031)</t>
  </si>
  <si>
    <t xml:space="preserve">https://www.mordorintelligence.com/de/industry-reports/germany-cybersecurity-market</t>
  </si>
  <si>
    <t xml:space="preserve">Anteil BFSI an der Größe des deutschen Cybersicherheitsmarktes</t>
  </si>
  <si>
    <t xml:space="preserve">Quota del settore bancario, finanziario e assicurativo sul mercato tedesco della cybersecurity nel 2025.</t>
  </si>
  <si>
    <t xml:space="preserve">BFSI erfasste 2025 24,62 % der Größe des deutschen Cybersicherheitsmarktes</t>
  </si>
  <si>
    <t xml:space="preserve">Dimensione del mercato tedesco della cybersecurity nell'anno base 2025.</t>
  </si>
  <si>
    <t xml:space="preserve">Marktgröße im Basisjahr (2025) 14.02 Milliarden US-Dollar</t>
  </si>
  <si>
    <t xml:space="preserve">Letto da estratto indicizzato della pagina. Verifica finale 08/10/2026, valore confermato sulla fonte. Valore dell'anno base confermato nella pagina Mordor.</t>
  </si>
  <si>
    <t xml:space="preserve">Größe des deutschen Cybersicherheitsmarktes 2026</t>
  </si>
  <si>
    <t xml:space="preserve">Dimensione del mercato tedesco della cybersecurity nel 2026.</t>
  </si>
  <si>
    <t xml:space="preserve">Der Markt erreichte 2026 einen Wert von 15,55 Milliarden USD und soll bis 2031 26,23 Milliarden USD erreichen.</t>
  </si>
  <si>
    <t xml:space="preserve">Letto da estratto indicizzato della pagina. Verifica finale 08/10/2026, valore confermato sulla fonte. Valore 2026 confermato nella pagina Mordor.</t>
  </si>
  <si>
    <t xml:space="preserve">Größe des deutschen Cybersicherheitsmarktes 2031</t>
  </si>
  <si>
    <t xml:space="preserve">Previsione del mercato tedesco della cybersecurity al 2031.</t>
  </si>
  <si>
    <t xml:space="preserve">CAGR 2026-2031 11,02%</t>
  </si>
  <si>
    <t xml:space="preserve">auf 26,23 Milliarden USD bis 2031 anwachsen, was einer CAGR von 11,02 % zwischen 2026 und 2031 entspricht.</t>
  </si>
  <si>
    <t xml:space="preserve">(I) Digitalisation and Technology Research Centre of the Bundeswehr (dtec.bw) €588.2</t>
  </si>
  <si>
    <t xml:space="preserve">Letto da estratto indicizzato della pagina. Riga paese registrata perché fonte UE unica con valori per più Stati membri (Tabella 1). Periodo RRF registrato sull'anno di chiusura. Misura con perimetro più ampio della cybersecurity (centro di ricerca sulla digitalizzazione della Bundeswehr). Verifica finale 08/10/2026, valore confermato sulla fonte. Misura di ricerca digitale non solo cyber, citata da EPRS come esempio di misura cyber.</t>
  </si>
  <si>
    <t xml:space="preserve">STATISTA-INFOCYBER-2026</t>
  </si>
  <si>
    <t xml:space="preserve">Infografik: Wie groß ist der Markt für Cybersecurity</t>
  </si>
  <si>
    <t xml:space="preserve">16/04/2026</t>
  </si>
  <si>
    <t xml:space="preserve">https://de.statista.com/infografik/36097/geschaetzter-weltweiter-umsatz-mit-cyber-security/</t>
  </si>
  <si>
    <t xml:space="preserve">Statista Market Insights, Cybersecurity (https://www.statista.com/outlook/tmo/cybersecurity/germany)</t>
  </si>
  <si>
    <t xml:space="preserve">Umsatz mit Cyber Security in Deutschland</t>
  </si>
  <si>
    <t xml:space="preserve">Ricavi del mercato della cybersecurity in Germania nel 2025 secondo Statista Market Insights.</t>
  </si>
  <si>
    <t xml:space="preserve">cyber solutions, security services</t>
  </si>
  <si>
    <t xml:space="preserve">Dedotta. Statista Market Insights dichiara valori come ricavi dei vendor primari a prezzi di produttore.</t>
  </si>
  <si>
    <t xml:space="preserve">Infografica che riprende Statista Market Insights; il prodotto dichiara ricavi dei vendor primari, IVA esclusa, B2C, B2B e B2G. Non dichiarata per il dato.</t>
  </si>
  <si>
    <t xml:space="preserve">Demnach belief sich der Umsatz mit Cyber Serurity im vergangenen Jahr auf 183 Milliarden Euro - davon wurden sieben Milliarden Euro in Deutschland erwirtschaftet</t>
  </si>
  <si>
    <t xml:space="preserve">Valore arrotondato. Le pagine outlook Statista per la Germania mostrano valori oscurati. Perimetro B2C, B2B e B2G dichiarato sulle pagine outlook. Letto da estratto indicizzato della pagina. Verifica finale 08/10/2026, valore confermato sulla fonte. Infografica dell'aprile 2026, l'anno precedente corrisponde al 2025.</t>
  </si>
  <si>
    <t xml:space="preserve">WIFOR-ITSICHERHEITSMARKT-2019</t>
  </si>
  <si>
    <t xml:space="preserve">WifOR Institute per il Bundesministerium für Wirtschaft und Energie (BMWi)</t>
  </si>
  <si>
    <t xml:space="preserve">Der IT-Sicherheitsmarkt in Deutschland (seconda attualizzazione, 2019)</t>
  </si>
  <si>
    <t xml:space="preserve">08/2019</t>
  </si>
  <si>
    <t xml:space="preserve">https://www.wifor.com/uploads/2019/08/it-sicherheitsmarkt-in-deutschland-studie-2019.pdf</t>
  </si>
  <si>
    <t xml:space="preserve">Bruttowertschöpfung der IT-Sicherheitswirtschaft</t>
  </si>
  <si>
    <t xml:space="preserve">Valore aggiunto lordo della filiera tedesca della sicurezza IT nel 2017.</t>
  </si>
  <si>
    <t xml:space="preserve">crescita media annua 5,2% 2007-2017</t>
  </si>
  <si>
    <t xml:space="preserve">beni e servizi della IT-Sicherheitswirtschaft (definizione ampia)</t>
  </si>
  <si>
    <t xml:space="preserve">Dedotta. I valori derivano da produzione, valore aggiunto e importazioni della IT-Sicherheitswirtschaft in chiave di contabilità nazionale.</t>
  </si>
  <si>
    <t xml:space="preserve">Stima macroeconomica della IT-Sicherheitswirtschaft 2007-2017 (produzione, valore aggiunto, occupati, importazioni) e scenari al 2025 (worst, average, best case). Dettaglio dei passaggi non nell'estratto.</t>
  </si>
  <si>
    <t xml:space="preserve">Im Jahr 2017 erreichte die BWS der Branche 15,5 Mrd. Euro</t>
  </si>
  <si>
    <t xml:space="preserve">Valore aggiunto, non fatturato. Letto da estratto indicizzato della pagina. Verifica finale 08/10/2026, valore confermato sulla fonte. Valore aggiunto lordo 2017 confermato.</t>
  </si>
  <si>
    <t xml:space="preserve">Marktgröße IT-Sicherheitsmarkt</t>
  </si>
  <si>
    <t xml:space="preserve">Volume del mercato tedesco dei beni di sicurezza IT nel 2017 secondo la definizione WifOR.</t>
  </si>
  <si>
    <t xml:space="preserve">Während sich die Marktgröße im Jahr 2017 auf 26,8 Mrd. Euro beläuft</t>
  </si>
  <si>
    <t xml:space="preserve">Offerta disponibile di beni di sicurezza IT pari a 31,2 miliardi inclusi 4,2 miliardi di importazioni; nesso con il mercato non esplicitato nell'estratto. Letto da estratto indicizzato della pagina. Verifica finale 08/10/2026, valore confermato sulla fonte. Dimensione del mercato 2017 confermata.</t>
  </si>
  <si>
    <t xml:space="preserve">Produktionswert der IT-Sicherheitswirtschaft</t>
  </si>
  <si>
    <t xml:space="preserve">Valore della produzione della filiera tedesca della sicurezza IT nel 2017, comprensivo dei consumi intermedi.</t>
  </si>
  <si>
    <t xml:space="preserve">crescita media annua 5,5% 2007-2017</t>
  </si>
  <si>
    <t xml:space="preserve">Insgesamt hat die deutsche IT-Sicherheitswirtschaft Güter im Wert von 27,0 Mrd. Euro im Jahr 2017 produziert.</t>
  </si>
  <si>
    <t xml:space="preserve">Anno di riferimento anteriore al 2018 ma edizione 2019. Perimetro molto più ampio del mercato Bitkom (circa 5 miliardi nel 2019). Letto da estratto indicizzato della pagina. Verifica finale 08/10/2026, valore confermato sulla fonte. Produktionswert 2017 confermato.</t>
  </si>
  <si>
    <t xml:space="preserve">IT-Sicherheitsmarkt 2025 (average case)</t>
  </si>
  <si>
    <t xml:space="preserve">Scenario medio del volume del mercato tedesco della sicurezza IT nel 2025.</t>
  </si>
  <si>
    <t xml:space="preserve">crescita media annua 3,9% 2017-2025</t>
  </si>
  <si>
    <t xml:space="preserve">so würde der IT-Sicherheitsmarkt im letzten Jahr der Betrachtung ein Volumen von 36,4 Mrd. Euro erreichen.</t>
  </si>
  <si>
    <t xml:space="preserve">Scenari alternativi 2025, worst case 28,0 miliardi (0,6% annuo), best case 72,3 miliardi (13,2% annuo). Letto da estratto indicizzato della pagina.</t>
  </si>
  <si>
    <t xml:space="preserve">Produktionswert 2025 (average case)</t>
  </si>
  <si>
    <t xml:space="preserve">Scenario medio del valore della produzione della filiera tedesca della sicurezza IT nel 2025.</t>
  </si>
  <si>
    <t xml:space="preserve">crescita media annua 4,0% 2017-2025</t>
  </si>
  <si>
    <t xml:space="preserve">wüchse der Produktionswert um durchschnittlich 4,0 Prozent pro Jahr auf einen Wert von 37,0 Mrd. Euro.</t>
  </si>
  <si>
    <t xml:space="preserve">Scenari alternativi 2025, worst case 29,4 miliardi, best case 70,2 miliardi. Letto da estratto indicizzato della pagina. Verifica finale 08/10/2026, valore confermato sulla fonte. Proiezione average case al 2025 confermata.</t>
  </si>
  <si>
    <t xml:space="preserve">IDEAL-INVESTORPRES-2025</t>
  </si>
  <si>
    <t xml:space="preserve">EL</t>
  </si>
  <si>
    <t xml:space="preserve">Grecia</t>
  </si>
  <si>
    <t xml:space="preserve">IDEAL Holdings S.A.</t>
  </si>
  <si>
    <t xml:space="preserve">4th Morgan Stanley &amp; ATHEX Greek Investment Conference, presentazione societaria</t>
  </si>
  <si>
    <t xml:space="preserve">https://www.idealholdings.gr/media/cgub5m1l/ideal-holdings_morgan-stanley-athex-greek-investment-conference-dec-25.pdf</t>
  </si>
  <si>
    <t xml:space="preserve">Gartner e IDC secondo la stampa che riprende i dati</t>
  </si>
  <si>
    <t xml:space="preserve">GR cybersecurity addressable market</t>
  </si>
  <si>
    <t xml:space="preserve">Mercato greco della cybersecurity nel 2024 secondo la presentazione di IDEAL Holdings.</t>
  </si>
  <si>
    <t xml:space="preserve">Dedotta. L'estratto non descrive come è costruito il valore.</t>
  </si>
  <si>
    <t xml:space="preserve">Non dichiarata nella presentazione, la stampa attribuisce le stime a Gartner e IDC.</t>
  </si>
  <si>
    <t xml:space="preserve">265 508 € mil 2024 2029P CAGR +18%</t>
  </si>
  <si>
    <t xml:space="preserve">Letto da estratto indicizzato della pagina. Valore letto da grafico. Tipo di ente approssimato, IDEAL è un gruppo IT quotato con attività cyber, non una società di consulenza. Verifica finale 08/10/2026, valore confermato sulla fonte. Valore 2024 del mercato indirizzabile greco confermato.</t>
  </si>
  <si>
    <t xml:space="preserve">Mercato greco della cybersecurity previsto a fine orizzonte nella presentazione di IDEAL Holdings.</t>
  </si>
  <si>
    <t xml:space="preserve">CAGR 2024-2029P +18%</t>
  </si>
  <si>
    <t xml:space="preserve">Letto da estratto indicizzato della pagina. Valore letto da grafico. La stampa greca riferisce lo stesso valore al 2028 e un CAGR 18% è coerente con quattro anni, anno incerto.</t>
  </si>
  <si>
    <t xml:space="preserve">MORDOR-CYBEREL-2026</t>
  </si>
  <si>
    <t xml:space="preserve">Greece Cybersecurity Market Share &amp; Size 2031 Outlook</t>
  </si>
  <si>
    <t xml:space="preserve">https://www.mordorintelligence.com/industry-reports/greece-cybersecurity-market</t>
  </si>
  <si>
    <t xml:space="preserve">Greece cybersecurity market size</t>
  </si>
  <si>
    <t xml:space="preserve">Dimensione del mercato cyber greco nel 2025 secondo Mordor Intelligence.</t>
  </si>
  <si>
    <t xml:space="preserve">soluzioni e servizi</t>
  </si>
  <si>
    <t xml:space="preserve">The Greece cybersecurity market size was valued at USD 171.0 million in 2025</t>
  </si>
  <si>
    <t xml:space="preserve">share by end-user enterprise size, large enterprises</t>
  </si>
  <si>
    <t xml:space="preserve">Quota delle grandi imprese sul mercato cyber greco 2025.</t>
  </si>
  <si>
    <t xml:space="preserve">large enterprises commanded 71.05% of the Greece cybersecurity market size in 2025</t>
  </si>
  <si>
    <t xml:space="preserve">share by end-user industry, BFSI</t>
  </si>
  <si>
    <t xml:space="preserve">Quota del settore bancario, finanziario e assicurativo sul mercato cyber greco 2025.</t>
  </si>
  <si>
    <t xml:space="preserve">By end-user industry, BFSI led with 24.25% revenue share in 2025</t>
  </si>
  <si>
    <t xml:space="preserve">share by offering, solutions</t>
  </si>
  <si>
    <t xml:space="preserve">Quota delle soluzioni sul mercato cyber greco 2025.</t>
  </si>
  <si>
    <t xml:space="preserve">By offering, solutions held 62.65% of the Greece cybersecurity market share in 2025</t>
  </si>
  <si>
    <t xml:space="preserve">Dimensione stimata del mercato cyber greco nel 2026 secondo Mordor Intelligence.</t>
  </si>
  <si>
    <t xml:space="preserve">estimated to grow from USD 185.3 million in 2026 to reach USD 276.83 million by 2031</t>
  </si>
  <si>
    <t xml:space="preserve">Dimensione prevista del mercato cyber greco nel 2031 secondo Mordor Intelligence.</t>
  </si>
  <si>
    <t xml:space="preserve">CAGR 2026-2031 8,36%</t>
  </si>
  <si>
    <t xml:space="preserve">to reach USD 276.83 million by 2031, at a CAGR of 8.36% during the forecast period (2026-2031)</t>
  </si>
  <si>
    <t xml:space="preserve">NEWMONEY-CYBERGR-2025</t>
  </si>
  <si>
    <t xml:space="preserve">newmoney.gr</t>
  </si>
  <si>
    <t xml:space="preserve">Prospettiva di fatturato di 3,4 miliardi in informatica e cybersecurity in Grecia al 2029 (articolo)</t>
  </si>
  <si>
    <t xml:space="preserve">https://www.newmoney.gr/roh/palmos-oikonomias/epixeiriseis/prooptiki-gia-tziro-e-34-dis-se-pliroforiki-ke-kivernoasfalia-stin-ellada-eos-to-2029-grafima/</t>
  </si>
  <si>
    <t xml:space="preserve">IDEAL Holdings su dati Gartner e IDC</t>
  </si>
  <si>
    <t xml:space="preserve">ελληνική αγορά υπηρεσιών και προϊόντων κυβερνοασφάλειας</t>
  </si>
  <si>
    <t xml:space="preserve">Previsione al 2028 del mercato greco della cybersecurity citata dalla stampa.</t>
  </si>
  <si>
    <t xml:space="preserve">CAGR circa +18% dal 2024 (265 milioni)</t>
  </si>
  <si>
    <t xml:space="preserve">θα εκτιναχθεί από 265 εκατ. ευρώ το 2024, σε 508 εκατ. ευρώ έως το 2028, με μέσο σύνθετο ετήσιο ρυθμό αύξησης +18%</t>
  </si>
  <si>
    <t xml:space="preserve">Letto da estratto indicizzato della pagina. Anno finale diverso dalla presentazione primaria (2029P).</t>
  </si>
  <si>
    <t xml:space="preserve">OT-CYBERGR-2025</t>
  </si>
  <si>
    <t xml:space="preserve">Oikonomikos Tachydromos (ot.gr)</t>
  </si>
  <si>
    <t xml:space="preserve">Κυβερνοασφάλεια, οι χάκερς κρατούν ξάγρυπνες τις ελληνικές εταιρείες (articolo)</t>
  </si>
  <si>
    <t xml:space="preserve">23/06/2025</t>
  </si>
  <si>
    <t xml:space="preserve">https://www.ot.gr/2025/06/23/epixeiriseis/kyvernoasfaleia-oi-xakers-kratoun-ksagrypnes-tis-ellinikes-etaireies-oi-amynes-pou-stinoun/</t>
  </si>
  <si>
    <t xml:space="preserve">Dichiarazione del CEO di IDEAL Holdings</t>
  </si>
  <si>
    <t xml:space="preserve">ελληνική αγορά κυβερνοασφάλειας</t>
  </si>
  <si>
    <t xml:space="preserve">Stima indicativa del mercato greco della cybersecurity riferita da un manager del settore.</t>
  </si>
  <si>
    <t xml:space="preserve">Non dichiarata. La fonte stessa osserva che mancano studi ufficiali sul settore.</t>
  </si>
  <si>
    <t xml:space="preserve">η ελληνική αγορά εκτιμάται στα 300 εκατ. ευρώ συνολικά, αν και επίσημες μελέτες για τον κλάδο απουσιάζουν</t>
  </si>
  <si>
    <t xml:space="preserve">Letto da estratto indicizzato della pagina. Stima di un operatore che dichiara quota di mercato del 14%, nessuna metodologia. Verifica finale 08/10/2026, valore confermato sulla fonte. Stima riferita da un dirigente di settore nel 2025, confermata.</t>
  </si>
  <si>
    <t xml:space="preserve">(I) Cybersecurity strategy and policies for the public sector and advanced security services €204.0</t>
  </si>
  <si>
    <t xml:space="preserve">CYBERIRELAND-STATE-2022</t>
  </si>
  <si>
    <t xml:space="preserve">IE</t>
  </si>
  <si>
    <t xml:space="preserve">Irlanda</t>
  </si>
  <si>
    <t xml:space="preserve">Cyber Ireland con Cyber Skills (studio di Perspective Economics)</t>
  </si>
  <si>
    <t xml:space="preserve">State of the Cyber Security Sector in Ireland 2022</t>
  </si>
  <si>
    <t xml:space="preserve">https://cyberireland.ie/wp-content/uploads/2022/05/State-of-the-Cyber-Security-Sector-in-Ireland-2022-Report.pdf</t>
  </si>
  <si>
    <t xml:space="preserve">Annual cyber security-related revenue</t>
  </si>
  <si>
    <t xml:space="preserve">Ricavi da cybersecurity del settore cyber irlandese nel 2021, export incluso.</t>
  </si>
  <si>
    <t xml:space="preserve">Prodotti e servizi di cybersecurity</t>
  </si>
  <si>
    <t xml:space="preserve">Mappatura di 489 imprese che offrono prodotti o servizi di cybersecurity in Irlanda, con stima di ricavi e GVA attribuibili alla cybersecurity nell'ultimo esercizio (2021). Dettagli del modello non riportati nell'estratto.</t>
  </si>
  <si>
    <t xml:space="preserve">It is estimated that in the most recent financial year (2021), annual cyber security-related revenue in Ireland reached approximately €2.1bn.</t>
  </si>
  <si>
    <t xml:space="preserve">Letto da estratto indicizzato della pagina. Verifica finale 08/10/2026, valore confermato sulla fonte. Ricavi 2021 confermati.</t>
  </si>
  <si>
    <t xml:space="preserve">Gross Value Added</t>
  </si>
  <si>
    <t xml:space="preserve">Valore aggiunto lordo generato dal settore cyber irlandese nel 2021.</t>
  </si>
  <si>
    <t xml:space="preserve">It is also estimated that Ireland's cyber security sector generated approximately €1.1bn in GVA in 2021.</t>
  </si>
  <si>
    <t xml:space="preserve">Letto da estratto indicizzato della pagina. Verifica finale 08/10/2026, valore confermato sulla fonte. Valore aggiunto 2021 confermato.</t>
  </si>
  <si>
    <t xml:space="preserve">Potential annual GVA by 2030</t>
  </si>
  <si>
    <t xml:space="preserve">Potenziale di valore aggiunto annuo del settore cyber irlandese al 2030 con crescita del 10% annuo.</t>
  </si>
  <si>
    <t xml:space="preserve">Ireland's cyber security ecosystem could support up to €2.5bn in annual GVA and the employment of over 17,000 cyber security professionals</t>
  </si>
  <si>
    <t xml:space="preserve">Scenario di potenziale, non previsione puntuale. Altri documenti di Cyber Ireland citano 2 miliardi di GVA al 2030. Letto da estratto indicizzato della pagina.</t>
  </si>
  <si>
    <t xml:space="preserve">CYBERIRELAND-ALLISLAND-2025</t>
  </si>
  <si>
    <t xml:space="preserve">Cyber Ireland e NI Cyber con InterTradeIreland (studio di Perspective Economics)</t>
  </si>
  <si>
    <t xml:space="preserve">All-Island Cyber Security Sector Research Report 2025</t>
  </si>
  <si>
    <t xml:space="preserve">https://cyberireland.ie/wp-content/uploads/2025/06/PE-All-Island-Cyber-Security-Sector-Research-Report-FINAL.pdf</t>
  </si>
  <si>
    <t xml:space="preserve">Cyber security GVA, Ireland</t>
  </si>
  <si>
    <t xml:space="preserve">Valore aggiunto lordo da cybersecurity delle imprese della Repubblica d'Irlanda nell'ultimo esercizio.</t>
  </si>
  <si>
    <t xml:space="preserve">CAGR biennale circa 4,5%</t>
  </si>
  <si>
    <t xml:space="preserve">Prodotti, servizi e R&amp;S di cybersecurity</t>
  </si>
  <si>
    <t xml:space="preserve">632 imprese dell'isola d'Irlanda identificate da registri, web e LLM. Ricavi da bilanci delle imprese dedicate, quota del personale cyber per le diversificate, survey estate 2024 e valori per addetto per le lacune.</t>
  </si>
  <si>
    <t xml:space="preserve">generated approximately €1.5bn in GVA in the most recent financial year (€1.2bn in Ireland, and €264m in NI).</t>
  </si>
  <si>
    <t xml:space="preserve">Anno dedotto 2023. Letto da estratto indicizzato della pagina. Verifica finale 08/10/2026, valore confermato sulla fonte. GVA della parte irlandese confermato.</t>
  </si>
  <si>
    <t xml:space="preserve">Cyber security related revenue, Irish firms</t>
  </si>
  <si>
    <t xml:space="preserve">Ricavi da cybersecurity delle imprese della Repubblica d'Irlanda nell'ultimo esercizio, esclusa l'Irlanda del Nord.</t>
  </si>
  <si>
    <t xml:space="preserve">CAGR biennale 13,4% dalla baseline 2021 (2,1 miliardi)</t>
  </si>
  <si>
    <t xml:space="preserve">For Irish firms, we estimate cyber security related revenue is approximately €2.7bn. This compares strongly against the 2022 baseline estimate of €2.1bn</t>
  </si>
  <si>
    <t xml:space="preserve">Esercizio più recente non datato, dedotto 2023 (due anni dopo la baseline 2021). Il totale dell'isola, 3,2 miliardi, include l'Irlanda del Nord e non rientra nel perimetro nazionale. Letto da estratto indicizzato della pagina. Verifica finale 08/10/2026, valore confermato sulla fonte. Ricavi dell'ultimo esercizio delle imprese irlandesi confermati.</t>
  </si>
  <si>
    <t xml:space="preserve">DOJ-BUDGET2026-2025</t>
  </si>
  <si>
    <t xml:space="preserve">Department of Justice, Home Affairs and Migration</t>
  </si>
  <si>
    <t xml:space="preserve">Budget 2026, comunicato stampa sul settore Giustizia</t>
  </si>
  <si>
    <t xml:space="preserve">08/10/2025</t>
  </si>
  <si>
    <t xml:space="preserve">https://www.gov.ie/en/department-of-justice-home-affairs-and-migration/press-releases/minister-jim-ocallaghan-secures-record-allocation-of-over-617-billion-for-the-justice-sector-in-budget-2026/</t>
  </si>
  <si>
    <t xml:space="preserve">Budget for the National Cyber Security Centre</t>
  </si>
  <si>
    <t xml:space="preserve">Dotazione 2026 del National Cyber Security Centre irlandese, in aumento per NIS2 e nuova legge nazionale.</t>
  </si>
  <si>
    <t xml:space="preserve">+oltre 50% (+4,1 milioni)</t>
  </si>
  <si>
    <t xml:space="preserve">Allocazione di bilancio annuale. Non dichiarata la ripartizione.</t>
  </si>
  <si>
    <t xml:space="preserve">budget for the National Cyber Security Centre increases by over 50% to €12 million (+€4.1 million).</t>
  </si>
  <si>
    <t xml:space="preserve">Stanziamento, non spesa eseguita. Separatamente 15 milioni per progetti di cybersecurity e intelligence della Garda, non registrati per perimetro misto. Letto da estratto indicizzato della pagina. Verifica finale 08/10/2026, valore confermato sulla fonte. Bilancio 2026 confermato.</t>
  </si>
  <si>
    <t xml:space="preserve">DOJ-NDP-2025</t>
  </si>
  <si>
    <t xml:space="preserve">National Development Plan Review 2025, Sectoral Investment Plan Justice</t>
  </si>
  <si>
    <t xml:space="preserve">07/2025</t>
  </si>
  <si>
    <t xml:space="preserve">https://assets.gov.ie/static/documents/72c5df9c/NDP_Sectoral_Investment_Plan-JusticeSector.pdf</t>
  </si>
  <si>
    <t xml:space="preserve">Investment in the capability of the National Cyber Security Centre</t>
  </si>
  <si>
    <t xml:space="preserve">Investimenti in conto capitale programmati per la capacità del NCSC irlandese nel piano 2026-2030.</t>
  </si>
  <si>
    <t xml:space="preserve">Piano di investimenti in conto capitale 2026-2030 del settore Giustizia. Ripartizione annuale non dichiarata.</t>
  </si>
  <si>
    <t xml:space="preserve">My department will also invest over €30m in the capability of the National Cyber Security Centre as well as developing new immigration and border systems.</t>
  </si>
  <si>
    <t xml:space="preserve">Importo minimo (over), cumulato 2026-2030, anno di chiusura 2030. La frase accosta sistemi di immigrazione, attribuzione dei 30 milioni al solo NCSC da verificare. Letto da estratto indicizzato della pagina.</t>
  </si>
  <si>
    <t xml:space="preserve">DECC-NCSCUPDATE-2024</t>
  </si>
  <si>
    <t xml:space="preserve">Department of the Environment, Climate and Communications, National Cyber Security Centre</t>
  </si>
  <si>
    <t xml:space="preserve">National Cyber Security Annual Update 2023</t>
  </si>
  <si>
    <t xml:space="preserve">https://assets.gov.ie/static/documents/national-cyber-security-annual-update-2023.pdf</t>
  </si>
  <si>
    <t xml:space="preserve">NCSC Budget</t>
  </si>
  <si>
    <t xml:space="preserve">Dotazione di bilancio annuale del National Cyber Security Centre irlandese.</t>
  </si>
  <si>
    <t xml:space="preserve">Grafico della dotazione di bilancio annuale del NCSC irlandese, componenti correnti e in conto capitale.</t>
  </si>
  <si>
    <t xml:space="preserve">NCSC Budget 2021 - 2024 2021 2022 2023 2024 ... €5,100,000 €5,100,000 €7,450,000 €10,700,000</t>
  </si>
  <si>
    <t xml:space="preserve">Valori letti da grafico, abbinamento anno valore dedotto dall'ordine delle etichette. Stanziamento, non spesa eseguita. La dotazione 2023 differisce dalla previsione di 10,95 milioni del conto di bilancio. Letto da estratto indicizzato della pagina.</t>
  </si>
  <si>
    <t xml:space="preserve">Valori letti da grafico, abbinamento anno valore dedotto dall'ordine delle etichette. Stanziamento, non spesa eseguita. La dotazione 2023 differisce dalla previsione di 10,95 milioni del conto di bilancio. Letto da estratto indicizzato della pagina. Verifica finale 08/10/2026, valore confermato sulla fonte. Dotazione di bilancio 2024.</t>
  </si>
  <si>
    <t xml:space="preserve">IDC-PRESSEUR-2025</t>
  </si>
  <si>
    <t xml:space="preserve">IDC Forecasts 11.8% Growth in European Security Spending in 2025 (comunicato stampa)</t>
  </si>
  <si>
    <t xml:space="preserve">10/04/2025</t>
  </si>
  <si>
    <t xml:space="preserve">https://my.idc.com/getdoc.jsp?containerId=prEUR253305325</t>
  </si>
  <si>
    <t xml:space="preserve">IDC Worldwide Security Spending Guide (release 2025)</t>
  </si>
  <si>
    <t xml:space="preserve">Security spending year-on-year growth by country</t>
  </si>
  <si>
    <t xml:space="preserve">Crescita annua prevista della spesa in sicurezza nel paese nel 2025, tra le più alte in Europa secondo IDC.</t>
  </si>
  <si>
    <t xml:space="preserve">hardware, software, servizi (consulenza, integrazione, formazione, servizi gestiti, supporto)</t>
  </si>
  <si>
    <t xml:space="preserve">Dedotta. La tassonomia della Spending Guide è allineata al Security Products Tracker IDC, che misura ricavi dei vendor.</t>
  </si>
  <si>
    <t xml:space="preserve">Worldwide Security Spending Guide. Spesa in hardware, software e servizi di sicurezza per 28 industrie, 5 classi dimensionali, 39 tecnologie e 48 paesi, previsioni quinquennali semestrali. Metodo di stima non descritto nel comunicato.</t>
  </si>
  <si>
    <t xml:space="preserve">The third-fastest-growing country in Europe in 2025 in terms of security spending will be Ireland, with a growth of 13.3% over 2024</t>
  </si>
  <si>
    <t xml:space="preserve">Letto da estratto indicizzato della pagina. Riga paese da comunicato europeo multi-paese. Verifica finale 08/10/2026, valore confermato sulla fonte. Comunicato IDC aprile 2025, Worldwide Security Spending Guide.</t>
  </si>
  <si>
    <t xml:space="preserve">CAG-APPACC-2023</t>
  </si>
  <si>
    <t xml:space="preserve">Office of the Comptroller and Auditor General</t>
  </si>
  <si>
    <t xml:space="preserve">Appropriation Accounts 2023, Vote 29 Environment, Climate and Communications</t>
  </si>
  <si>
    <t xml:space="preserve">https://www.audit.gov.ie/en/find-report/publications/2024/vote-29-environment-climate-and-communications.pdf</t>
  </si>
  <si>
    <t xml:space="preserve">D.6 National Cyber Security Centre, estimate provision</t>
  </si>
  <si>
    <t xml:space="preserve">Stanziamento previsto 2023 della sottovoce operativa del National Cyber Security Centre.</t>
  </si>
  <si>
    <t xml:space="preserve">Conto consuntivo del bilancio statale, sottovoce D.6 National Cyber Security Centre, costi amministrativi esclusi.</t>
  </si>
  <si>
    <t xml:space="preserve">D.6 National Cyber Security Centre Estimate provision €10.95 million; outturn €8.284 million</t>
  </si>
  <si>
    <t xml:space="preserve">Stanziamento, non spesa eseguita. Letto da estratto indicizzato della pagina. Verifica finale 08/10/2026, valore confermato sulla fonte. Letto nello stesso PDF servito dal percorso media del sito. Dopo stima suppletiva la dotazione finale era 7,45 milioni.</t>
  </si>
  <si>
    <t xml:space="preserve">D.6 National Cyber Security Centre, outturn</t>
  </si>
  <si>
    <t xml:space="preserve">Spesa effettiva 2023 della sottovoce operativa del National Cyber Security Centre, esclusi costi amministrativi.</t>
  </si>
  <si>
    <t xml:space="preserve">Sottospesa di 2,666 milioni per ritardi nella nuova sede. I costi amministrativi sono nelle sottovoci D.1 e D.2. Letto da estratto indicizzato della pagina. Verifica finale 08/10/2026, valore confermato sulla fonte. Appropriation Account 2023, valori in migliaia di euro.</t>
  </si>
  <si>
    <t xml:space="preserve">CAG-APPACC-2025</t>
  </si>
  <si>
    <t xml:space="preserve">Appropriation Accounts 2025, Vote 24 Justice, Home Affairs and Migration</t>
  </si>
  <si>
    <t xml:space="preserve">https://www.audit.gov.ie/media/jxiaibps/24-vote-24-justice-home-affairs-and-migration.pdf</t>
  </si>
  <si>
    <t xml:space="preserve">A.31 National Cyber Security Centre, estimate provision</t>
  </si>
  <si>
    <t xml:space="preserve">Stanziamento 2025 della sottovoce operativa del NCSC nel bilancio della Giustizia.</t>
  </si>
  <si>
    <t xml:space="preserve">Conto consuntivo del bilancio statale, sottovoce A.31 National Cyber Security Centre dopo il trasferimento al Ministero della Giustizia dal 1 giugno 2025.</t>
  </si>
  <si>
    <t xml:space="preserve">A.31 National Cyber Security Centre Estimate provision €10.7 million; outturn €6.373 million</t>
  </si>
  <si>
    <t xml:space="preserve">Stanziamento, non spesa eseguita. Letto da estratto indicizzato della pagina. Verifica finale 08/10/2026, valore confermato sulla fonte. Stanziamento iniziale 2025 confermato.</t>
  </si>
  <si>
    <t xml:space="preserve">A.31 National Cyber Security Centre, outturn</t>
  </si>
  <si>
    <t xml:space="preserve">Spesa effettiva 2025 della sottovoce operativa del NCSC nel bilancio della Giustizia, dopo il trasferimento di giugno 2025.</t>
  </si>
  <si>
    <t xml:space="preserve">Copre solo il periodo successivo al trasferimento di funzioni del 1 giugno 2025. Sottospesa di 4,327 milioni. Letto da estratto indicizzato della pagina. Verifica finale 08/10/2026, valore confermato sulla fonte. Spesa effettiva 2025 confermata nel conto di bilancio.</t>
  </si>
  <si>
    <t xml:space="preserve">RESEARCHANDMARKETS-APPSECIE-2025</t>
  </si>
  <si>
    <t xml:space="preserve">Research and Markets</t>
  </si>
  <si>
    <t xml:space="preserve">Ireland Application Security Market Opportunity (report 6072107)</t>
  </si>
  <si>
    <t xml:space="preserve">https://www.researchandmarkets.com/reports/6072107/ireland-application-security-market-opportunity</t>
  </si>
  <si>
    <t xml:space="preserve">Application security market in Ireland</t>
  </si>
  <si>
    <t xml:space="preserve">Mercato irlandese dell'application security nel 2024, edizione precedente di Research and Markets.</t>
  </si>
  <si>
    <t xml:space="preserve">Application security</t>
  </si>
  <si>
    <t xml:space="preserve">CAGR 2025-2029 15,7%</t>
  </si>
  <si>
    <t xml:space="preserve">the application security sector is projected to expand from its 2024 value of USD 186.2 million to approximately USD 459.3 million.</t>
  </si>
  <si>
    <t xml:space="preserve">L'edizione 2026 indica 372,2 milioni per il 2025, il doppio del valore 2024 di questa edizione, segno di forte revisione. Letto da estratto indicizzato della pagina.</t>
  </si>
  <si>
    <t xml:space="preserve">RESEARCHANDMARKETS-APPSECIE-2026</t>
  </si>
  <si>
    <t xml:space="preserve">Ireland Application Security Market Opportunity (report 6248575)</t>
  </si>
  <si>
    <t xml:space="preserve">https://www.researchandmarkets.com/reports/6248575/ireland-application-security-market-opportunity</t>
  </si>
  <si>
    <t xml:space="preserve">Mercato irlandese dell'application security, segmento della cybersecurity, secondo Research and Markets.</t>
  </si>
  <si>
    <t xml:space="preserve">CAGR 2026-2030 17,0%</t>
  </si>
  <si>
    <t xml:space="preserve">expand from its 2025 value of USD 372.2 million to approximately USD 816.4 million.</t>
  </si>
  <si>
    <t xml:space="preserve">The application security market in Ireland is expected to grow by 17.2% on annual basis to reach US$436.3 million in 2026.</t>
  </si>
  <si>
    <t xml:space="preserve">By the end of 2030, the application security sector is projected to expand ... to approximately USD 816.4 million.</t>
  </si>
  <si>
    <t xml:space="preserve">CYBERIRELAND-SNAPSHOT-2024</t>
  </si>
  <si>
    <t xml:space="preserve">TechCentral.ie</t>
  </si>
  <si>
    <t xml:space="preserve">Cyber security industry contributed €1.2bn to economy last year (su Ireland Cyber Security Sector Snapshot 2024)</t>
  </si>
  <si>
    <t xml:space="preserve">26/09/2024</t>
  </si>
  <si>
    <t xml:space="preserve">https://www.techcentral.ie/cyber-security-industry-contributed-e1-2bn-to-economy-last-year-report/</t>
  </si>
  <si>
    <t xml:space="preserve">Cyber Ireland e Perspective Economics, Ireland Cyber Security Sector Snapshot 2024 (https://cyberireland.ie/ireland-cyber-security-sector-snapshot-sept2024/)</t>
  </si>
  <si>
    <t xml:space="preserve">Cyber security sector revenue</t>
  </si>
  <si>
    <t xml:space="preserve">Ricavi del settore cyber irlandese secondo lo Snapshot 2024 di Cyber Ireland, ripreso dalla stampa.</t>
  </si>
  <si>
    <t xml:space="preserve">Dedotta. Aggiornamento dello studio di settore basato sui ricavi delle imprese cyber.</t>
  </si>
  <si>
    <t xml:space="preserve">Aggiornamento Perspective Economics della baseline 2022 su 535 imprese. Dettagli non riportati nell'articolo.</t>
  </si>
  <si>
    <t xml:space="preserve">Cyber security sector revenue was €2.7 billion, with a gross value added of €1.2 billion.</t>
  </si>
  <si>
    <t xml:space="preserve">Anno dedotto (ultimi 12 mesi prima di settembre 2024, coerente con il rapporto All-Island 2025). Enterprise Ireland e RVO attribuiscono lo stesso valore al 2024. La pagina Cyber Ireland dello Snapshot non mostra i numeri nell'estratto. Letto da estratto indicizzato della pagina. Verifica finale 08/10/2026, valore confermato sulla fonte. Articolo sul Cyber Ireland Snapshot presentato a settembre 2024, ultimi 12 mesi.</t>
  </si>
  <si>
    <t xml:space="preserve">Gross value added</t>
  </si>
  <si>
    <t xml:space="preserve">Valore aggiunto lordo del settore cyber irlandese secondo lo Snapshot 2024, ripreso dalla stampa.</t>
  </si>
  <si>
    <t xml:space="preserve">Anno dedotto, vedi riga sui ricavi. Letto da estratto indicizzato della pagina. Verifica finale 08/10/2026, valore confermato sulla fonte. Valore aggiunto del settore irlandese.</t>
  </si>
  <si>
    <t xml:space="preserve">ACN-BILANCIO-2024</t>
  </si>
  <si>
    <t xml:space="preserve">IT</t>
  </si>
  <si>
    <t xml:space="preserve">Italia</t>
  </si>
  <si>
    <t xml:space="preserve">Agenzia per la Cybersicurezza Nazionale (ACN)</t>
  </si>
  <si>
    <t xml:space="preserve">Bilancio d'esercizio 2023</t>
  </si>
  <si>
    <t xml:space="preserve">https://www.acn.gov.it/portale/documents/d/guest/acn-bilancio-esercizio-2023</t>
  </si>
  <si>
    <t xml:space="preserve">dotazione finanziaria dell'Agenzia</t>
  </si>
  <si>
    <t xml:space="preserve">Dotazione finanziaria complessiva di ACN nel 2023 sul capitolo 1672 del bilancio dello Stato.</t>
  </si>
  <si>
    <t xml:space="preserve">Dedotta. Si tratta di risorse pubbliche stanziate per la sicurezza, non di ricavi dei fornitori.</t>
  </si>
  <si>
    <t xml:space="preserve">Stanziamento di bilancio o di programma indicato dalla fonte, nessuna stima.</t>
  </si>
  <si>
    <t xml:space="preserve">Nell'anno 2023 la dotazione finanziaria dell'Agenzia è stata pari a complessivi euro 72.592.500</t>
  </si>
  <si>
    <t xml:space="preserve">Letto da estratto indicizzato della pagina. Valore originale 72.592.500 euro convertito in milioni senza arrotondamento. Escluse le risorse PNRR. Verifica finale 08/10/2026, valore confermato sulla fonte. Dotazione 2023 confermata nel bilancio d'esercizio ACN.</t>
  </si>
  <si>
    <t xml:space="preserve">ACN-DPCMFONDI-2024</t>
  </si>
  <si>
    <t xml:space="preserve">Strategia nazionale di cybersicurezza, pubblicato il DPCM per la ripartizione dei fondi nel triennio 2024-2026</t>
  </si>
  <si>
    <t xml:space="preserve">09/2024</t>
  </si>
  <si>
    <t xml:space="preserve">https://www.acn.gov.it/portale/w/strategia-nazionale-di-cybersicurezza.-pubblicato-il-dpcm-per-la-ripartizione-dei-fondi-nel-triennio-2024-2026</t>
  </si>
  <si>
    <t xml:space="preserve">fondi assegnati dal DPCM alle Amministrazioni del Piano di implementazione</t>
  </si>
  <si>
    <t xml:space="preserve">Risorse ripartite per il triennio 2024-2026 tra le amministrazioni per attuare la Strategia nazionale.</t>
  </si>
  <si>
    <t xml:space="preserve">Nel triennio di riferimento, il provvedimento assegna circa 347 milioni di euro alle Amministrazioni individuate dal Piano di implementazione</t>
  </si>
  <si>
    <t xml:space="preserve">Letto da estratto indicizzato della pagina. Totale triennale 2024-2026 dei due fondi Attuazione e Gestione. Verifica finale 08/10/2026, valore confermato sulla fonte. Importo cumulato sul triennio 2024 2026, non annuale.</t>
  </si>
  <si>
    <t xml:space="preserve">ACN-RELAZIONE-2024</t>
  </si>
  <si>
    <t xml:space="preserve">Relazione annuale al Parlamento 2023</t>
  </si>
  <si>
    <t xml:space="preserve">https://www.acn.gov.it/portale/documents/20119/446882/ACN_Relazione_2023.pdf</t>
  </si>
  <si>
    <t xml:space="preserve">risorse assegnate a valere sui fondi per l'attuazione e per la gestione della Strategia</t>
  </si>
  <si>
    <t xml:space="preserve">Fondi assegnati nel 2023 a 39 interventi di 10 amministrazioni per attuare la Strategia nazionale.</t>
  </si>
  <si>
    <t xml:space="preserve">assegnati un totale di 66,7 milioni di euro a valere sui fondi per l'attuazione e per la gestione della Strategia, per sostenere 39 interventi</t>
  </si>
  <si>
    <t xml:space="preserve">Letto da estratto indicizzato della pagina. Verifica finale 08/10/2026, valore confermato sulla fonte. Valore confermato. La pagina della stessa relazione precisa che l'assegnazione copre il triennio 2023 2025.</t>
  </si>
  <si>
    <t xml:space="preserve">https://www.acn.gov.it/portale/relazione-annuale-2023</t>
  </si>
  <si>
    <t xml:space="preserve">dotazione Investimento 1.5 Cybersecurity PNRR</t>
  </si>
  <si>
    <t xml:space="preserve">Dotazione dell'investimento PNRR dedicato alla cybersecurity di cui ACN è soggetto attuatore.</t>
  </si>
  <si>
    <t xml:space="preserve">L'Investimento 1.5 Cybersecurity della Missione 1 ... prevede una dotazione di 623 milioni di euro</t>
  </si>
  <si>
    <t xml:space="preserve">Letto da estratto indicizzato della pagina. Dotazione complessiva del periodo PNRR fino al 2026, anno di riferimento pari all'ultimo anno del programma. Beneficiari PA e imprese di interesse nazionale.</t>
  </si>
  <si>
    <t xml:space="preserve">ACN-STORIAMISSIONE-2024</t>
  </si>
  <si>
    <t xml:space="preserve">L'Agenzia per la cybersicurezza nazionale, storia, missione, obiettivi</t>
  </si>
  <si>
    <t xml:space="preserve">https://www.acn.gov.it/portale/documents/20119/56212/testo_Frattasi_review_final.pdf/21228528-4473-702f-375a-d8b18ad1bce5?t=1715606273341</t>
  </si>
  <si>
    <t xml:space="preserve">Fondo per l'attuazione della Strategia nazionale di cybersicurezza</t>
  </si>
  <si>
    <t xml:space="preserve">Dotazione complessiva del fondo istituito dalla legge di bilancio 2023 per gli anni 2023-2037.</t>
  </si>
  <si>
    <t xml:space="preserve">Fondo per attuazione della Strategia Nazionale di cybersicurezza ... dotazione complessiva di 2 miliardi di euro per gli anni dal 2023 al 2037</t>
  </si>
  <si>
    <t xml:space="preserve">Letto da estratto indicizzato della pagina. Dotazione pluriennale 2023-2037, anno di riferimento pari all'ultimo anno. Data del documento dedotta dal timestamp dell'URL.</t>
  </si>
  <si>
    <t xml:space="preserve">ACN-STRATEGIA-2022</t>
  </si>
  <si>
    <t xml:space="preserve">Strategia nazionale di cybersicurezza 2022-2026</t>
  </si>
  <si>
    <t xml:space="preserve">25/05/2022</t>
  </si>
  <si>
    <t xml:space="preserve">https://giurisprudenza.unimc.it/it/ricerca/dirittoapplicato/site-news/ACN_Strategia.pdf</t>
  </si>
  <si>
    <t xml:space="preserve">quota percentuale degli investimenti nazionali lordi su base annuale</t>
  </si>
  <si>
    <t xml:space="preserve">Quota degli investimenti nazionali lordi da riservare annualmente a progetti di cybersicurezza secondo la Strategia.</t>
  </si>
  <si>
    <t xml:space="preserve">Fondi nazionali Quota percentuale (1,2%) degli investimenti nazionali lordi su base annuale</t>
  </si>
  <si>
    <t xml:space="preserve">Letto da estratto indicizzato della pagina. Obiettivo programmatico per ogni anno del periodo 2022-2026. Copia del documento ufficiale ospitata da unimc.it.</t>
  </si>
  <si>
    <t xml:space="preserve">ANITEC-ILDIGITALE-2018</t>
  </si>
  <si>
    <t xml:space="preserve">Anitec-Assinform</t>
  </si>
  <si>
    <t xml:space="preserve">Il Digitale in Italia 2018</t>
  </si>
  <si>
    <t xml:space="preserve">2018</t>
  </si>
  <si>
    <t xml:space="preserve">https://www.anitec-assinform.it/kdocs/1920845/il_digitale_in_italia_2018.pdf</t>
  </si>
  <si>
    <t xml:space="preserve">NetConsulting cube (stime per Anitec-Assinform)</t>
  </si>
  <si>
    <t xml:space="preserve">crescita del mercato della Cybersecurity</t>
  </si>
  <si>
    <t xml:space="preserve">Variazione annua del mercato cyber italiano nel 2017.</t>
  </si>
  <si>
    <t xml:space="preserve">+10,8% 2017/2016</t>
  </si>
  <si>
    <t xml:space="preserve">security hardware, security software, servizi MSS e cloud security, consulenza, altri servizi (system integration e formazione)</t>
  </si>
  <si>
    <t xml:space="preserve">Dedotta. La nota metodologica attribuisce la rilevazione dei dati di mercato alle interviste al panel di fornitori, mentre le interviste agli utenti servono a verificare strategie.</t>
  </si>
  <si>
    <t xml:space="preserve">Nota metodologica generica del rapporto. Interviste trimestrali a un panel di almeno 400 fornitori ICT, interviste ad almeno 5.000 aziende utenti e analisi secondaria. Nessun passaggio specifico per la cybersecurity.</t>
  </si>
  <si>
    <t xml:space="preserve">cresciuto a un tasso significativamente superiore ... pari al 10,8% nel 2017, sfiorando i 900 milioni di euro</t>
  </si>
  <si>
    <t xml:space="preserve">Cybersecurity</t>
  </si>
  <si>
    <t xml:space="preserve">Mercato italiano della cybersecurity nel 2017 secondo Anitec-Assinform.</t>
  </si>
  <si>
    <t xml:space="preserve">+10,8% sul 2016</t>
  </si>
  <si>
    <t xml:space="preserve">Cybersecurity, con 0,9 miliardi di euro nel 2017 e un TCMA 2017-2020 del 12,2%</t>
  </si>
  <si>
    <t xml:space="preserve">Letto da estratto indicizzato della pagina. Valore arrotondato, il testo indica che sfiora i 900 milioni. Perimetro più stretto di Polimi e Statista secondo il brief. Clienti imprese e PA dedotti dalla ripartizione per settori di utenza. Verifica finale 08/10/2026, valore confermato sulla fonte. Valore 2017 confermato.</t>
  </si>
  <si>
    <t xml:space="preserve">TCMA 2017-2020 Cybersecurity</t>
  </si>
  <si>
    <t xml:space="preserve">Tasso di crescita medio annuo previsto del mercato cyber italiano nel periodo 2017-2020.</t>
  </si>
  <si>
    <t xml:space="preserve">CAGR 2017-2020 12,2%</t>
  </si>
  <si>
    <t xml:space="preserve">Letto da estratto indicizzato della pagina. Valore di base 0,9 miliardi nel 2017.</t>
  </si>
  <si>
    <t xml:space="preserve">ANITEC-ILDIGITALE-2019</t>
  </si>
  <si>
    <t xml:space="preserve">Il Digitale in Italia 2019</t>
  </si>
  <si>
    <t xml:space="preserve">https://www.anitec-assinform.it/kdocs/1962491/il_digitale_in_italia_2019.pdf</t>
  </si>
  <si>
    <t xml:space="preserve">Altri Servizi (system integration, security &amp; risk assessment, penetration test, formazione)</t>
  </si>
  <si>
    <t xml:space="preserve">Spesa italiana 2018 negli altri servizi di sicurezza.</t>
  </si>
  <si>
    <t xml:space="preserve">Altri servizi</t>
  </si>
  <si>
    <t xml:space="preserve">+11% sul 2017</t>
  </si>
  <si>
    <t xml:space="preserve">quella degli Altri Servizi, che nel 2018 hanno quasi raddoppiato il tasso di crescita (dal 6% all'11%, a 383 milioni)</t>
  </si>
  <si>
    <t xml:space="preserve">mercato della Cybersecurity</t>
  </si>
  <si>
    <t xml:space="preserve">Mercato italiano della cybersecurity nel 2018 secondo Anitec-Assinform.</t>
  </si>
  <si>
    <t xml:space="preserve">+12,2% sul 2017</t>
  </si>
  <si>
    <t xml:space="preserve">Nel 2018 il mercato della Cybersecurity è cresciuto del 12,2% a 1.005,8 milioni di euro</t>
  </si>
  <si>
    <t xml:space="preserve">Letto da estratto indicizzato della pagina. Perimetro più stretto di Polimi e Statista secondo il brief. Clienti imprese e PA dedotti dalla ripartizione per settori di utenza. Verifica finale 08/10/2026, valore confermato sulla fonte. Valore 2018 confermato.</t>
  </si>
  <si>
    <t xml:space="preserve">Security Managed Services e Cloud Security</t>
  </si>
  <si>
    <t xml:space="preserve">Spesa italiana 2018 in servizi gestiti di sicurezza e cloud security.</t>
  </si>
  <si>
    <t xml:space="preserve">Servizi MSS e cloud security</t>
  </si>
  <si>
    <t xml:space="preserve">+12,7% sul 2017</t>
  </si>
  <si>
    <t xml:space="preserve">Security Managed Services e Cloud Security (+12,7% a più di 387 milioni)</t>
  </si>
  <si>
    <t xml:space="preserve">Letto da estratto indicizzato della pagina. Valore indicato come soglia minima (più di 387 milioni).</t>
  </si>
  <si>
    <t xml:space="preserve">ANITEC-ILDIGITALE-2020</t>
  </si>
  <si>
    <t xml:space="preserve">Il Digitale in Italia 2020, volume I</t>
  </si>
  <si>
    <t xml:space="preserve">https://www.anitec-assinform.it/kdocs/1981743/il_digitale_in_italia_2020_vol_i.pdf</t>
  </si>
  <si>
    <t xml:space="preserve">altri servizi di sicurezza (system integration e formazione)</t>
  </si>
  <si>
    <t xml:space="preserve">Spesa italiana 2019 negli altri servizi di sicurezza.</t>
  </si>
  <si>
    <t xml:space="preserve">+10,5% sul 2018</t>
  </si>
  <si>
    <t xml:space="preserve">Gli altri servizi di sicurezza, che comprendono la System Integration e la formazione specifica, hanno raggiunto quota 423 milioni di euro</t>
  </si>
  <si>
    <t xml:space="preserve">Mercato italiano della cybersecurity nel 2019 secondo Anitec-Assinform.</t>
  </si>
  <si>
    <t xml:space="preserve">+13% sul 2018</t>
  </si>
  <si>
    <t xml:space="preserve">Il mercato della Cybersecurity è cresciuto anche nel 2019, a un tasso (+13%) ... raggiungendo 1.136,5 milioni di euro</t>
  </si>
  <si>
    <t xml:space="preserve">Letto da estratto indicizzato della pagina. Perimetro più stretto di Polimi e Statista secondo il brief. Clienti imprese e PA dedotti dalla ripartizione per settori di utenza. Verifica finale 08/10/2026, valore confermato sulla fonte. Rapporto Il Digitale in Italia 2020 volume I.</t>
  </si>
  <si>
    <t xml:space="preserve">Spesa italiana 2019 in servizi gestiti di sicurezza e cloud security.</t>
  </si>
  <si>
    <t xml:space="preserve">+14,7% sul 2018</t>
  </si>
  <si>
    <t xml:space="preserve">La componente di Security Managed Services e Cloud Security, con una crescita del 14,7% e un valore di 444,4 milioni di euro</t>
  </si>
  <si>
    <t xml:space="preserve">servizi di consulenza</t>
  </si>
  <si>
    <t xml:space="preserve">Spesa italiana 2019 in consulenza di sicurezza.</t>
  </si>
  <si>
    <t xml:space="preserve">Consulenza</t>
  </si>
  <si>
    <t xml:space="preserve">+15,4% sul 2018</t>
  </si>
  <si>
    <t xml:space="preserve">I servizi di consulenza, in particolare, hanno raggiunto 62,6 milioni di euro nel 2019</t>
  </si>
  <si>
    <t xml:space="preserve">TCMA al 2022 del mercato Cybersecurity</t>
  </si>
  <si>
    <t xml:space="preserve">Tasso medio annuo di crescita previsto del mercato cyber italiano fino al 2022.</t>
  </si>
  <si>
    <t xml:space="preserve">CAGR 2019-2022 10,5%</t>
  </si>
  <si>
    <t xml:space="preserve">Cybersecurity, il cui mercato, nel 2019 pari a circa 1,1 miliardi di euro, è previsto crescere, al 2022, al TCMA del 10,5%</t>
  </si>
  <si>
    <t xml:space="preserve">ANITEC-ILDIGITALE-2021</t>
  </si>
  <si>
    <t xml:space="preserve">Il Digitale in Italia 2021</t>
  </si>
  <si>
    <t xml:space="preserve">07/2021</t>
  </si>
  <si>
    <t xml:space="preserve">https://www.anitec-assinform.it/kdocs/2013003/il_digitale_in_italia_2021.pdf</t>
  </si>
  <si>
    <t xml:space="preserve">Mercato italiano della cybersecurity nel 2020 secondo Anitec-Assinform.</t>
  </si>
  <si>
    <t xml:space="preserve">+9% sul 2019</t>
  </si>
  <si>
    <t xml:space="preserve">il mercato della Cybersecurity ha continuato il suo trend positivo (+9%), seppur rallentando la sua crescita, raggiungendo quota 1.238,5 milioni di euro</t>
  </si>
  <si>
    <t xml:space="preserve">Letto da estratto indicizzato della pagina. La tabella 3 del rapporto etichetta il 2020 come 2020E. Perimetro più stretto di Polimi e Statista secondo il brief. Clienti imprese e PA dedotti dalla ripartizione per settori di utenza. Verifica finale 08/10/2026, riverifica non riuscita (non rileggibile). Nessun estratto del PDF kdocs 2013003 dopo 3 tentativi, il valore 1.238,5 compare in altri documenti Anitec-Assinform 2021. Valore letto in fase di raccolta, da ricontrollare sulla fonte.</t>
  </si>
  <si>
    <t xml:space="preserve">ANITEC-ILDIGITALE-2022</t>
  </si>
  <si>
    <t xml:space="preserve">Il Digitale in Italia 2022, volume 2</t>
  </si>
  <si>
    <t xml:space="preserve">2022</t>
  </si>
  <si>
    <t xml:space="preserve">https://www.anitec-assinform.it/kdocs/2065198/il_digitale_in_italia_-_vol_2.pdf</t>
  </si>
  <si>
    <t xml:space="preserve">spesa Cybersecurity a fine 2022</t>
  </si>
  <si>
    <t xml:space="preserve">Stima della spesa cyber italiana per l'anno 2022 pubblicata nel rapporto 2022.</t>
  </si>
  <si>
    <t xml:space="preserve">+13,5% sul 2021</t>
  </si>
  <si>
    <t xml:space="preserve">A fine 2022 la spesa dovrebbe raggiungere i 1.576 milioni di euro, con una crescita del 13,5%</t>
  </si>
  <si>
    <t xml:space="preserve">Letto da estratto indicizzato della pagina. Lo stesso rapporto riporta altrove 1,6 miliardi e +14%. Perimetro più stretto di Polimi e Statista secondo il brief. Clienti imprese e PA dedotti dalla ripartizione per settori di utenza. Verifica finale 08/10/2026, valore confermato sulla fonte.</t>
  </si>
  <si>
    <t xml:space="preserve">spesa Cybersecurity del settore bancario</t>
  </si>
  <si>
    <t xml:space="preserve">Spesa cyber delle banche italiane stimata per il 2022.</t>
  </si>
  <si>
    <t xml:space="preserve">CAGR 13,2%</t>
  </si>
  <si>
    <t xml:space="preserve">I top spender sono le aziende del settore bancario, che complessivamente raggiungerà all'incirca i 324 milioni di euro nel 2022 (TCMA +13,2%)</t>
  </si>
  <si>
    <t xml:space="preserve">TCMA 2021-2025 mercato Cybersecurity</t>
  </si>
  <si>
    <t xml:space="preserve">Tasso medio annuo di crescita previsto del mercato cyber italiano 2021-2025.</t>
  </si>
  <si>
    <t xml:space="preserve">CAGR 2021-2025 14%</t>
  </si>
  <si>
    <t xml:space="preserve">La crescita del mercato Cybersecurity proseguirà anche nei prossimi anni ... e un TCMA del 14% nel periodo 2021-2025</t>
  </si>
  <si>
    <t xml:space="preserve">ANITEC-ILDIGITALE-2023</t>
  </si>
  <si>
    <t xml:space="preserve">Il Digitale in Italia 2023</t>
  </si>
  <si>
    <t xml:space="preserve">https://www.anitec-assinform.it/kdocs/2091849/il_digitale_in_italia_2023_v3.pdf</t>
  </si>
  <si>
    <t xml:space="preserve">spesa ICT per Cybersicurezza per settore</t>
  </si>
  <si>
    <t xml:space="preserve">Spesa cyber italiana 2022 del settore Assicurazioni e finanziarie.</t>
  </si>
  <si>
    <t xml:space="preserve">Assicurazioni e finanziarie</t>
  </si>
  <si>
    <t xml:space="preserve">sommata alla spesa delle Assicurazioni, pari a 91,7 milioni, ha rappresentato nel 2022 più di un quarto della spesa</t>
  </si>
  <si>
    <t xml:space="preserve">Spesa cyber italiana 2022 del settore Banche.</t>
  </si>
  <si>
    <t xml:space="preserve">Il settore in cui si è realizzata la spesa più elevata è stato quello Bancario, con 347,3 milioni (22% del totale)</t>
  </si>
  <si>
    <t xml:space="preserve">Letto da estratto indicizzato della pagina. Verifica finale 08/10/2026, valore confermato sulla fonte. Spesa cyber del settore bancario nel 2022.</t>
  </si>
  <si>
    <t xml:space="preserve">Spesa cyber italiana 2022 del settore Enti locali.</t>
  </si>
  <si>
    <t xml:space="preserve">Enti locali</t>
  </si>
  <si>
    <t xml:space="preserve">Nel Government, la spesa è suddivisa tra la PAC (137,7 milioni) e gli Enti locali (85,5 milioni)</t>
  </si>
  <si>
    <t xml:space="preserve">Spesa cyber italiana 2022 del settore Manifatturiero.</t>
  </si>
  <si>
    <t xml:space="preserve">Manifatturiero</t>
  </si>
  <si>
    <t xml:space="preserve">A seguire il settore Manifatturiero, che ha prodotto una spesa pari a 308,2 milioni (19% del totale)</t>
  </si>
  <si>
    <t xml:space="preserve">Spesa cyber italiana 2022 del settore PA centrale.</t>
  </si>
  <si>
    <t xml:space="preserve">PA centrale</t>
  </si>
  <si>
    <t xml:space="preserve">Spesa cyber italiana 2022 del settore Sanità.</t>
  </si>
  <si>
    <t xml:space="preserve">I settori che hanno registrato investimenti per la sicurezza informatica più modesti sono stati la Sanità, con 53,2 milioni di euro</t>
  </si>
  <si>
    <t xml:space="preserve">Spesa cyber italiana 2022 del settore Travel &amp; Transportation.</t>
  </si>
  <si>
    <t xml:space="preserve">Travel &amp; Transportation</t>
  </si>
  <si>
    <t xml:space="preserve">e il settore Travel &amp; Transportation, con 71,3 milioni (4% del totale)</t>
  </si>
  <si>
    <t xml:space="preserve">spesa per la Cybersecurity in Italia</t>
  </si>
  <si>
    <t xml:space="preserve">Spesa cyber italiana nel 2022 secondo il rapporto 2023.</t>
  </si>
  <si>
    <t xml:space="preserve">Nel 2022, la spesa per la Cybersecurity in Italia è stata di 1.590 milioni di euro</t>
  </si>
  <si>
    <t xml:space="preserve">Letto da estratto indicizzato della pagina. Perimetro più stretto di Polimi e Statista secondo il brief. Clienti imprese e PA dedotti dalla ripartizione per settori di utenza. Verifica finale 08/10/2026, valore confermato sulla fonte. Rapporto Il Digitale in Italia 2023.</t>
  </si>
  <si>
    <t xml:space="preserve">spesa ICT per Cybersicurezza per settore (stima 2023)</t>
  </si>
  <si>
    <t xml:space="preserve">Stima 2023 della spesa cyber italiana del settore Banche.</t>
  </si>
  <si>
    <t xml:space="preserve">Banche 307,3 347,3 393,2 +13,0% +13,2%</t>
  </si>
  <si>
    <t xml:space="preserve">Letto da estratto indicizzato della pagina. Valore letto da tabella.</t>
  </si>
  <si>
    <t xml:space="preserve">Stima 2023 della spesa cyber italiana del settore Enti locali.</t>
  </si>
  <si>
    <t xml:space="preserve">Nella Pubblica Amministrazione la spesa sarà di 164,3 milioni nella PAC e di 103,8 milioni negli Enti locali</t>
  </si>
  <si>
    <t xml:space="preserve">Stima 2023 della spesa cyber italiana del settore PA centrale.</t>
  </si>
  <si>
    <t xml:space="preserve">spesa per la Cybersecurity in Italia (stima 2023)</t>
  </si>
  <si>
    <t xml:space="preserve">Stima della spesa cyber italiana per il 2023 pubblicata nel rapporto 2023.</t>
  </si>
  <si>
    <t xml:space="preserve">+14,8% sul 2022</t>
  </si>
  <si>
    <t xml:space="preserve">anno in cui la spesa si stima raggiungerà i 1.825,5 milioni di euro (+14,8% rispetto al 2022)</t>
  </si>
  <si>
    <t xml:space="preserve">Letto da estratto indicizzato della pagina. Verifica finale 08/10/2026, valore confermato sulla fonte. Stima 2023 nel rapporto 2023.</t>
  </si>
  <si>
    <t xml:space="preserve">ANITEC-ILDIGITALE-2024</t>
  </si>
  <si>
    <t xml:space="preserve">Il Digitale in Italia 2024</t>
  </si>
  <si>
    <t xml:space="preserve">01/07/2024</t>
  </si>
  <si>
    <t xml:space="preserve">https://www.anitec-assinform.it/kdocs/2146137/il_digitale_in_italia_2024.pdf</t>
  </si>
  <si>
    <t xml:space="preserve">Mercato della CyberSecurity, totale</t>
  </si>
  <si>
    <t xml:space="preserve">Spesa cyber italiana nel 2021 nella serie del rapporto 2024.</t>
  </si>
  <si>
    <t xml:space="preserve">TOTALE 1.394,80</t>
  </si>
  <si>
    <t xml:space="preserve">Letto da estratto indicizzato della pagina. Valore letto da tabella, primo anno della serie 2021-2027. Verifica finale 08/10/2026, valore confermato sulla fonte. Valore 2021 presente nella tabella e nella figura del rapporto.</t>
  </si>
  <si>
    <t xml:space="preserve">investimenti per la Cybersecurity in Italia</t>
  </si>
  <si>
    <t xml:space="preserve">Spesa cyber italiana nel 2023 secondo il rapporto 2024.</t>
  </si>
  <si>
    <t xml:space="preserve">+12,4% sul 2022</t>
  </si>
  <si>
    <t xml:space="preserve">Nel 2023, gli investimenti per la Cybersecurity in Italia hanno raggiunto 1.787,9 milioni di euro, mostrando un incremento del 12,4%</t>
  </si>
  <si>
    <t xml:space="preserve">Letto da estratto indicizzato della pagina. Perimetro più stretto di Polimi e Statista secondo il brief. Clienti imprese e PA dedotti dalla ripartizione per settori di utenza. Verifica finale 08/10/2026, valore confermato sulla fonte. Valore, unità, valuta e anno coincidono nel PDF del rapporto.</t>
  </si>
  <si>
    <t xml:space="preserve">mercato Cybersicurezza per segmento</t>
  </si>
  <si>
    <t xml:space="preserve">Spesa cyber italiana 2023 nel segmento Altri servizi (system integration e formazione).</t>
  </si>
  <si>
    <t xml:space="preserve">Altri servizi (system integration e formazione)</t>
  </si>
  <si>
    <t xml:space="preserve">Nel segmento Altri Servizi, che comprende i servizi di system integration e le attività di formazione, la spesa ha raggiunto i 670,3 milioni</t>
  </si>
  <si>
    <t xml:space="preserve">Spesa cyber italiana 2023 nel segmento Consulenza.</t>
  </si>
  <si>
    <t xml:space="preserve">Le attività di Consulenza ... ammontante a 96,6 milioni di euro (+11,8% rispetto al 2022)</t>
  </si>
  <si>
    <t xml:space="preserve">Spesa cyber italiana 2023 nel segmento Security hardware.</t>
  </si>
  <si>
    <t xml:space="preserve">Security hardware</t>
  </si>
  <si>
    <t xml:space="preserve">La spesa in Security Hardware è stata di 116 milioni di euro nel 2023, con un aumento del 10,7%</t>
  </si>
  <si>
    <t xml:space="preserve">Spesa cyber italiana 2023 nel segmento Security software.</t>
  </si>
  <si>
    <t xml:space="preserve">Security software</t>
  </si>
  <si>
    <t xml:space="preserve">Il segmento Security Software ha raggiunto i 152,2 milioni di euro nel 2023, registrando un aumento dell'11,1%</t>
  </si>
  <si>
    <t xml:space="preserve">Letto da estratto indicizzato della pagina. Verifica finale 08/10/2026, valore confermato sulla fonte. Valore 2023 del segmento confermato nel PDF.</t>
  </si>
  <si>
    <t xml:space="preserve">Spesa cyber italiana 2023 nel segmento Servizi MSS e cloud.</t>
  </si>
  <si>
    <t xml:space="preserve">Servizi MSS e cloud</t>
  </si>
  <si>
    <t xml:space="preserve">Managed Security Services e Cloud mostrano la spesa maggiore, per un totale di 752,8 milioni di euro, con un aumento del 13,9%</t>
  </si>
  <si>
    <t xml:space="preserve">spesa per Cybersecurity della Pubblica Amministrazione</t>
  </si>
  <si>
    <t xml:space="preserve">Spesa cyber 2023 della PA italiana, grandi amministrazioni ed enti locali.</t>
  </si>
  <si>
    <t xml:space="preserve">Pubblica Amministrazione</t>
  </si>
  <si>
    <t xml:space="preserve">+16,0% sul 2022</t>
  </si>
  <si>
    <t xml:space="preserve">Segue la Pubblica Amministrazione, che include grandi amministrazioni ed enti locali, registrando una spesa di 297,2 milioni di euro nel 2023 (+16,0%)</t>
  </si>
  <si>
    <t xml:space="preserve">spesa per Cybersecurity nel settore bancario</t>
  </si>
  <si>
    <t xml:space="preserve">Spesa cyber delle banche italiane nel 2023.</t>
  </si>
  <si>
    <t xml:space="preserve">+11,8% sul 2022</t>
  </si>
  <si>
    <t xml:space="preserve">Nel 2023, la spesa per Cybersecurity nel settore bancario è stata di 388,1 milioni di euro (+11,8% rispetto al 2022)</t>
  </si>
  <si>
    <t xml:space="preserve">investimenti per la Cybersecurity in Italia (stima 2024)</t>
  </si>
  <si>
    <t xml:space="preserve">Stima della spesa cyber italiana per il 2024 pubblicata nel rapporto 2024.</t>
  </si>
  <si>
    <t xml:space="preserve">+12,6% sul 2023</t>
  </si>
  <si>
    <t xml:space="preserve">quando raggiungerà i 2.013,2 milioni di euro (+12,6% rispetto al 2023)</t>
  </si>
  <si>
    <t xml:space="preserve">Letto da estratto indicizzato della pagina. Verifica finale 08/10/2026, valore confermato sulla fonte. Valore 2024 presente nella tabella del mercato 2021-2027 del rapporto.</t>
  </si>
  <si>
    <t xml:space="preserve">Spesa cyber italiana 2024 nel segmento Consulenza.</t>
  </si>
  <si>
    <t xml:space="preserve">nel 2024 si prevede una crescita notevole dell'11,8%, portando la spesa a 108 milioni di euro</t>
  </si>
  <si>
    <t xml:space="preserve">Spesa cyber italiana 2024 nel segmento Security hardware.</t>
  </si>
  <si>
    <t xml:space="preserve">Per il 2024, si prevede una crescita del 10,8%, raggiungendo un totale di 128,5 milioni di euro</t>
  </si>
  <si>
    <t xml:space="preserve">Spesa cyber italiana 2024 nel segmento Security software.</t>
  </si>
  <si>
    <t xml:space="preserve">La prospettiva per il 2024 prevede una crescita ancora più significativa del 13,9%, portando la spesa a 173,3 milioni di euro</t>
  </si>
  <si>
    <t xml:space="preserve">Spesa cyber italiana 2024 nel segmento Servizi MSS e cloud.</t>
  </si>
  <si>
    <t xml:space="preserve">Nel 2024 è prevista una crescita del 13,4%, arrivando a 853,4 milioni di euro</t>
  </si>
  <si>
    <t xml:space="preserve">Letto da estratto indicizzato della pagina. Verifica finale 08/10/2026, valore confermato sulla fonte. Valore 2024 del segmento MSS e Cloud confermato nel PDF.</t>
  </si>
  <si>
    <t xml:space="preserve">spesa per Cybersecurity nel settore bancario (stima 2024)</t>
  </si>
  <si>
    <t xml:space="preserve">Stima 2024 della spesa cyber delle banche italiane.</t>
  </si>
  <si>
    <t xml:space="preserve">+12,1% sul 2023</t>
  </si>
  <si>
    <t xml:space="preserve">Per il 2024, si prevede un ulteriore incremento del 12,1%, portando la spesa complessiva a 435 milioni di euro</t>
  </si>
  <si>
    <t xml:space="preserve">Spesa cyber italiana 2027 nel segmento Consulenza.</t>
  </si>
  <si>
    <t xml:space="preserve">Consulenza 76,4 86,4 96,6 108 120,4 131,4 142,5</t>
  </si>
  <si>
    <t xml:space="preserve">Letto da estratto indicizzato della pagina. Valore letto da tabella 2021-2027.</t>
  </si>
  <si>
    <t xml:space="preserve">Spesa cyber italiana 2027 nel segmento Servizi MSS e cloud.</t>
  </si>
  <si>
    <t xml:space="preserve">Servizi MSS e Cloud 565,3 660,9 752,8 853,4 975 1.090,00 1.210,00</t>
  </si>
  <si>
    <t xml:space="preserve">ANITEC-ILDIGITALE-2025</t>
  </si>
  <si>
    <t xml:space="preserve">Il Digitale in Italia 2025 (56a edizione)</t>
  </si>
  <si>
    <t xml:space="preserve">02/07/2025</t>
  </si>
  <si>
    <t xml:space="preserve">https://lentepubblica.it/wp-content/uploads/2025/07/ANITEC-ASSINFORM_il_digitale_in_italia_2025_v5-compresso.pdf</t>
  </si>
  <si>
    <t xml:space="preserve">Totale Mercato Cybersecurity</t>
  </si>
  <si>
    <t xml:space="preserve">Mercato cyber italiano 2022 nella serie del rapporto 2025.</t>
  </si>
  <si>
    <t xml:space="preserve">CyberSecurity 1.590,1 1.787,9 2.001,2 2.238,0 2.496,5 2.745,3 2.994,0</t>
  </si>
  <si>
    <t xml:space="preserve">Letto da estratto indicizzato della pagina. Valore letto da tabella. Copia integrale del rapporto gratuito ospitata da un sito terzo, versione sul sito Anitec-Assinform non emersa dalla ricerca.</t>
  </si>
  <si>
    <t xml:space="preserve">Mercato cyber italiano 2023 nella serie del rapporto 2025.</t>
  </si>
  <si>
    <t xml:space="preserve">Totale Mercato Cybersecurity 1.787,9 2.001,2 2.238,0 11,9% 11,8%</t>
  </si>
  <si>
    <t xml:space="preserve">Letto da estratto indicizzato della pagina. Valore letto da tabella. Copia integrale del rapporto gratuito ospitata da un sito terzo, versione sul sito Anitec-Assinform non emersa dalla ricerca. La figura 16 dello stesso rapporto indica 1.789,7 milioni per il 2023.</t>
  </si>
  <si>
    <t xml:space="preserve">Consulenza (Risk Assessment, Penetration Test, Piani di Cyber Resilience)</t>
  </si>
  <si>
    <t xml:space="preserve">Spesa cyber italiana 2024 nel segmento consulenza.</t>
  </si>
  <si>
    <t xml:space="preserve">+11,1% sul 2023</t>
  </si>
  <si>
    <t xml:space="preserve">ha raggiunto la quota di 107,3 milioni di euro, in aumento dell'11,1% rispetto al 2023</t>
  </si>
  <si>
    <t xml:space="preserve">Letto da estratto indicizzato della pagina. Copia integrale del rapporto gratuito ospitata da un sito terzo, versione sul sito Anitec-Assinform non emersa dalla ricerca.</t>
  </si>
  <si>
    <t xml:space="preserve">Mercato cyber italiano 2024 nella serie del rapporto 2025.</t>
  </si>
  <si>
    <t xml:space="preserve">+11,9% sul 2023</t>
  </si>
  <si>
    <t xml:space="preserve">ha raggiunto un valore di poco superiore ai 2 miliardi di euro, grazie a un incremento dell'11,9%</t>
  </si>
  <si>
    <t xml:space="preserve">Letto da estratto indicizzato della pagina. Valore letto da tabella. Copia integrale del rapporto gratuito ospitata da un sito terzo, versione sul sito Anitec-Assinform non emersa dalla ricerca. Verifica finale 08/10/2026, valore confermato sulla fonte. Valore 2024 in milioni confermato nella figura 16.</t>
  </si>
  <si>
    <t xml:space="preserve">Mercato cyber italiano 2025 nella serie del rapporto 2025.</t>
  </si>
  <si>
    <t xml:space="preserve">+11,8% sul 2024</t>
  </si>
  <si>
    <t xml:space="preserve">Mercato cyber italiano 2026 nella serie del rapporto 2025.</t>
  </si>
  <si>
    <t xml:space="preserve">Mercato cyber italiano 2027 nella serie del rapporto 2025.</t>
  </si>
  <si>
    <t xml:space="preserve">TCMA 2024-2028 Cybersecurity</t>
  </si>
  <si>
    <t xml:space="preserve">Tasso medio annuo di crescita previsto del mercato cyber italiano 2024-2028.</t>
  </si>
  <si>
    <t xml:space="preserve">CAGR 2024-2028 10,6%</t>
  </si>
  <si>
    <t xml:space="preserve">Il tasso di crescita medio annuo (TCMA) per il periodo 2024-2028 si attesta al 10,6%</t>
  </si>
  <si>
    <t xml:space="preserve">Letto da estratto indicizzato della pagina. Copia integrale del rapporto gratuito ospitata da un sito terzo, versione sul sito Anitec-Assinform non emersa dalla ricerca. Verifica finale 08/10/2026, valore confermato sulla fonte. Tasso medio annuo confermato.</t>
  </si>
  <si>
    <t xml:space="preserve">Mercato cyber italiano 2028 nella serie del rapporto 2025.</t>
  </si>
  <si>
    <t xml:space="preserve">ANITEC-ILDIGITALE-2026</t>
  </si>
  <si>
    <t xml:space="preserve">Il Digitale in Italia 2026 (comunicato stampa del 1 luglio 2026)</t>
  </si>
  <si>
    <t xml:space="preserve">01/07/2026</t>
  </si>
  <si>
    <t xml:space="preserve">https://www.anitec-assinform.it/media/comunicati-stampa/anitec-assinform-nel-2025-il-mercato-digitale-in-italia-raggiunge-84-4-miliardi-ecosistema-ict-con-oltre-132mila-imprese-e-piu-di-638mila-addetti.kl</t>
  </si>
  <si>
    <t xml:space="preserve">spesa cybersecurity</t>
  </si>
  <si>
    <t xml:space="preserve">Spesa cyber italiana 2025 secondo il comunicato del rapporto Il Digitale in Italia 2026.</t>
  </si>
  <si>
    <t xml:space="preserve">+12% sul 2024</t>
  </si>
  <si>
    <t xml:space="preserve">La cybersecurity assume un ruolo sempre più centrale, come testimoniato dalla spesa che ha raggiunto i 2,24 miliardi, in crescita del 12%</t>
  </si>
  <si>
    <t xml:space="preserve">Letto da estratto indicizzato della pagina. Perimetro più stretto di Polimi e Statista secondo il brief. Clienti imprese e PA dedotti dalla ripartizione per settori di utenza. Verifica finale 08/10/2026, valore confermato sulla fonte. Valore 2025 confermato nel comunicato del luglio 2026.</t>
  </si>
  <si>
    <t xml:space="preserve">Il Digitale in Italia 2026 (rapporto completo)</t>
  </si>
  <si>
    <t xml:space="preserve">https://www.matricedigitale.it/wp-content/uploads/2026/07/Rapporto-Anitec-Assinform_Il-Digitale-in-Italia-2026.pdf</t>
  </si>
  <si>
    <t xml:space="preserve">spesa per la cybersecurity in Italia</t>
  </si>
  <si>
    <t xml:space="preserve">Spesa cyber italiana 2025 nel rapporto completo 2026.</t>
  </si>
  <si>
    <t xml:space="preserve">+12,2% sul 2024</t>
  </si>
  <si>
    <t xml:space="preserve">Nel 2025, la spesa per la cybersecurity in Italia ha raggiunto i 2.245 milioni di euro, registrando una crescita del 12,2% rispetto al 2024</t>
  </si>
  <si>
    <t xml:space="preserve">Letto da estratto indicizzato della pagina. Copia integrale del rapporto gratuito ospitata da un sito terzo, versione sul sito Anitec-Assinform non emersa dalla ricerca. Verifica finale 08/10/2026, valore confermato sulla fonte. Valore 2025 confermato.</t>
  </si>
  <si>
    <t xml:space="preserve">spesa per la cybersecurity in Italia (stima 2026)</t>
  </si>
  <si>
    <t xml:space="preserve">Stima della spesa cyber italiana per il 2026 nel rapporto 2026.</t>
  </si>
  <si>
    <t xml:space="preserve">+12,5% sul 2025</t>
  </si>
  <si>
    <t xml:space="preserve">Anche nel 2026 il trend è previsto in aumento, con un valore stimato di 2.524,9 milioni di euro (+12,5%)</t>
  </si>
  <si>
    <t xml:space="preserve">Letto da estratto indicizzato della pagina. Copia integrale del rapporto gratuito ospitata da un sito terzo, versione sul sito Anitec-Assinform non emersa dalla ricerca. Verifica finale 08/10/2026, valore confermato sulla fonte. Stima 2026 confermata.</t>
  </si>
  <si>
    <t xml:space="preserve">ANITEC-ILDIGITALEPREV-2025</t>
  </si>
  <si>
    <t xml:space="preserve">Il Digitale in Italia 2025, Previsioni 2025-2028</t>
  </si>
  <si>
    <t xml:space="preserve">https://www.associazionecittadinanzadigitale.org/wp-content/uploads/2026/01/il_digitale_in_italia_2025-previsioni_v4.pdf</t>
  </si>
  <si>
    <t xml:space="preserve">Managed Security Services e Cloud</t>
  </si>
  <si>
    <t xml:space="preserve">Stima 2025 della spesa cyber italiana in servizi gestiti e cloud security.</t>
  </si>
  <si>
    <t xml:space="preserve">+13,7% sul 2024, CAGR al 2028 13,2%</t>
  </si>
  <si>
    <t xml:space="preserve">Il segmento più rilevante del mercato è rappresentato dai Managed Security Services e Cloud, che nel 2025 raggiungeranno una spesa stimata di 969,4 milioni</t>
  </si>
  <si>
    <t xml:space="preserve">spesa in Cybersecurity in Italia</t>
  </si>
  <si>
    <t xml:space="preserve">Stima della spesa cyber italiana 2025 nell'aggiornamento previsionale di fine 2025.</t>
  </si>
  <si>
    <t xml:space="preserve">Nel 2025, la spesa in Cybersecurity in Italia è prevista in crescita del 12,2%, raggiungendo un valore complessivo di 2.245 milioni di euro</t>
  </si>
  <si>
    <t xml:space="preserve">Letto da estratto indicizzato della pagina. Data esatta di pubblicazione non presente nell'estratto. Copia integrale del rapporto gratuito ospitata da un sito terzo, versione sul sito Anitec-Assinform non emersa dalla ricerca. Verifica finale 08/10/2026, valore confermato sulla fonte. Valore 2025 confermato.</t>
  </si>
  <si>
    <t xml:space="preserve">System Integration &amp; Formazione</t>
  </si>
  <si>
    <t xml:space="preserve">Spesa cyber italiana in system integration e formazione indicata nell'aggiornamento previsionale.</t>
  </si>
  <si>
    <t xml:space="preserve">System integration e formazione</t>
  </si>
  <si>
    <t xml:space="preserve">CAGR al 2028 10,3%</t>
  </si>
  <si>
    <t xml:space="preserve">gration &amp; Formazione con 816,6 mln € (TCMA di +10,3% al 2028)</t>
  </si>
  <si>
    <t xml:space="preserve">Letto da estratto indicizzato della pagina. Anno del valore dedotto dal contesto del paragrafo sul 2025. Verifica finale 08/10/2026, valore confermato sulla fonte. Segmento 2025 confermato.</t>
  </si>
  <si>
    <t xml:space="preserve">TCMA 2025-2028 Cybersecurity</t>
  </si>
  <si>
    <t xml:space="preserve">Tasso medio annuo di crescita previsto della spesa cyber italiana 2025-2028.</t>
  </si>
  <si>
    <t xml:space="preserve">CAGR 2025-2028 12,2%</t>
  </si>
  <si>
    <t xml:space="preserve">Il tasso di crescita medio annuo (TCMA) 2025-2028 è stimato al +12,2%</t>
  </si>
  <si>
    <t xml:space="preserve">Letto da estratto indicizzato della pagina. Altrove lo stesso documento indica una crescita costante al 12% annuo fino al 2028.</t>
  </si>
  <si>
    <t xml:space="preserve">BDI-MISP63-2025</t>
  </si>
  <si>
    <t xml:space="preserve">Banca d'Italia</t>
  </si>
  <si>
    <t xml:space="preserve">Mercati, infrastrutture, sistemi di pagamento n. 63, Indagine conoscitiva sul mercato italiano dei servizi di testing di cybersicurezza</t>
  </si>
  <si>
    <t xml:space="preserve">09/2025</t>
  </si>
  <si>
    <t xml:space="preserve">https://www.bancaditalia.it/pubblicazioni/mercati-infrastrutture-e-sistemi-di-pagamento/approfondimenti/2025-063/N.63-MISP.pdf</t>
  </si>
  <si>
    <t xml:space="preserve">CIPA, Rilevazione economica esercizio 2023 (2024)</t>
  </si>
  <si>
    <t xml:space="preserve">spesa media IT dei gruppi bancari dedicata alla cybersicurezza</t>
  </si>
  <si>
    <t xml:space="preserve">Spesa media in cybersicurezza per gruppo bancario rispondente nel 2023.</t>
  </si>
  <si>
    <t xml:space="preserve">Gruppi bancari</t>
  </si>
  <si>
    <t xml:space="preserve">circa +9% sul 2022</t>
  </si>
  <si>
    <t xml:space="preserve">Dedotta. Media calcolata sui dati segnalati dai gruppi bancari acquirenti nella rilevazione CIPA.</t>
  </si>
  <si>
    <t xml:space="preserve">Ripreso dalla rilevazione CIPA sul 2023, media sui gruppi bancari rispondenti.</t>
  </si>
  <si>
    <t xml:space="preserve">il totale della spesa media IT dei gruppi bancari rispondenti è pari a 290,6 milioni, di cui 16,4 in media dedicati alla cybersicurezza</t>
  </si>
  <si>
    <t xml:space="preserve">Letto da estratto indicizzato della pagina. Valore per singola organizzazione, da non moltiplicare per il numero di imprese. Verifica finale 08/10/2026, valore confermato sulla fonte. Media per gruppo bancario, rilevazione CIPA sul 2023.</t>
  </si>
  <si>
    <t xml:space="preserve">BDI-QEF407-2017</t>
  </si>
  <si>
    <t xml:space="preserve">Questioni di Economia e Finanza n. 407, The price of cyber (in)security, evidence from the Italian private sector</t>
  </si>
  <si>
    <t xml:space="preserve">11/2017</t>
  </si>
  <si>
    <t xml:space="preserve">https://www.bancaditalia.it/pubblicazioni/qef/2017-0407/index.html?com.dotmarketing.htmlpage.language=1</t>
  </si>
  <si>
    <t xml:space="preserve">median amount spent on preventing cyber attacks</t>
  </si>
  <si>
    <t xml:space="preserve">Spesa mediana per impresa nel 2016 per prevenire attacchi informatici, grandi imprese.</t>
  </si>
  <si>
    <t xml:space="preserve">presidi hardware, software, personale interno, consulenti esterni e outsourcing</t>
  </si>
  <si>
    <t xml:space="preserve">Indagine Invind 2016 sulle imprese dell'industria e dei servizi con almeno 20 addetti. Domanda sulla spesa per prevenire attacchi, comprensiva di personale interno e outsourcing, statistiche ponderate sulla popolazione.</t>
  </si>
  <si>
    <t xml:space="preserve">median values range from €3,120 for small firms to €19,080 in the ICT sector and €44,590 for large firms</t>
  </si>
  <si>
    <t xml:space="preserve">Letto da estratto indicizzato della pagina. Edizione 2017, anteriore al periodo di ricerca attiva, inclusa perché unico dato lato domanda per impresa. Il questionario Invind 2016 chiede di includere retribuzioni del personale interno. Valore per impresa, da non moltiplicare.</t>
  </si>
  <si>
    <t xml:space="preserve">Spesa mediana per impresa nel 2016 per prevenire attacchi informatici, piccole imprese.</t>
  </si>
  <si>
    <t xml:space="preserve">Piccole imprese</t>
  </si>
  <si>
    <t xml:space="preserve">Spesa mediana per impresa nel 2016 per prevenire attacchi informatici, settore ict.</t>
  </si>
  <si>
    <t xml:space="preserve">Settore ICT</t>
  </si>
  <si>
    <t xml:space="preserve">Spesa mediana per impresa nel 2016 per prevenire attacchi informatici, totale.</t>
  </si>
  <si>
    <t xml:space="preserve">In 2016, the median amount spent on preventing cyber attacks was a modest €4,530</t>
  </si>
  <si>
    <t xml:space="preserve">TIMCS-CYBERMADEINITALY-2023</t>
  </si>
  <si>
    <t xml:space="preserve">Centro Studi TIM (Gruppo TIM)</t>
  </si>
  <si>
    <t xml:space="preserve">Cybersecurity made in Italy</t>
  </si>
  <si>
    <t xml:space="preserve">20/06/2023</t>
  </si>
  <si>
    <t xml:space="preserve">https://www.gruppotim.it/content/dam/gt/centro-studi-tim/report-cybersecurity/cybersecurity%20made%20in%20italy_20230620.pdf</t>
  </si>
  <si>
    <t xml:space="preserve">Statista, Osservatorio Cybersecurity &amp; Data Protection Polimi, Anitec-Assinform</t>
  </si>
  <si>
    <t xml:space="preserve">ricavi medi per impresa di cybersecurity</t>
  </si>
  <si>
    <t xml:space="preserve">Ricavi medi 2022 per impresa di cybersecurity in Italia, fatturato Statista diviso per numero di imprese.</t>
  </si>
  <si>
    <t xml:space="preserve">Dedotta. Rapporto tra ricavi dei vendor stimati da Statista e numero di imprese fornitrici.</t>
  </si>
  <si>
    <t xml:space="preserve">Sintesi di stime di Statista, Polimi e Assinform. Ricavi medi per impresa calcolati dividendo il fatturato Statista 2022 per il numero di imprese cyber.</t>
  </si>
  <si>
    <t xml:space="preserve">in Italia il valore dei ricavi medi per impresa è di circa 0,7 milioni di euro, in Spagna 1,3 milioni di euro</t>
  </si>
  <si>
    <t xml:space="preserve">Letto da estratto indicizzato della pagina. Numeratore Statista che include anche ricavi di vendor esteri, denominatore imprese registrate in Italia, indicatore ibrido.</t>
  </si>
  <si>
    <t xml:space="preserve">valore del mercato italiano della cybersecurity al 2025</t>
  </si>
  <si>
    <t xml:space="preserve">Previsione del mercato cyber italiano al 2025 come sintesi di più fonti.</t>
  </si>
  <si>
    <t xml:space="preserve">crescita media annua tra 8% e 14%</t>
  </si>
  <si>
    <t xml:space="preserve">Dedotta. Sintesi di fonti diverse con lati diversi.</t>
  </si>
  <si>
    <t xml:space="preserve">il mercato dovrebbe raggiungere un valore attorno ai 2,5 miliardi di euro, con una crescita media annua che oscilla tra 8% e il 14%</t>
  </si>
  <si>
    <t xml:space="preserve">Letto da estratto indicizzato della pagina. Il documento indica per il 2022 un intervallo tra 1,6 e 2,1 miliardi a seconda della fonte.</t>
  </si>
  <si>
    <t xml:space="preserve">CIPA-RILECON-2024</t>
  </si>
  <si>
    <t xml:space="preserve">CIPA, Convenzione Interbancaria per l'Automazione, con ABI</t>
  </si>
  <si>
    <t xml:space="preserve">Rilevazione economica, esercizio 2023</t>
  </si>
  <si>
    <t xml:space="preserve">https://www.cipa.it/rilevazioni/economiche/2023/index.html</t>
  </si>
  <si>
    <t xml:space="preserve">cash out per la sicurezza IT</t>
  </si>
  <si>
    <t xml:space="preserve">Spesa di cassa per la sicurezza IT dei 22 gruppi bancari rispondenti nel 2023.</t>
  </si>
  <si>
    <t xml:space="preserve">Rilevazione annuale presso i gruppi bancari e le banche partecipanti, pari a circa il 92% del totale attivo dei gruppi. Valori segnalati dai gruppi, incluse componenti stimate quando la sicurezza non è scorporabile.</t>
  </si>
  <si>
    <t xml:space="preserve">i 22 gruppi segnalano sei miliardi di euro di Total Cost of Ownership ... 362 milioni di euro di cash out per la sicurezza IT</t>
  </si>
  <si>
    <t xml:space="preserve">CIPA-RILECON-2025</t>
  </si>
  <si>
    <t xml:space="preserve">Rilevazione sull'IT nel settore bancario italiano, profili economici e organizzativi, esercizio 2024</t>
  </si>
  <si>
    <t xml:space="preserve">21/11/2025</t>
  </si>
  <si>
    <t xml:space="preserve">https://www.cipa.it/rilevazioni/economiche/2024/Rilevazione_economica_2024.pdf</t>
  </si>
  <si>
    <t xml:space="preserve">% media cash out IT per la sicurezza</t>
  </si>
  <si>
    <t xml:space="preserve">Quota media della spesa di cassa IT dei gruppi bancari destinata alla sicurezza nel 2024.</t>
  </si>
  <si>
    <t xml:space="preserve">La Sicurezza informatica assorbe in media il 4,9% del cash out IT</t>
  </si>
  <si>
    <t xml:space="preserve">Letto da estratto indicizzato della pagina. Comprende una quota stimata di 0,7 punti segnalata dai gruppi che non riescono a scorporare la sicurezza.</t>
  </si>
  <si>
    <t xml:space="preserve">cash out per la Sicurezza IT</t>
  </si>
  <si>
    <t xml:space="preserve">Spesa di cassa per la sicurezza IT dei 23 gruppi bancari rispondenti nel 2024.</t>
  </si>
  <si>
    <t xml:space="preserve">il cash out che i 23 gruppi hanno complessivamente destinato alla Sicurezza IT nell'esercizio 2024 ammonta a 365,7 milioni di euro, incluse le componenti stimate</t>
  </si>
  <si>
    <t xml:space="preserve">Letto da estratto indicizzato della pagina. Somma dei gruppi rispondenti, non riportata all'universo.</t>
  </si>
  <si>
    <t xml:space="preserve">costi per la Sicurezza IT in % del TCO</t>
  </si>
  <si>
    <t xml:space="preserve">Quota dei costi di sicurezza IT sul costo totale IT dei gruppi bancari nel 2024.</t>
  </si>
  <si>
    <t xml:space="preserve">I costi per la Sicurezza IT si attestano al 4,4%, valore che potrebbe essere sottorappresentato</t>
  </si>
  <si>
    <t xml:space="preserve">Letto da estratto indicizzato della pagina. La fonte segnala possibile sottostima per la difficoltà di isolare il costo.</t>
  </si>
  <si>
    <t xml:space="preserve">CLUSIT-RAPPORTO-2019</t>
  </si>
  <si>
    <t xml:space="preserve">Clusit, Associazione Italiana per la Sicurezza Informatica</t>
  </si>
  <si>
    <t xml:space="preserve">Rapporto Clusit 2019, capitolo Il mercato italiano della Sicurezza IT, analisi, prospettive e tendenze secondo IDC</t>
  </si>
  <si>
    <t xml:space="preserve">03/2019</t>
  </si>
  <si>
    <t xml:space="preserve">https://ofcs.report/wp-content/uploads/2019/03/Rapporto_Clusit_2019.pdf</t>
  </si>
  <si>
    <t xml:space="preserve">IDC Italia</t>
  </si>
  <si>
    <t xml:space="preserve">Appliances per la Sicurezza IT</t>
  </si>
  <si>
    <t xml:space="preserve">Valore delle appliance di sicurezza IT in Italia nel 2018 secondo IDC.</t>
  </si>
  <si>
    <t xml:space="preserve">Hardware di sicurezza (appliance)</t>
  </si>
  <si>
    <t xml:space="preserve">Dedotta. IDC dichiara di basare le stime su contatti diretti con gli operatori, comunicazioni dei vendor e knowledge base internazionale.</t>
  </si>
  <si>
    <t xml:space="preserve">Stime IDC basate su knowledge base internazionale, ricerca locale, contatti diretti con gli operatori e analisi delle comunicazioni, secondo tassonomie standard IDC.</t>
  </si>
  <si>
    <t xml:space="preserve">che nel 2018 hanno espresso un valore complessivo di circa 220 milioni di euro</t>
  </si>
  <si>
    <t xml:space="preserve">Registrazione richiesta</t>
  </si>
  <si>
    <t xml:space="preserve">Letto da estratto indicizzato della pagina. Copia del rapporto ospitata da ofcs.report, il rapporto Clusit si ottiene su richiesta. Valore approssimato dalla fonte.</t>
  </si>
  <si>
    <t xml:space="preserve">servizi di IT Consulting e System Integration per la sicurezza</t>
  </si>
  <si>
    <t xml:space="preserve">Valore dei servizi di sicurezza IT in Italia nel 2018 secondo IDC.</t>
  </si>
  <si>
    <t xml:space="preserve">Servizi professionali</t>
  </si>
  <si>
    <t xml:space="preserve">CAGR 2018-2021 circa 3%</t>
  </si>
  <si>
    <t xml:space="preserve">i servizi hanno un valore superiore ai 500 milioni di euro nel 2018</t>
  </si>
  <si>
    <t xml:space="preserve">Letto da estratto indicizzato della pagina. Valore indicato come soglia minima. Copia del rapporto ospitata da ofcs.report, il rapporto Clusit si ottiene su richiesta. Valore approssimato dalla fonte. Verifica finale 08/10/2026, valore confermato sulla fonte. Valore 2018 dei servizi confermato.</t>
  </si>
  <si>
    <t xml:space="preserve">Software per la Sicurezza IT</t>
  </si>
  <si>
    <t xml:space="preserve">Valore del software per la sicurezza IT in Italia nel 2018 secondo IDC.</t>
  </si>
  <si>
    <t xml:space="preserve">Software di sicurezza</t>
  </si>
  <si>
    <t xml:space="preserve">rappresenta in Italia un valore complessivo di circa 380 milioni di euro nel 2018</t>
  </si>
  <si>
    <t xml:space="preserve">CONFINDUSTRIA-CYBERINDEXPMI-2026</t>
  </si>
  <si>
    <t xml:space="preserve">Confindustria e Generali Italia, con supporto scientifico dell'Osservatorio Cybersecurity &amp; Data Protection del Politecnico di Milano</t>
  </si>
  <si>
    <t xml:space="preserve">Cyber Index PMI 2025, la maturità digitale è ancora lontana (articolo PMI.it)</t>
  </si>
  <si>
    <t xml:space="preserve">https://www.pmi.it/tecnologia/infrastrutture-it/490340/cyber-index-pmi-2025.html</t>
  </si>
  <si>
    <t xml:space="preserve">Rapporto Cyber Index PMI 2025 (Confindustria, Generali, Osservatorio Polimi)</t>
  </si>
  <si>
    <t xml:space="preserve">contributo delle PMI alla spesa complessiva in soluzioni e servizi di cybersecurity</t>
  </si>
  <si>
    <t xml:space="preserve">Quota delle PMI sulla spesa cyber italiana del 2025 nel perimetro del mercato Polimi da 2,78 miliardi.</t>
  </si>
  <si>
    <t xml:space="preserve">Misto</t>
  </si>
  <si>
    <t xml:space="preserve">Dedotta. La quota è riferita al mercato stimato dall'Osservatorio Polimi con metodo misto.</t>
  </si>
  <si>
    <t xml:space="preserve">Non dichiarata nell'estratto.</t>
  </si>
  <si>
    <t xml:space="preserve">Le PMI, inoltre, nel 2025 hanno contribuito per il 23% alla spesa complessiva in soluzioni e servizi di cybersecurity</t>
  </si>
  <si>
    <t xml:space="preserve">Letto da estratto indicizzato della pagina. Ripartizione dimensionale del mercato Polimi 2025. Il complemento alle grandi organizzazioni non è dichiarato.</t>
  </si>
  <si>
    <t xml:space="preserve">Rapporto Cyber Index PMI 2025, Executive Summary (terza edizione)</t>
  </si>
  <si>
    <t xml:space="preserve">12/03/2026</t>
  </si>
  <si>
    <t xml:space="preserve">https://www.confindustria.an.it/documenti/2026/03_Marzo/CyberIndexPMI2025_ExecutiveSummary.pdf</t>
  </si>
  <si>
    <t xml:space="preserve">quota del budget IT destinata alla cybersecurity (piccole e medie imprese)</t>
  </si>
  <si>
    <t xml:space="preserve">Quota media del budget IT di piccole e medie imprese destinata alla cybersecurity nel 2025.</t>
  </si>
  <si>
    <t xml:space="preserve">Piccole e medie imprese</t>
  </si>
  <si>
    <t xml:space="preserve">Survey su un campione di 1500 piccole e medie imprese italiane. Modalità di calcolo della quota non dichiarata nell'estratto.</t>
  </si>
  <si>
    <t xml:space="preserve">il budget IT delle piccole imprese è cresciuto del 3,3%, quello delle medie imprese del 5,2%, di cui, mediamente, l'11% è destinato alla cybersecurity</t>
  </si>
  <si>
    <t xml:space="preserve">Letto da estratto indicizzato della pagina. Quota autodichiarata da survey, non confrontabile con rapporti di mercato. Documento ospitato da Confindustria Ancona. Verifica finale 08/10/2026, valore confermato sulla fonte. Quota 2025 confermata.</t>
  </si>
  <si>
    <t xml:space="preserve">IMARC-CYBEREU-2026</t>
  </si>
  <si>
    <t xml:space="preserve">Europe Cybersecurity Market Size and Industry Report 2034</t>
  </si>
  <si>
    <t xml:space="preserve">https://www.imarcgroup.com/europe-cybersecurity-market</t>
  </si>
  <si>
    <t xml:space="preserve">Country share (2025), Italy</t>
  </si>
  <si>
    <t xml:space="preserve">Quota dell'Italia sul mercato europeo della cybersecurity nel 2025 secondo IMARC.</t>
  </si>
  <si>
    <t xml:space="preserve">Italy's 14.2% reflects regulatory acceleration, creating an emergency cybersecurity procurement</t>
  </si>
  <si>
    <t xml:space="preserve">Letto da estratto indicizzato della pagina. Quota sul mercato europeo stimato da IMARC in 81,81 miliardi USD nel 2025. Verifica finale 08/10/2026, valore confermato sulla fonte. Quota Italia confermata. Lo stesso 14,2% compare in altre pagine IMARC non cyber, possibile valore di modello.</t>
  </si>
  <si>
    <t xml:space="preserve">KENRESEARCH-CYBERIT-2026</t>
  </si>
  <si>
    <t xml:space="preserve">Italy Cybersecurity and MSSP Market</t>
  </si>
  <si>
    <t xml:space="preserve">11/08/2026</t>
  </si>
  <si>
    <t xml:space="preserve">https://www.kenresearch.com/italy-cybersecurity-and-mssp-market</t>
  </si>
  <si>
    <t xml:space="preserve">Italy Cybersecurity and MSSP Market size</t>
  </si>
  <si>
    <t xml:space="preserve">Dimensione del mercato italiano cyber e MSSP nel 2020 secondo Ken Research.</t>
  </si>
  <si>
    <t xml:space="preserve">software, hardware, servizi professionali e servizi gestiti di sicurezza</t>
  </si>
  <si>
    <t xml:space="preserve">Valori dichiarati come modellati. Perimetro software, hardware, servizi professionali e gestiti venduti nel mercato italiano. Fonti e passaggi non dichiarati.</t>
  </si>
  <si>
    <t xml:space="preserve">|2020|$1,548 Mn|</t>
  </si>
  <si>
    <t xml:space="preserve">Letto da estratto indicizzato della pagina. La tabella della fonte etichetta tutti gli anni come Forecast e la crescita come modellata; anni fino al 2025 trattati come storici secondo il testo.</t>
  </si>
  <si>
    <t xml:space="preserve">Dimensione del mercato italiano cyber e MSSP nel 2021 secondo Ken Research.</t>
  </si>
  <si>
    <t xml:space="preserve">|2021|$1,752 Mn|</t>
  </si>
  <si>
    <t xml:space="preserve">Dimensione del mercato italiano cyber e MSSP nel 2022 secondo Ken Research.</t>
  </si>
  <si>
    <t xml:space="preserve">|2022|$2,091 Mn|</t>
  </si>
  <si>
    <t xml:space="preserve">Dimensione del mercato italiano cyber e MSSP nel 2023 secondo Ken Research.</t>
  </si>
  <si>
    <t xml:space="preserve">|2023|$2,430 Mn|</t>
  </si>
  <si>
    <t xml:space="preserve">Dimensione del mercato italiano cyber e MSSP nel 2024 secondo Ken Research.</t>
  </si>
  <si>
    <t xml:space="preserve">|2024|$2,802 Mn|</t>
  </si>
  <si>
    <t xml:space="preserve">Dimensione del mercato italiano cyber e MSSP nel 2025 secondo Ken Research.</t>
  </si>
  <si>
    <t xml:space="preserve">CAGR storico 2020-2025 15,20%</t>
  </si>
  <si>
    <t xml:space="preserve">The Italy Cybersecurity and MSSP Market was valued at USD 3,141 million in 2025</t>
  </si>
  <si>
    <t xml:space="preserve">Letto da estratto indicizzato della pagina. La tabella della fonte etichetta tutti gli anni come Forecast e la crescita come modellata; anni fino al 2025 trattati come storici secondo il testo. Verifica finale 08/10/2026, valore confermato sulla fonte.</t>
  </si>
  <si>
    <t xml:space="preserve">Dimensione del mercato italiano cyber e MSSP nel 2026 secondo Ken Research.</t>
  </si>
  <si>
    <t xml:space="preserve">|2026|$3,481 Mn|</t>
  </si>
  <si>
    <t xml:space="preserve">Dimensione del mercato italiano cyber e MSSP nel 2027 secondo Ken Research.</t>
  </si>
  <si>
    <t xml:space="preserve">|2027|$3,853 Mn|</t>
  </si>
  <si>
    <t xml:space="preserve">Dimensione del mercato italiano cyber e MSSP nel 2031 secondo Ken Research.</t>
  </si>
  <si>
    <t xml:space="preserve">From a 2025 base of USD 3,141 million, the market is forecast to reach approximately USD 5,703 million in 2031</t>
  </si>
  <si>
    <t xml:space="preserve">Dimensione del mercato italiano cyber e MSSP nel 2032 secondo Ken Research.</t>
  </si>
  <si>
    <t xml:space="preserve">CAGR 2025-2032 10,40%</t>
  </si>
  <si>
    <t xml:space="preserve">By 2032, the market is projected to reach USD 6,279 million, representing a 10.40% CAGR during 2025-2032</t>
  </si>
  <si>
    <t xml:space="preserve">MARKETSANDMARKETS-CYBERIT-2025</t>
  </si>
  <si>
    <t xml:space="preserve">Italy Cybersecurity Market Size, Share, Trends, Growth (2025-2030)</t>
  </si>
  <si>
    <t xml:space="preserve">https://www.marketsandmarkets.com/Market-Reports/geography/cyber-security-market/italy</t>
  </si>
  <si>
    <t xml:space="preserve">Italy Cybersecurity Market value</t>
  </si>
  <si>
    <t xml:space="preserve">Valore del mercato cyber italiano nel 2025 secondo MarketsandMarkets.</t>
  </si>
  <si>
    <t xml:space="preserve">The Italy Cybersecurity Market was valued at $5721.6 Million in 2025</t>
  </si>
  <si>
    <t xml:space="preserve">Letto da estratto indicizzato della pagina. Data di pubblicazione non indicata, edizione dedotta dall'anno base. Verifica finale 08/10/2026, valore confermato sulla fonte. Valore 2025 confermato.</t>
  </si>
  <si>
    <t xml:space="preserve">Valore previsto del mercato cyber italiano nel 2030 secondo MarketsandMarkets.</t>
  </si>
  <si>
    <t xml:space="preserve">CAGR 2025-2030 11,1%</t>
  </si>
  <si>
    <t xml:space="preserve">projected to reach to $9678.2 Million by 2030, representing a compound annual growth rate of 11.1%</t>
  </si>
  <si>
    <t xml:space="preserve">MORDOR-CYBERIT-2024</t>
  </si>
  <si>
    <t xml:space="preserve">Marché italien de la cybersécurité, taille du marché (édition 2024-2029)</t>
  </si>
  <si>
    <t xml:space="preserve">https://www.mordorintelligence.com/fr/industry-reports/italy-cybersecurity-market/market-size</t>
  </si>
  <si>
    <t xml:space="preserve">taille du marché italien de la cybersécurité</t>
  </si>
  <si>
    <t xml:space="preserve">Dimensione stimata del mercato cyber italiano nel 2024 nell'edizione precedente di Mordor.</t>
  </si>
  <si>
    <t xml:space="preserve">La taille du marché italien de la cybersécurité est estimée à 3,63 milliards USD en 2024</t>
  </si>
  <si>
    <t xml:space="preserve">Letto da estratto indicizzato della pagina. Incongruenza interna, la tabella della stessa pagina indica 3,99 miliardi nel 2024 e 6,42 nel 2029. Edizione superata dalla 2026. Verifica finale 08/10/2026, valore confermato sulla fonte. Valore confermato nel testo, ma la tabella della stessa pagina riporta 3,99 miliardi per il 2024.</t>
  </si>
  <si>
    <t xml:space="preserve">Dimensione prevista del mercato cyber italiano nel 2029 nell'edizione precedente di Mordor.</t>
  </si>
  <si>
    <t xml:space="preserve">CAGR 2024-2029 9,96%</t>
  </si>
  <si>
    <t xml:space="preserve">devrait atteindre 5,84 milliards USD dici 2029, avec un TCAC de 9,96 %</t>
  </si>
  <si>
    <t xml:space="preserve">MORDOR-CYBERIT-2026</t>
  </si>
  <si>
    <t xml:space="preserve">Italy Cybersecurity Market Size &amp; Forecast Report 2031</t>
  </si>
  <si>
    <t xml:space="preserve">https://www.mordorintelligence.com/industry-reports/italy-cybersecurity-market</t>
  </si>
  <si>
    <t xml:space="preserve">Italy cybersecurity market size</t>
  </si>
  <si>
    <t xml:space="preserve">Dimensione del mercato cyber italiano nel 2025 secondo Mordor Intelligence.</t>
  </si>
  <si>
    <t xml:space="preserve">The Italy cybersecurity market size was valued at USD 4.12 billion in 2025</t>
  </si>
  <si>
    <t xml:space="preserve">Letto da estratto indicizzato della pagina. Edizione con anno base 2025 e periodo di previsione 2026-2031, data esatta non indicata. Verifica finale 08/10/2026, valore confermato sulla fonte. Edizione Mordor con orizzonte 2026 2031.</t>
  </si>
  <si>
    <t xml:space="preserve">solutions share by offering</t>
  </si>
  <si>
    <t xml:space="preserve">Quota delle soluzioni sul mercato cyber italiano 2025 secondo Mordor Intelligence.</t>
  </si>
  <si>
    <t xml:space="preserve">By offering, solutions led with a 64.85% share in 2025, while services are forecast to grow at a 13.95% CAGR through 2031</t>
  </si>
  <si>
    <t xml:space="preserve">Dimensione stimata del mercato cyber italiano nel 2026 secondo Mordor Intelligence.</t>
  </si>
  <si>
    <t xml:space="preserve">estimated to grow from USD 4.65 billion in 2026 to reach USD 8.48 billion by 2031</t>
  </si>
  <si>
    <t xml:space="preserve">Dimensione prevista del mercato cyber italiano nel 2031 secondo Mordor Intelligence.</t>
  </si>
  <si>
    <t xml:space="preserve">CAGR 2026-2031 12,78%</t>
  </si>
  <si>
    <t xml:space="preserve">to reach USD 8.48 billion by 2031, at a CAGR of 12.78% during the forecast period (2026-2031)</t>
  </si>
  <si>
    <t xml:space="preserve">Letto da estratto indicizzato della pagina. Verifica finale 08/10/2026, valore confermato sulla fonte. Previsione 2031 nella stessa pagina.</t>
  </si>
  <si>
    <t xml:space="preserve">NETCONSULTING-BAROMETROCYBER-2021</t>
  </si>
  <si>
    <t xml:space="preserve">NetConsulting cube</t>
  </si>
  <si>
    <t xml:space="preserve">Barometro Cybersecurity 2021 (quinta edizione, articolo inno3)</t>
  </si>
  <si>
    <t xml:space="preserve">20/12/2021</t>
  </si>
  <si>
    <t xml:space="preserve">https://inno3.it/2021/12/20/barometro-cyber-cybersecurity-le-aziende-adottano-resiliency-plan/</t>
  </si>
  <si>
    <t xml:space="preserve">NetConsulting cube, Barometro Cybersecurity 2021</t>
  </si>
  <si>
    <t xml:space="preserve">spesa in cybersecurity, trend complessivo</t>
  </si>
  <si>
    <t xml:space="preserve">Stima della spesa cyber italiana 2021 di NetConsulting cube riportata in occasione del Barometro Cybersecurity.</t>
  </si>
  <si>
    <t xml:space="preserve">+12,4% sul 2020</t>
  </si>
  <si>
    <t xml:space="preserve">Dedotta. L'articolo non indica come è costruito il valore di spesa.</t>
  </si>
  <si>
    <t xml:space="preserve">Panel di 78 grandi aziende italiane di tutti i settori per la parte di survey. Costruzione del valore di spesa non dichiarata.</t>
  </si>
  <si>
    <t xml:space="preserve">cresce in Italia la spesa in cybersecurity, con un trend complessivo stimato per il 2021 in circa 1,4 miliardi di euro, in aumento del +12,4%</t>
  </si>
  <si>
    <t xml:space="preserve">Letto da estratto indicizzato della pagina. Stessa società che produce le stime cyber di Anitec-Assinform. Verifica finale 08/10/2026, valore confermato sulla fonte. Valore 2021 confermato.</t>
  </si>
  <si>
    <t xml:space="preserve">POLIMI-OSSCYBER-2018</t>
  </si>
  <si>
    <t xml:space="preserve">Osservatorio Cybersecurity &amp; Data Protection, School of Management del Politecnico di Milano</t>
  </si>
  <si>
    <t xml:space="preserve">GDPR e Security, un percorso impervio a trazione integrale (comunicato, Ricerca 2017, Osservatorio Information Security &amp; Privacy)</t>
  </si>
  <si>
    <t xml:space="preserve">https://www.osservatori.net/comunicato/cybersecurity-data-protection/gdpr-e-security-un-percorso-impervio-a-trazione-integrale/</t>
  </si>
  <si>
    <t xml:space="preserve">crescita del mercato information security</t>
  </si>
  <si>
    <t xml:space="preserve">Variazione annua del mercato italiano delle soluzioni di information security nel 2017.</t>
  </si>
  <si>
    <t xml:space="preserve">+12% 2017/2016</t>
  </si>
  <si>
    <t xml:space="preserve">soluzioni di security e servizi professionali e gestiti</t>
  </si>
  <si>
    <t xml:space="preserve">Dedotta. Il comunicato descrive solo le survey presso la domanda senza indicare come è stimato il valore di mercato.</t>
  </si>
  <si>
    <t xml:space="preserve">Survey a 1107 CISO, CSO e CIO di imprese italiane, indagine a 106 Risk Manager e a 313 professionisti data protection. Passaggi di stima del mercato non dichiarati.</t>
  </si>
  <si>
    <t xml:space="preserve">raggiunge un valore di 1,09 miliardi di euro, in crescita del 12% rispetto al 2016</t>
  </si>
  <si>
    <t xml:space="preserve">Letto da estratto indicizzato della pagina. Verifica finale 08/10/2026, valore confermato sulla fonte. Crescita 2017 su 2016 confermata.</t>
  </si>
  <si>
    <t xml:space="preserve">mercato delle soluzioni di information security</t>
  </si>
  <si>
    <t xml:space="preserve">Valore del mercato italiano delle soluzioni di information security nel 2017.</t>
  </si>
  <si>
    <t xml:space="preserve">+12% sul 2016</t>
  </si>
  <si>
    <t xml:space="preserve">Il mercato delle soluzioni di information security in Italia raggiunge un valore di 1,09 miliardi di euro, in crescita del 12%</t>
  </si>
  <si>
    <t xml:space="preserve">Letto da estratto indicizzato della pagina. Ricerca dell'Osservatorio Information Security &amp; Privacy, predecessore dell'Osservatorio Cybersecurity &amp; Data Protection. Data esatta del convegno non presente nell'estratto. Verifica finale 08/10/2026, valore confermato sulla fonte. Valore 2017 confermato.</t>
  </si>
  <si>
    <t xml:space="preserve">quota della spesa in information security delle grandi imprese</t>
  </si>
  <si>
    <t xml:space="preserve">Quota del mercato information security attribuita alle grandi imprese nel 2017.</t>
  </si>
  <si>
    <t xml:space="preserve">La spesa si concentra prevalentemente fra le grandi imprese (il 78% del totale)</t>
  </si>
  <si>
    <t xml:space="preserve">quota della spesa in information security delle PMI</t>
  </si>
  <si>
    <t xml:space="preserve">Quota del mercato information security attribuita alle piccole e medie imprese nel 2017.</t>
  </si>
  <si>
    <t xml:space="preserve">Le piccole e medie imprese si dividono soltanto una parte minoritaria della spesa in soluzioni di information security, pari al 22%</t>
  </si>
  <si>
    <t xml:space="preserve">Letto da estratto indicizzato della pagina. Verifica finale 08/10/2026, valore confermato sulla fonte. Quota PMI della spesa 2017 confermata.</t>
  </si>
  <si>
    <t xml:space="preserve">POLIMI-OSSCYBER-2019</t>
  </si>
  <si>
    <t xml:space="preserve">Information, Cyber Security e Privacy, aumentano gli investimenti (comunicato, Ricerca 2018)</t>
  </si>
  <si>
    <t xml:space="preserve">https://www.osservatori.net/comunicato/cybersecurity-data-protection/information-cyber-security-e-privacy-aumentano-gli-investimenti/</t>
  </si>
  <si>
    <t xml:space="preserve">crescita del mercato information security &amp; privacy</t>
  </si>
  <si>
    <t xml:space="preserve">Variazione annua del mercato italiano di information security e privacy nel 2018.</t>
  </si>
  <si>
    <t xml:space="preserve">+9% 2018/2017</t>
  </si>
  <si>
    <t xml:space="preserve">Dedotta. Il comunicato non descrive come è costruito il valore di mercato.</t>
  </si>
  <si>
    <t xml:space="preserve">Non dichiarata nell'estratto del comunicato.</t>
  </si>
  <si>
    <t xml:space="preserve">raggiungendo il valore di 1,19 miliardi di euro, in crescita del 9% (dopo il +12% fatto registrare nel 2017)</t>
  </si>
  <si>
    <t xml:space="preserve">mercato italiano delle soluzioni di information security &amp; privacy</t>
  </si>
  <si>
    <t xml:space="preserve">Valore del mercato italiano delle soluzioni di information security e privacy nel 2018.</t>
  </si>
  <si>
    <t xml:space="preserve">+9% sul 2017</t>
  </si>
  <si>
    <t xml:space="preserve">Il mercato italiano delle soluzioni di information security &amp; privacy nel 2018 continua a crescere, raggiungendo il valore di 1,19 miliardi di euro</t>
  </si>
  <si>
    <t xml:space="preserve">Letto da estratto indicizzato della pagina. Data esatta del convegno Winter is coming non presente nell'estratto. Verifica finale 08/10/2026, valore confermato sulla fonte. Valore 2018 confermato.</t>
  </si>
  <si>
    <t xml:space="preserve">quota della spesa complessiva delle grandi imprese</t>
  </si>
  <si>
    <t xml:space="preserve">Quota del mercato information security e privacy attribuita alle grandi imprese nel 2018.</t>
  </si>
  <si>
    <t xml:space="preserve">A trainare il mercato sono soprattutto le grandi imprese, con il 75% della spesa complessiva</t>
  </si>
  <si>
    <t xml:space="preserve">Letto da estratto indicizzato della pagina. Verifica finale 08/10/2026, valore confermato sulla fonte. Quota grandi imprese 2018 confermata.</t>
  </si>
  <si>
    <t xml:space="preserve">POLIMI-OSSCYBER-2020</t>
  </si>
  <si>
    <t xml:space="preserve">Ricerca 2019 Osservatorio Information Security &amp; Privacy (ripresa in articolo Cyberoo)</t>
  </si>
  <si>
    <t xml:space="preserve">12/02/2020</t>
  </si>
  <si>
    <t xml:space="preserve">https://cyberoo.com/news/sicurezza-informatica-in-italia-ricerca-osservatorio-information-security-privacy/</t>
  </si>
  <si>
    <t xml:space="preserve">Osservatorio Information Security &amp; Privacy, Politecnico di Milano, convegno Ricerca 2019 (comunicato non reperito su osservatori.net)</t>
  </si>
  <si>
    <t xml:space="preserve">crescita del mercato della sicurezza informatica</t>
  </si>
  <si>
    <t xml:space="preserve">Variazione annua del mercato italiano della sicurezza informatica nel 2019.</t>
  </si>
  <si>
    <t xml:space="preserve">+11% 2019/2018</t>
  </si>
  <si>
    <t xml:space="preserve">Dedotta. L'articolo non riporta la metodologia di stima.</t>
  </si>
  <si>
    <t xml:space="preserve">nel 2019 si attesta a 1,3 miliardi di euro, in crescita dell'11% rispetto all'anno scorso</t>
  </si>
  <si>
    <t xml:space="preserve">mercato della sicurezza informatica in Italia</t>
  </si>
  <si>
    <t xml:space="preserve">Valore del mercato italiano della sicurezza informatica nel 2019 secondo l'Osservatorio, riportato da un vendor.</t>
  </si>
  <si>
    <t xml:space="preserve">+11% sul 2018</t>
  </si>
  <si>
    <t xml:space="preserve">Letto da estratto indicizzato della pagina. Valore arrotondato. Una presentazione successiva dell'Osservatorio riporta 1.317 milioni per il 2019. Perimetro imprese più PA secondo il brief. Edizione denominata con l'anno di presentazione dei risultati. Verifica finale 08/10/2026, valore confermato sulla fonte. Valore 2019 confermato nella news Cyberoo.</t>
  </si>
  <si>
    <t xml:space="preserve">POLIMI-OSSCYBER-2021</t>
  </si>
  <si>
    <t xml:space="preserve">Il mercato della cybersecurity vale 1,37 miliardi di euro, +4% (comunicato Ricerca 2020, convegno Cybersecurity Odyssey, ripubblicato su ipresslive)</t>
  </si>
  <si>
    <t xml:space="preserve">02/2021</t>
  </si>
  <si>
    <t xml:space="preserve">https://www.ipresslive.it/it/ipress/comunicati/view/47361/</t>
  </si>
  <si>
    <t xml:space="preserve">Osservatorio Cybersecurity &amp; Data Protection, Politecnico di Milano (comunicato non reperito su osservatori.net)</t>
  </si>
  <si>
    <t xml:space="preserve">crescita della spesa in cybersecurity</t>
  </si>
  <si>
    <t xml:space="preserve">Variazione annua del mercato italiano della cybersecurity nel 2020.</t>
  </si>
  <si>
    <t xml:space="preserve">+4% 2020/2019</t>
  </si>
  <si>
    <t xml:space="preserve">Dedotta. Il comunicato non descrive la costruzione del valore.</t>
  </si>
  <si>
    <t xml:space="preserve">in crescita del 4% rispetto all'anno precedente (nel 2019 il mercato aveva segnato un +11% rispetto al 2018)</t>
  </si>
  <si>
    <t xml:space="preserve">quota Managed Services sulla spesa in servizi</t>
  </si>
  <si>
    <t xml:space="preserve">Quota dei servizi gestiti sul totale della spesa in servizi cyber nel 2020.</t>
  </si>
  <si>
    <t xml:space="preserve">Servizi gestiti (quota sui servizi)</t>
  </si>
  <si>
    <t xml:space="preserve">mentre il 49% riguarda i Managed Services, i servizi offerti in modo continuativo da fornitori esterni</t>
  </si>
  <si>
    <t xml:space="preserve">Letto da estratto indicizzato della pagina. Quota calcolata sul solo sottoinsieme dei servizi, non sul mercato totale.</t>
  </si>
  <si>
    <t xml:space="preserve">quota Professional Services sulla spesa in servizi</t>
  </si>
  <si>
    <t xml:space="preserve">Quota dei servizi professionali sul totale della spesa in servizi cyber nel 2020.</t>
  </si>
  <si>
    <t xml:space="preserve">Servizi professionali (quota sui servizi)</t>
  </si>
  <si>
    <t xml:space="preserve">Fra i servizi, il 51% della spesa è dedicato ai Professional Services</t>
  </si>
  <si>
    <t xml:space="preserve">Letto da estratto indicizzato della pagina. Quota calcolata sul solo sottoinsieme dei servizi, non sul mercato totale. Verifica finale 08/10/2026, valore confermato sulla fonte. Quota servizi professionali confermata.</t>
  </si>
  <si>
    <t xml:space="preserve">quota servizi professionali e gestiti</t>
  </si>
  <si>
    <t xml:space="preserve">Quota dei servizi professionali e gestiti sulla spesa cyber italiana del 2020.</t>
  </si>
  <si>
    <t xml:space="preserve">Servizi professionali e gestiti</t>
  </si>
  <si>
    <t xml:space="preserve">La spesa si divide quasi a metà fra le soluzioni di security, col 52% del mercato, e i servizi professionali e gestiti, col 48%</t>
  </si>
  <si>
    <t xml:space="preserve">quota soluzioni di security</t>
  </si>
  <si>
    <t xml:space="preserve">Quota delle soluzioni di security sulla spesa cyber italiana del 2020.</t>
  </si>
  <si>
    <t xml:space="preserve">Soluzioni di security</t>
  </si>
  <si>
    <t xml:space="preserve">spesa in soluzioni di cybersecurity</t>
  </si>
  <si>
    <t xml:space="preserve">Valore del mercato italiano della cybersecurity nel 2020 secondo il comunicato dell'Osservatorio.</t>
  </si>
  <si>
    <t xml:space="preserve">+4% sul 2019</t>
  </si>
  <si>
    <t xml:space="preserve">Nel 2020 la spesa in soluzioni di cybersecurity ha raggiunto un valore di 1,37 miliardi di euro, in crescita del 4%</t>
  </si>
  <si>
    <t xml:space="preserve">Letto da estratto indicizzato della pagina. Testo integrale del comunicato ripubblicato su piattaforma di distribuzione. Perimetro imprese più PA secondo il brief. Edizione denominata con l'anno di presentazione dei risultati. Verifica finale 08/10/2026, valore confermato sulla fonte. Valore 2020 confermato.</t>
  </si>
  <si>
    <t xml:space="preserve">POLIMI-OSSCYBER-2022</t>
  </si>
  <si>
    <t xml:space="preserve">Cybersecurity, aumentano le minacce ma anche gli investimenti (articolo su Ricerca 2021)</t>
  </si>
  <si>
    <t xml:space="preserve">11/05/2022</t>
  </si>
  <si>
    <t xml:space="preserve">https://officeautomation.soiel.it/cybersecurity-aumentano-le-minacce-ma-anche-gli-investimenti/</t>
  </si>
  <si>
    <t xml:space="preserve">Osservatorio Cybersecurity &amp; Data Protection, Politecnico di Milano, convegno Cybersecurity don't look up (02/2022)</t>
  </si>
  <si>
    <t xml:space="preserve">crescita del mercato della cybersecurity</t>
  </si>
  <si>
    <t xml:space="preserve">Variazione annua del mercato italiano della cybersecurity nel 2021 come pubblicata nell'edizione 2022.</t>
  </si>
  <si>
    <t xml:space="preserve">+13% 2021/2020</t>
  </si>
  <si>
    <t xml:space="preserve">Dedotta. L'articolo non riporta la metodologia.</t>
  </si>
  <si>
    <t xml:space="preserve">ha raggiunto infatti il valore di 1,55 miliardi di euro, registrando un +13% rispetto al 2020</t>
  </si>
  <si>
    <t xml:space="preserve">Letto da estratto indicizzato della pagina. Verifica finale 08/10/2026, valore confermato sulla fonte. Crescita 2021 sul 2020.</t>
  </si>
  <si>
    <t xml:space="preserve">mercato della cybersecurity in Italia</t>
  </si>
  <si>
    <t xml:space="preserve">Valore del mercato italiano della cybersecurity nel 2021 come pubblicato nell'edizione 2022.</t>
  </si>
  <si>
    <t xml:space="preserve">+13% sul 2020</t>
  </si>
  <si>
    <t xml:space="preserve">Nel 2021 il mercato della cybersecurity in Italia ha raggiunto infatti il valore di 1,55 miliardi di euro, registrando un +13%</t>
  </si>
  <si>
    <t xml:space="preserve">Letto da estratto indicizzato della pagina. Valore poi rivisto a 1.576 milioni e crescita a +15% nelle edizioni successive. Perimetro imprese più PA secondo il brief. Edizione denominata con l'anno di presentazione dei risultati. Verifica finale 08/10/2026, valore confermato sulla fonte. Articolo che riprende l'Osservatorio Polimi 2022.</t>
  </si>
  <si>
    <t xml:space="preserve">quota servizi professionali e servizi gestiti</t>
  </si>
  <si>
    <t xml:space="preserve">Quota dei servizi professionali e gestiti sul mercato cyber italiano del 2021.</t>
  </si>
  <si>
    <t xml:space="preserve">per il 48%, invece, da servizi professionali e servizi gestiti</t>
  </si>
  <si>
    <t xml:space="preserve">Quota delle soluzioni di security sul mercato cyber italiano del 2021.</t>
  </si>
  <si>
    <t xml:space="preserve">oggi è composto per il 52% da soluzioni di security come Vulnerability Management e Penetration Testing</t>
  </si>
  <si>
    <t xml:space="preserve">rapporto tra spesa in cybersecurity e PIL</t>
  </si>
  <si>
    <t xml:space="preserve">Rapporto tra spesa in cybersecurity e PIL italiano nel 2021.</t>
  </si>
  <si>
    <t xml:space="preserve">il rapporto tra spesa in cybersecurity e PIL resti però limitato (0,08%), all'ultimo posto tra i Paesi del G7</t>
  </si>
  <si>
    <t xml:space="preserve">POLIMI-OSSCYBER-2023</t>
  </si>
  <si>
    <t xml:space="preserve">Cybersecurity, aumentano gli attacchi informatici (articolo Teleborsa su Ricerca 2022)</t>
  </si>
  <si>
    <t xml:space="preserve">23/02/2023</t>
  </si>
  <si>
    <t xml:space="preserve">https://finanza.lastampa.it/News/2023/02/23/cybersecurity-aumentano-gli-attacchi-informatici-danni-tangibili-per-1-impresa-su-7/OTdfMjAyMy0wMi0yM19UTEI</t>
  </si>
  <si>
    <t xml:space="preserve">crescita del mercato della cybersecurity (revisione 2021)</t>
  </si>
  <si>
    <t xml:space="preserve">Variazione annua del mercato cyber nel 2021 come rivista nell'edizione 2023.</t>
  </si>
  <si>
    <t xml:space="preserve">+15% 2021/2020</t>
  </si>
  <si>
    <t xml:space="preserve">Il mercato della cybersecurity, dopo la crescita del 15% del 2021, conosce un'ulteriore spinta del 18% nel 2022</t>
  </si>
  <si>
    <t xml:space="preserve">Letto da estratto indicizzato della pagina. Revisione rispetto al +13% pubblicato nell'edizione 2022.</t>
  </si>
  <si>
    <t xml:space="preserve">Variazione annua del mercato italiano della cybersecurity nel 2022.</t>
  </si>
  <si>
    <t xml:space="preserve">+18% 2022/2021</t>
  </si>
  <si>
    <t xml:space="preserve">nel 2022 il mercato italiano della cybersecurity raggiunge il valore di 1,86 miliardi di euro, con un'accelerazione eccezionale del +18%</t>
  </si>
  <si>
    <t xml:space="preserve">mercato italiano della cybersecurity</t>
  </si>
  <si>
    <t xml:space="preserve">Valore del mercato italiano della cybersecurity nel 2022.</t>
  </si>
  <si>
    <t xml:space="preserve">+18% sul 2021</t>
  </si>
  <si>
    <t xml:space="preserve">conosce un'ulteriore spinta del 18% nel 2022 ... raggiungendo il valore di 1.855 milioni di euro</t>
  </si>
  <si>
    <t xml:space="preserve">Letto da estratto indicizzato della pagina. Nel comunicato anche arrotondato a 1,86 miliardi. Perimetro imprese più PA secondo il brief. Edizione denominata con l'anno di presentazione dei risultati. Verifica finale 08/10/2026, valore confermato sulla fonte. Valore 2022 dell'Osservatorio PoliMi confermato nell'articolo.</t>
  </si>
  <si>
    <t xml:space="preserve">quota investimenti Cloud Security</t>
  </si>
  <si>
    <t xml:space="preserve">Quota della spesa cyber 2022 destinata a Cloud Security.</t>
  </si>
  <si>
    <t xml:space="preserve">Cloud Security</t>
  </si>
  <si>
    <t xml:space="preserve">seguita da Endpoint Security (23%) e Cloud Security (14%)</t>
  </si>
  <si>
    <t xml:space="preserve">quota investimenti Endpoint Security</t>
  </si>
  <si>
    <t xml:space="preserve">Quota della spesa cyber 2022 destinata a Endpoint Security.</t>
  </si>
  <si>
    <t xml:space="preserve">Endpoint Security</t>
  </si>
  <si>
    <t xml:space="preserve">quota investimenti Network &amp; Wireless Security</t>
  </si>
  <si>
    <t xml:space="preserve">Quota della spesa cyber 2022 destinata a Network e Wireless Security.</t>
  </si>
  <si>
    <t xml:space="preserve">Network &amp; Wireless Security</t>
  </si>
  <si>
    <t xml:space="preserve">Al primo posto la categoria di Network &amp; Wireless Security con il 26% di investimenti</t>
  </si>
  <si>
    <t xml:space="preserve">Rapporto tra spesa in cybersecurity e PIL italiano nel 2022.</t>
  </si>
  <si>
    <t xml:space="preserve">Il rapporto tra spesa in cybersecurity e PIL in Italia si attesta allo 0,10%, in lieve crescita rispetto allo 0,08%</t>
  </si>
  <si>
    <t xml:space="preserve">Letto da estratto indicizzato della pagina. Verifica finale 08/10/2026, valore confermato sulla fonte. Rapporto 2022 confermato nell'articolo.</t>
  </si>
  <si>
    <t xml:space="preserve">POLIMI-OSSCYBER-2024</t>
  </si>
  <si>
    <t xml:space="preserve">Record per il mercato italiano della cybersecurity, 2,15 miliardi di euro, +16% (comunicato Ricerca 2023)</t>
  </si>
  <si>
    <t xml:space="preserve">22/02/2024</t>
  </si>
  <si>
    <t xml:space="preserve">https://www.osservatori.net/comunicato/cybersecurity-data-protection/cybersecurity-italia-mercato-crescita-2023/</t>
  </si>
  <si>
    <t xml:space="preserve">Variazione annua del mercato italiano della cybersecurity nel 2023.</t>
  </si>
  <si>
    <t xml:space="preserve">+16% 2023/2022</t>
  </si>
  <si>
    <t xml:space="preserve">Triplice prospettiva dichiarata. Top-down con interviste a oltre 100 vendor, bottom-up sulla variazione dei budget cyber delle organizzazioni end user stratificate per classe dimensionale e settore, fonti secondarie.</t>
  </si>
  <si>
    <t xml:space="preserve">2,15 miliardi di euro, +16% rispetto al 2022</t>
  </si>
  <si>
    <t xml:space="preserve">Valore del mercato italiano della cybersecurity nel 2023.</t>
  </si>
  <si>
    <t xml:space="preserve">+16% sul 2022</t>
  </si>
  <si>
    <t xml:space="preserve">nel 2023 il mercato italiano della cybersecurity ha raggiunto un record: 2,15 miliardi di euro, +16% rispetto al 2022</t>
  </si>
  <si>
    <t xml:space="preserve">Letto da estratto indicizzato della pagina. Data di presentazione ricavata da Teleborsa del 22/02/2024 che cita il convegno della mattina. Perimetro imprese più PA secondo il brief. Edizione denominata con l'anno di presentazione dei risultati. Verifica finale 08/10/2026, valore confermato sulla fonte.</t>
  </si>
  <si>
    <t xml:space="preserve">Rapporto tra spesa in cybersecurity e PIL italiano nel 2023.</t>
  </si>
  <si>
    <t xml:space="preserve">Il rapporto tra spesa in cybersecurity e PIL in Italia si attesta allo 0,12%, in crescita rispetto al 2022</t>
  </si>
  <si>
    <t xml:space="preserve">POLIMI-OSSCYBER-2025</t>
  </si>
  <si>
    <t xml:space="preserve">Dati sulla spesa nel settore della cybersicurezza (scheda MAECI con fonte Osservatorio Polimi 2024)</t>
  </si>
  <si>
    <t xml:space="preserve">https://www.esteri.it/wp-content/uploads/2025/05/cyber_sp.pdf</t>
  </si>
  <si>
    <t xml:space="preserve">Osservatorio Cybersecurity &amp; Data Protection, Politecnico di Milano, convegno Cyber divide (27/02/2025)</t>
  </si>
  <si>
    <t xml:space="preserve">dati sulla spesa nel settore della cybersicurezza (serie)</t>
  </si>
  <si>
    <t xml:space="preserve">Serie storica del mercato italiano della cybersecurity secondo l'edizione 2025 dell'Osservatorio.</t>
  </si>
  <si>
    <t xml:space="preserve">soluzioni, servizi, formazione, polizze cyber</t>
  </si>
  <si>
    <t xml:space="preserve">2021 2022 2023 2024 1.370 1.576 1.855 2.149 2.480 +15% +18% +16% +15%</t>
  </si>
  <si>
    <t xml:space="preserve">Letto da estratto indicizzato della pagina. Valori letti da grafico nella scheda MAECI con fonte Osservatorio Polimi 2024. Serie rivista rispetto ai valori pubblicati nelle singole edizioni.</t>
  </si>
  <si>
    <t xml:space="preserve">+15% sull'anno precedente</t>
  </si>
  <si>
    <t xml:space="preserve">Letto da estratto indicizzato della pagina. Valori letti da grafico nella scheda MAECI con fonte Osservatorio Polimi 2024. Serie rivista rispetto ai valori pubblicati nelle singole edizioni. Verifica finale 08/10/2026, valore confermato sulla fonte. Serie ripresa dall'Osservatorio Polimi 2024. L'estratto non descrive il metodo.</t>
  </si>
  <si>
    <t xml:space="preserve">+18% sull'anno precedente</t>
  </si>
  <si>
    <t xml:space="preserve">+16% sull'anno precedente</t>
  </si>
  <si>
    <t xml:space="preserve">Cresce il mercato della cybersecurity, 2,48 miliardi di euro, +15% (comunicato Ricerca 2024 ripreso da Teleborsa)</t>
  </si>
  <si>
    <t xml:space="preserve">27/02/2025</t>
  </si>
  <si>
    <t xml:space="preserve">https://finanza.repubblica.it/News/2025/02/27/cresce_il_mercato_della_cybersecurity_2_48_miliardi_di_euro_+15percento-45/</t>
  </si>
  <si>
    <t xml:space="preserve">Variazione annua del mercato italiano della cybersecurity nel 2024.</t>
  </si>
  <si>
    <t xml:space="preserve">+15% 2024/2023</t>
  </si>
  <si>
    <t xml:space="preserve">registra un incremento del 15%, dopo il +16% del 2023 e il +18% del 2022</t>
  </si>
  <si>
    <t xml:space="preserve">Letto da estratto indicizzato della pagina. Verifica finale 08/10/2026, valore confermato sulla fonte. Tasso di crescita 2024 confermato.</t>
  </si>
  <si>
    <t xml:space="preserve">crescita della spesa Logistica e trasporti</t>
  </si>
  <si>
    <t xml:space="preserve">Crescita 2024 della spesa cyber nel settore logistica e trasporti.</t>
  </si>
  <si>
    <t xml:space="preserve">Logistica e trasporti</t>
  </si>
  <si>
    <t xml:space="preserve">+25% 2024/2023</t>
  </si>
  <si>
    <t xml:space="preserve">crescono più della media comparti come Logistica e trasporti (+25%) e Servizi (+24%)</t>
  </si>
  <si>
    <t xml:space="preserve">Letto da estratto indicizzato della pagina. Verifica finale 08/10/2026, valore confermato sulla fonte. Crescita del comparto logistica e trasporti confermata.</t>
  </si>
  <si>
    <t xml:space="preserve">crescita della spesa Servizi</t>
  </si>
  <si>
    <t xml:space="preserve">Crescita 2024 della spesa cyber nel settore servizi.</t>
  </si>
  <si>
    <t xml:space="preserve">+24% 2024/2023</t>
  </si>
  <si>
    <t xml:space="preserve">Valore del mercato italiano della cybersecurity nel 2024.</t>
  </si>
  <si>
    <t xml:space="preserve">+15% sul 2023</t>
  </si>
  <si>
    <t xml:space="preserve">Cresce del 15%, infatti, il mercato italiano della cybersecurity, che nel 2024 raggiunge il valore di 2,48 miliardi di euro</t>
  </si>
  <si>
    <t xml:space="preserve">Letto da estratto indicizzato della pagina. Comunicato ripreso integralmente da Teleborsa. Perimetro imprese più PA secondo il brief. Edizione denominata con l'anno di presentazione dei risultati. Verifica finale 08/10/2026, valore confermato sulla fonte. Valore confermato, fonte Osservatorio Politecnico di Milano.</t>
  </si>
  <si>
    <t xml:space="preserve">Il mercato della cyber security cresce del 15%, ma le minacce crescono di più (articolo Cyber Security 360 sul convegno Polimi)</t>
  </si>
  <si>
    <t xml:space="preserve">https://www.cybersecurity360.it/news/il-mercato-della-cyber-security-cresce-del-15-ma-le-minacce-crescono-di-piu/</t>
  </si>
  <si>
    <t xml:space="preserve">quota investimenti in formazione</t>
  </si>
  <si>
    <t xml:space="preserve">Quota della formazione sulla spesa cyber 2024.</t>
  </si>
  <si>
    <t xml:space="preserve">Formazione</t>
  </si>
  <si>
    <t xml:space="preserve">Il fattore umano, così temuto sul piano dialettico, merita solo il 14% degli investimenti in formazione</t>
  </si>
  <si>
    <t xml:space="preserve">quota investimenti in servizi</t>
  </si>
  <si>
    <t xml:space="preserve">Quota dei servizi sulla spesa cyber 2024.</t>
  </si>
  <si>
    <t xml:space="preserve">Gli investimenti fatti nel 2024 sono soprattutto finalizzati ai servizi (41%) e alle soluzioni (37%)</t>
  </si>
  <si>
    <t xml:space="preserve">Letto da estratto indicizzato della pagina. Il comunicato Teleborsa riferisce il 41% agli investimenti delle grandi organizzazioni.</t>
  </si>
  <si>
    <t xml:space="preserve">quota investimenti in soluzioni</t>
  </si>
  <si>
    <t xml:space="preserve">Quota delle soluzioni tecnologiche sulla spesa cyber 2024.</t>
  </si>
  <si>
    <t xml:space="preserve">vista per componente di spesa, polizze</t>
  </si>
  <si>
    <t xml:space="preserve">Quota delle polizze cyber sulla spesa cyber 2024 nel perimetro dell'Osservatorio.</t>
  </si>
  <si>
    <t xml:space="preserve">Polizze cyber</t>
  </si>
  <si>
    <t xml:space="preserve">Vista per componente di spesa 8% 14% 37% 41% polizze formazione soluzioni servizi</t>
  </si>
  <si>
    <t xml:space="preserve">Letto da estratto indicizzato della pagina. Valori letti da grafico nella scheda MAECI. Il perimetro Polimi include premi assicurativi cyber, che il brief esclude dal perimetro.</t>
  </si>
  <si>
    <t xml:space="preserve">POLIMI-OSSCYBER-2026</t>
  </si>
  <si>
    <t xml:space="preserve">Cybersecurity in Italia, il mercato cresce del 12% (comunicato Ricerca 2025)</t>
  </si>
  <si>
    <t xml:space="preserve">02/2026</t>
  </si>
  <si>
    <t xml:space="preserve">https://www.osservatori.net/comunicato/cybersecurity-data-protection/cybersecurity-italia-mercato-crescita/</t>
  </si>
  <si>
    <t xml:space="preserve">Valore del mercato italiano della cybersecurity nel 2023 come riportato nell'edizione 2026.</t>
  </si>
  <si>
    <t xml:space="preserve">soluzioni tecnologiche e servizi, inclusi servizi gestiti</t>
  </si>
  <si>
    <t xml:space="preserve">tocca un valore di 2,78 miliardi di euro, dopo i 2,48 miliardi nel 2024 e 2,15 miliardi del 2023</t>
  </si>
  <si>
    <t xml:space="preserve">Letto da estratto indicizzato della pagina. Verifica finale 08/10/2026, valore confermato sulla fonte. Valore 2023 riportato nello stesso comunicato.</t>
  </si>
  <si>
    <t xml:space="preserve">Valore del mercato italiano della cybersecurity nel 2024 come riportato nell'edizione 2026.</t>
  </si>
  <si>
    <t xml:space="preserve">crescita Finance (Banche e Assicurazioni)</t>
  </si>
  <si>
    <t xml:space="preserve">Crescita 2025 della spesa cyber di banche e assicurazioni.</t>
  </si>
  <si>
    <t xml:space="preserve">Finance (banche e assicurazioni)</t>
  </si>
  <si>
    <t xml:space="preserve">+22% 2025/2024</t>
  </si>
  <si>
    <t xml:space="preserve">sono sopra la media anche i settori del Finance (Banche e Assicurazioni, +22%)</t>
  </si>
  <si>
    <t xml:space="preserve">Letto da estratto indicizzato della pagina. Verifica finale 08/10/2026, valore confermato sulla fonte. Crescita settoriale 2025.</t>
  </si>
  <si>
    <t xml:space="preserve">crescita Logistica e Trasporti</t>
  </si>
  <si>
    <t xml:space="preserve">Crescita 2025 della spesa cyber del settore logistica e trasporti.</t>
  </si>
  <si>
    <t xml:space="preserve">+18% 2025/2024</t>
  </si>
  <si>
    <t xml:space="preserve">e quello di Logistica e Trasporti (+18%)</t>
  </si>
  <si>
    <t xml:space="preserve">crescita Pubblica Amministrazione</t>
  </si>
  <si>
    <t xml:space="preserve">Crescita 2025 della spesa cyber della Pubblica Amministrazione.</t>
  </si>
  <si>
    <t xml:space="preserve">+28% 2025/2024</t>
  </si>
  <si>
    <t xml:space="preserve">L'espansione del mercato è trainata dalla Pubblica Amministrazione (+28%)</t>
  </si>
  <si>
    <t xml:space="preserve">Valore del mercato italiano della cybersecurity nel 2025.</t>
  </si>
  <si>
    <t xml:space="preserve">Il mercato italiano della cybersecurity nel 2025 tocca un valore di 2,78 miliardi di euro, dopo i 2,48 miliardi nel 2024</t>
  </si>
  <si>
    <t xml:space="preserve">Letto da estratto indicizzato della pagina. Perimetro imprese più PA secondo il brief. Edizione denominata con l'anno di presentazione dei risultati. Verifica finale 08/10/2026, valore confermato sulla fonte. Comunicato Osservatorio Polimi febbraio 2026.</t>
  </si>
  <si>
    <t xml:space="preserve">tasso di crescita del mercato</t>
  </si>
  <si>
    <t xml:space="preserve">Variazione annua del mercato italiano della cybersecurity nel 2025.</t>
  </si>
  <si>
    <t xml:space="preserve">+12% 2025/2024</t>
  </si>
  <si>
    <t xml:space="preserve">(+12%, che segue il +15% del 2024 e +16% del 2023)</t>
  </si>
  <si>
    <t xml:space="preserve">Letto da estratto indicizzato della pagina. Verifica finale 08/10/2026, valore confermato sulla fonte. Crescita 2025 sul 2024.</t>
  </si>
  <si>
    <t xml:space="preserve">(I) Cybersecurity €623.0</t>
  </si>
  <si>
    <t xml:space="preserve">STATISTA-CYBER-2024</t>
  </si>
  <si>
    <t xml:space="preserve">Statista (Market Insights)</t>
  </si>
  <si>
    <t xml:space="preserve">Italy, cybersecurity market revenue 2016-2029</t>
  </si>
  <si>
    <t xml:space="preserve">22/10/2024</t>
  </si>
  <si>
    <t xml:space="preserve">https://www.statista.com/forecasts/1499024/italy-cybersecurity-market-revenue</t>
  </si>
  <si>
    <t xml:space="preserve">Revenue of the cybersecurity market in Italy</t>
  </si>
  <si>
    <t xml:space="preserve">Ricavi previsti del mercato cyber italiano nel 2029 secondo Statista Market Insights.</t>
  </si>
  <si>
    <t xml:space="preserve">Testo generico Market Insights. Ricavi dei vendor primari a prezzi di fabbrica, IVA esclusa, inclusa spesa B2C, B2B e B2G, modellati su spesa in sicurezza e numero di cyberattacchi.</t>
  </si>
  <si>
    <t xml:space="preserve">the indicator is estimated to exceed 3.5 billion euros and therefore a new peak in 2029</t>
  </si>
  <si>
    <t xml:space="preserve">Letto da estratto indicizzato della pagina. Valore pubblicato come soglia (oltre 3,5 miliardi). Testo metodologico letto dalla pagina outlook statista.com/outlook/tmo/cybersecurity/italy. Valori annuali della pagina outlook non presenti negli estratti. Verifica finale 08/10/2026, valore confermato sulla fonte. Previsione 2029 confermata.</t>
  </si>
  <si>
    <t xml:space="preserve">MK-KIBERSTRAT-2023</t>
  </si>
  <si>
    <t xml:space="preserve">LV</t>
  </si>
  <si>
    <t xml:space="preserve">Lettonia</t>
  </si>
  <si>
    <t xml:space="preserve">Ministru kabinets (Aizsardzības ministrija)</t>
  </si>
  <si>
    <t xml:space="preserve">Par Latvijas kiberdrošības stratēģiju 2023.-2026. gadam</t>
  </si>
  <si>
    <t xml:space="preserve">28/03/2023</t>
  </si>
  <si>
    <t xml:space="preserve">https://m.likumi.lv/ta/id/340633-par-latvijas-kiberdrosibas-strategiju-20232026-gadam</t>
  </si>
  <si>
    <t xml:space="preserve">Kiberdrošības pārvaldības pilnveidošana, finansējums Aizsardzības ministrijas budžeta ietvaros</t>
  </si>
  <si>
    <t xml:space="preserve">Finanziamento annuo della strategia lettone di cybersecurity nel bilancio della Difesa.</t>
  </si>
  <si>
    <t xml:space="preserve">Tabella del finanziamento della strategia per anno nel bilancio del Ministero della Difesa, linea di azione governance della cybersecurity.</t>
  </si>
  <si>
    <t xml:space="preserve">1. Kiberdrošības pārvaldības pilnveidošana|4 031 872|5 210 269|5 611 654|5 611 654|20 465 449</t>
  </si>
  <si>
    <t xml:space="preserve">Il valore 2026 vale per il 2026 e anni successivi. Altre linee di azione hanno valore zero in tabella. Alcuni progetti sono classificati e non inclusi. Letto da estratto indicizzato della pagina.</t>
  </si>
  <si>
    <t xml:space="preserve">Il valore 2026 vale per il 2026 e anni successivi. Altre linee di azione hanno valore zero in tabella. Alcuni progetti sono classificati e non inclusi. Letto da estratto indicizzato della pagina. Verifica finale 08/10/2026, valore confermato sulla fonte. Finanziamento assegnato dalla strategia 2023 per il 2025.</t>
  </si>
  <si>
    <t xml:space="preserve">Kopā (nepārsniedzot)</t>
  </si>
  <si>
    <t xml:space="preserve">Finanziamento complessivo 2023-2026 della strategia lettone di cybersecurity nel bilancio della Difesa.</t>
  </si>
  <si>
    <t xml:space="preserve">Kiberdrošības pārvaldības pilnveidošana|4 031 872|5 210 269|5 611 654|5 611 654|20 465 449 (nepārsniedzot)</t>
  </si>
  <si>
    <t xml:space="preserve">Importo massimo cumulato 2023-2026, anno di chiusura 2026. Letto da estratto indicizzato della pagina. Verifica finale 08/10/2026, valore confermato sulla fonte. Totale cumulato 2023-2026.</t>
  </si>
  <si>
    <t xml:space="preserve">MK-ERAFKIBER-2025</t>
  </si>
  <si>
    <t xml:space="preserve">Ministru kabinets (VARAM)</t>
  </si>
  <si>
    <t xml:space="preserve">Valdība atbalsta būtiskas ES fondu investīcijas kiberdrošībā un militārās mobilitātes infrastruktūrā</t>
  </si>
  <si>
    <t xml:space="preserve">27/05/2025</t>
  </si>
  <si>
    <t xml:space="preserve">https://www.mk.gov.lv/lv/jaunums/valdiba-atbalsta-butiskas-es-fondu-investicijas-kiberdrosiba-un-militaras-mobilitates-infrastruktura</t>
  </si>
  <si>
    <t xml:space="preserve">ERAF finansējums kiberdrošības stiprināšanai</t>
  </si>
  <si>
    <t xml:space="preserve">Fondi FESR destinati alla cybersecurity di soluzioni e servizi ICT dello Stato lettone.</t>
  </si>
  <si>
    <t xml:space="preserve">Misura del Fondo europeo di sviluppo regionale per la cybersecurity di almeno sette soluzioni e servizi ICT statali.</t>
  </si>
  <si>
    <t xml:space="preserve">būs pieejams Eiropas Reģionālās attīstības fonda (ERAF) finansējums 33,3 miljoni eiro, lai nodrošinātu vismaz septiņu valsts IKT risinājumu</t>
  </si>
  <si>
    <t xml:space="preserve">Anno della decisione, periodo di attuazione non indicato nell'estratto. Fondi UE. Letto da estratto indicizzato della pagina. Verifica finale 08/10/2026, valore confermato sulla fonte. Valore confermato, fondi ERAF approvati il 27 maggio 2025 su più anni.</t>
  </si>
  <si>
    <t xml:space="preserve">NKC-CERTLV-2026</t>
  </si>
  <si>
    <t xml:space="preserve">Nacionālais kiberdrošības centrs</t>
  </si>
  <si>
    <t xml:space="preserve">CERT.LV spēju stiprināšanā ieguldīs 2,5 miljonus eiro (notizia)</t>
  </si>
  <si>
    <t xml:space="preserve">22/07/2026</t>
  </si>
  <si>
    <t xml:space="preserve">https://www.cyber.gov.lv/lv/zinas</t>
  </si>
  <si>
    <t xml:space="preserve">Ieguldījums CERT.LV spēju stiprināšanā</t>
  </si>
  <si>
    <t xml:space="preserve">Investimento per il rafforzamento delle capacità del CERT nazionale lettone annunciato nel 2026.</t>
  </si>
  <si>
    <t xml:space="preserve">22.07.2026 CERT.LV spēju stiprināšanā ieguldīs 2,5 miljonus eiro</t>
  </si>
  <si>
    <t xml:space="preserve">Letto solo dal titolo nell'elenco notizie. Periodo e fonte del finanziamento non visibili. Letto da estratto indicizzato della pagina. Verifica finale 08/10/2026, valore confermato sulla fonte. L'estratto riporta solo il titolo, periodo dell'investimento non indicato.</t>
  </si>
  <si>
    <t xml:space="preserve">KAM-KIBERPROGRAMA-2023</t>
  </si>
  <si>
    <t xml:space="preserve">LT</t>
  </si>
  <si>
    <t xml:space="preserve">Lituania</t>
  </si>
  <si>
    <t xml:space="preserve">Krašto apsaugos ministerija</t>
  </si>
  <si>
    <t xml:space="preserve">2023-2030 metų Nacionalinė kibernetinio saugumo plėtros programa</t>
  </si>
  <si>
    <t xml:space="preserve">20/09/2023</t>
  </si>
  <si>
    <t xml:space="preserve">https://kam.lt/duk/kibernetinio-saugumo-pletros-programa/</t>
  </si>
  <si>
    <t xml:space="preserve">2021-2027 m. Skaitmeninės Europos programos lėšos</t>
  </si>
  <si>
    <t xml:space="preserve">Fondi del programma Europa digitale destinati al programma lituano di cybersecurity.</t>
  </si>
  <si>
    <t xml:space="preserve">Programma di sviluppo approvata con delibera governativa 746 del 2023, finanziata con fondi RRF e Europa digitale.</t>
  </si>
  <si>
    <t xml:space="preserve">ir 3,7 mln. - 2021-2027 m. Skaitmeninės Europos programos lėšų.</t>
  </si>
  <si>
    <t xml:space="preserve">Importo cumulato sul periodo 2021-2027. Letto da estratto indicizzato della pagina. Verifica finale 08/10/2026, valore confermato sulla fonte. Importo confermato, riferito al periodo di programmazione 2021 2027.</t>
  </si>
  <si>
    <t xml:space="preserve">Ekonomikos gaivinimo ir atsparumo didinimo priemonės lėšos</t>
  </si>
  <si>
    <t xml:space="preserve">Fondi del dispositivo per la ripresa e la resilienza destinati al programma lituano di cybersecurity 2023-2030.</t>
  </si>
  <si>
    <t xml:space="preserve">Nacionalinei kibernetinio saugumo plėtros programai įgyvendinti numatyta 40,15 mln. Eur. Ekonomikos gaivinimo ir atsparumo didinimo priemonės lėšų</t>
  </si>
  <si>
    <t xml:space="preserve">Importo cumulato, anno di chiusura del programma 2030. Fondi UE. Pagina del ministero aggiornata nel 2025. Letto da estratto indicizzato della pagina.</t>
  </si>
  <si>
    <t xml:space="preserve">KAM-MVIKVIETIMAS-2025</t>
  </si>
  <si>
    <t xml:space="preserve">Kvietimas Labai mažų, mažų ir vidutinių įmonių kibernetinio atsparumo didinimas (įsakymas V-93)</t>
  </si>
  <si>
    <t xml:space="preserve">29/01/2025</t>
  </si>
  <si>
    <t xml:space="preserve">https://e-seimas.lrs.lt/rs/lasupplement/TAD/ca445401de4511ef8cdff2c320e69444/a6f1f679de8011ef8cdff2c320e69444/format/ISO_PDF/</t>
  </si>
  <si>
    <t xml:space="preserve">Projektams įgyvendinti skiriama finansinės paramos lėšų</t>
  </si>
  <si>
    <t xml:space="preserve">Dotazione del bando 2025 per la resilienza cyber di micro, piccole e medie imprese lituane.</t>
  </si>
  <si>
    <t xml:space="preserve">Bando per PMI, metà fondi Europa digitale e metà cofinanziamento nazionale, contributo fino al 75% dei costi.</t>
  </si>
  <si>
    <t xml:space="preserve">Pagal Kvietimą projektams įgyvendinti skiriama iki 540 000,00 Eur finansinės paramos lėšų</t>
  </si>
  <si>
    <t xml:space="preserve">Importo massimo, metà fondi UE. Letto da estratto indicizzato della pagina. Verifica finale 08/10/2026, valore confermato sulla fonte. Valore confermato, metà fondi Europa digitale e metà cofinanziamento nazionale.</t>
  </si>
  <si>
    <t xml:space="preserve">KAM-NKSC-2025</t>
  </si>
  <si>
    <t xml:space="preserve">Krašto apsaugos ministerija, Nacionalinis kibernetinio saugumo centras</t>
  </si>
  <si>
    <t xml:space="preserve">NKSC bukletas</t>
  </si>
  <si>
    <t xml:space="preserve">https://kam.lt/wp-content/uploads/2025/03/NKSC-BUKLETAS-FINAL-4.0.pdf</t>
  </si>
  <si>
    <t xml:space="preserve">2025 m. valdomas biudžetas</t>
  </si>
  <si>
    <t xml:space="preserve">Bilancio gestito nel 2025 dal Centro nazionale lituano di cybersecurity (NKSC).</t>
  </si>
  <si>
    <t xml:space="preserve">2025 m. valdomas biudžetas - 34 mln. Eur</t>
  </si>
  <si>
    <t xml:space="preserve">Probabilmente include progetti cofinanziati da fondi UE. Stanziamento, non spesa eseguita. Letto da estratto indicizzato della pagina. Verifica finale 08/10/2026, valore confermato sulla fonte. Bilancio gestito 2025 confermato.</t>
  </si>
  <si>
    <t xml:space="preserve">LRT-BIUDZETAS2024-2023</t>
  </si>
  <si>
    <t xml:space="preserve">LRT</t>
  </si>
  <si>
    <t xml:space="preserve">Gynybos finansavimas kitąmet sieks 2,71 proc. BVP, rodo biudžeto projektas</t>
  </si>
  <si>
    <t xml:space="preserve">05/10/2023</t>
  </si>
  <si>
    <t xml:space="preserve">https://www.lrt.lt/naujienos/lietuvoje/2/2093159/gynybos-finansavimas-kitamet-sieks-2-71-proc-bvp-rodo-biudzeto-projektas</t>
  </si>
  <si>
    <t xml:space="preserve">Finansų ministerija, 2024 metų valstybės biudžeto projektas (non consultato)</t>
  </si>
  <si>
    <t xml:space="preserve">Lėšos kibernetiniam saugumui stiprinti</t>
  </si>
  <si>
    <t xml:space="preserve">Fondi per il rafforzamento della cybersecurity nel progetto di bilancio statale lituano 2024.</t>
  </si>
  <si>
    <t xml:space="preserve">19 mln. eurų bus skirti kibernetiniam saugumui stiprinti, 30 mln. eurų - parengties galimai avarijai Astravo atominėje elektrinėje</t>
  </si>
  <si>
    <t xml:space="preserve">Progetto di bilancio, importo approvato non verificato. Letto da estratto indicizzato della pagina. Verifica finale 08/10/2026, valore confermato sulla fonte. Progetto di bilancio statale 2024 presentato nell'ottobre 2023.</t>
  </si>
  <si>
    <t xml:space="preserve">NKSC-ESPROJEKTAI-2024</t>
  </si>
  <si>
    <t xml:space="preserve">Nacionalinis kibernetinio saugumo centras</t>
  </si>
  <si>
    <t xml:space="preserve">ES projektai, Nacionalinės SOC/CSIRT modulinės sistemos sukūrimas</t>
  </si>
  <si>
    <t xml:space="preserve">15/10/2024</t>
  </si>
  <si>
    <t xml:space="preserve">https://www.nksc.lt/es_projektai.html</t>
  </si>
  <si>
    <t xml:space="preserve">Projekto vertė, Nacionalinės SOC/CSIRT modulinės sistemos sukūrimas</t>
  </si>
  <si>
    <t xml:space="preserve">Valore del progetto per il sistema nazionale modulare SOC e CSIRT a servizio dei soggetti NIS2.</t>
  </si>
  <si>
    <t xml:space="preserve">Valore del progetto cofinanziato dall'UE, durata 2024-2026.</t>
  </si>
  <si>
    <t xml:space="preserve">Projekto vertė: 17 002 995,92 Eur. Projekto pradžia - 2024-10-15 Projekto pabaiga - 2026-04-30</t>
  </si>
  <si>
    <t xml:space="preserve">Importo di progetto pluriennale, anno di chiusura 2026. Fondi RRF dedotti dalla pagina del programma. Letto da estratto indicizzato della pagina. Verifica finale 08/10/2026, valore confermato sulla fonte. Valore confermato. È il valore complessivo di un progetto pluriennale 2024 2026.</t>
  </si>
  <si>
    <t xml:space="preserve">(I) Transformation of public IT governance development of state cybersecurity €40.2</t>
  </si>
  <si>
    <t xml:space="preserve">LUBUDGET-CYBERDEFENSE-2024</t>
  </si>
  <si>
    <t xml:space="preserve">LU</t>
  </si>
  <si>
    <t xml:space="preserve">Lussemburgo</t>
  </si>
  <si>
    <t xml:space="preserve">Gouvernement du Grand-Duché de Luxembourg, Ministère des Finances (budget de l'État)</t>
  </si>
  <si>
    <t xml:space="preserve">Budget de l'État 2025, Défense, article su servizi di ciberdifesa (projet de budget e programmation pluriannuelle)</t>
  </si>
  <si>
    <t xml:space="preserve">10/2024</t>
  </si>
  <si>
    <t xml:space="preserve">https://budget.public.lu/lb/budget2025/am-detail.html?chpt=depenses&amp;dept=1&amp;sect=16</t>
  </si>
  <si>
    <t xml:space="preserve">Développements, locations, et acquisitions de services dans le domaine de la cyber défense</t>
  </si>
  <si>
    <t xml:space="preserve">Crediti del bilancio della Difesa per sviluppo, locazione e acquisto di servizi di ciberdifesa, anno 2023.</t>
  </si>
  <si>
    <t xml:space="preserve">Dedotta. Credito di bilancio per acquisti di servizi di ciberdifesa.</t>
  </si>
  <si>
    <t xml:space="preserve">Credito di bilancio dello Stato (Difesa); 2023 da conto, 2024 bilancio votato, 2025 progetto, 2026-2028 programmazione pluriennale.</t>
  </si>
  <si>
    <t xml:space="preserve">Développements, locations, et acquisitions de services dans le domaine de la cyber défense ... 2023: 1.270.191 €</t>
  </si>
  <si>
    <t xml:space="preserve">Solo acquisti di servizi di ciberdifesa militare; esclude personale. Natura riferita alla data odierna; 2024 e 2025 sono stanziamenti, non consuntivi. Letto da estratto indicizzato della pagina. Verifica finale 08/10/2026, valore confermato sulla fonte. Pagina dettaglio bilancio 2025, valore 2023.</t>
  </si>
  <si>
    <t xml:space="preserve">Crediti del bilancio della Difesa per sviluppo, locazione e acquisto di servizi di ciberdifesa, anno 2024.</t>
  </si>
  <si>
    <t xml:space="preserve">Développements, locations, et acquisitions de services dans le domaine de la cyber défense ... 2024: 2.853.750 €</t>
  </si>
  <si>
    <t xml:space="preserve">Solo acquisti di servizi di ciberdifesa militare; esclude personale. Natura riferita alla data odierna; 2024 e 2025 sono stanziamenti, non consuntivi. Letto da estratto indicizzato della pagina.</t>
  </si>
  <si>
    <t xml:space="preserve">Crediti del bilancio della Difesa per sviluppo, locazione e acquisto di servizi di ciberdifesa, anno 2025.</t>
  </si>
  <si>
    <t xml:space="preserve">Développements, locations, et acquisitions de services dans le domaine de la cyber défense ... 2025: 2.832.750 €</t>
  </si>
  <si>
    <t xml:space="preserve">Crediti del bilancio della Difesa per sviluppo, locazione e acquisto di servizi di ciberdifesa, anno 2026.</t>
  </si>
  <si>
    <t xml:space="preserve">Développements, locations, et acquisitions de services dans le domaine de la cyber défense ... 2026: 2.726.250 €</t>
  </si>
  <si>
    <t xml:space="preserve">Crediti del bilancio della Difesa per sviluppo, locazione e acquisto di servizi di ciberdifesa, anno 2027.</t>
  </si>
  <si>
    <t xml:space="preserve">Développements, locations, et acquisitions de services dans le domaine de la cyber défense ... 2027: 2.596.735 €</t>
  </si>
  <si>
    <t xml:space="preserve">Crediti del bilancio della Difesa per sviluppo, locazione e acquisto di servizi di ciberdifesa, anno 2028.</t>
  </si>
  <si>
    <t xml:space="preserve">Développements, locations, et acquisitions de services dans le domaine de la cyber défense ... 2028: 2.674.634 €</t>
  </si>
  <si>
    <t xml:space="preserve">LUBUDGET-LHC-2025</t>
  </si>
  <si>
    <t xml:space="preserve">Budget de l'État 2026, Ministère de l'Économie, article 41.011 (projet de budget e programmation pluriannuelle)</t>
  </si>
  <si>
    <t xml:space="preserve">https://budget.public.lu/lb/budget2026/am-detail.html?chpt=depenses&amp;dept=6&amp;sect=55</t>
  </si>
  <si>
    <t xml:space="preserve">Participation financière aux frais de fonctionnement du Groupement d'Intérêt Economique Luxembourg House of Cybersecurity (LHC)</t>
  </si>
  <si>
    <t xml:space="preserve">Contributo dello Stato al funzionamento della Luxembourg House of Cybersecurity, agenzia nazionale per la cybersecurity, anno 2024.</t>
  </si>
  <si>
    <t xml:space="preserve">Dedotta. Credito del bilancio dello Stato destinato a un'agenzia o a servizi di cybersecurity.</t>
  </si>
  <si>
    <t xml:space="preserve">Credito di bilancio dello Stato (Ministero dell'Economia); 2024 da conto, 2025 bilancio votato, 2026 progetto, 2027-2029 programmazione pluriennale.</t>
  </si>
  <si>
    <t xml:space="preserve">Participation financière aux frais de fonctionnement du Groupement d'Intérêt Economique "Luxembourg House of Cybersecurity" (LHC) ... 2024: 3.786.913 €</t>
  </si>
  <si>
    <t xml:space="preserve">Contributo statale al funzionamento della LHC (CIRCL e NC3 inclusi), non spesa cyber complessiva della PA. Il 2024 coincide con il Compte général de l'État 2024. Letto da estratto indicizzato della pagina. Verifica finale 08/10/2026, valore confermato sulla fonte. Contributo 2024 confermato.</t>
  </si>
  <si>
    <t xml:space="preserve">Contributo dello Stato al funzionamento della Luxembourg House of Cybersecurity, agenzia nazionale per la cybersecurity, anno 2025.</t>
  </si>
  <si>
    <t xml:space="preserve">Participation financière aux frais de fonctionnement du Groupement d'Intérêt Economique "Luxembourg House of Cybersecurity" (LHC) ... 2025: 4.591.500 €</t>
  </si>
  <si>
    <t xml:space="preserve">Contributo statale al funzionamento della LHC (CIRCL e NC3 inclusi), non spesa cyber complessiva della PA. Il 2024 coincide con il Compte général de l'État 2024. Stanziamento votato, non consuntivo. Letto da estratto indicizzato della pagina.</t>
  </si>
  <si>
    <t xml:space="preserve">Contributo dello Stato al funzionamento della Luxembourg House of Cybersecurity, agenzia nazionale per la cybersecurity, anno 2026.</t>
  </si>
  <si>
    <t xml:space="preserve">Participation financière aux frais de fonctionnement du Groupement d'Intérêt Economique "Luxembourg House of Cybersecurity" (LHC) ... 2026: 4.813.546 €</t>
  </si>
  <si>
    <t xml:space="preserve">Contributo statale al funzionamento della LHC (CIRCL e NC3 inclusi), non spesa cyber complessiva della PA. Il 2024 coincide con il Compte général de l'État 2024. Letto da estratto indicizzato della pagina.</t>
  </si>
  <si>
    <t xml:space="preserve">Contributo dello Stato al funzionamento della Luxembourg House of Cybersecurity, agenzia nazionale per la cybersecurity, anno 2027.</t>
  </si>
  <si>
    <t xml:space="preserve">Participation financière aux frais de fonctionnement du Groupement d'Intérêt Economique "Luxembourg House of Cybersecurity" (LHC) ... 2027: 5.105.004 €</t>
  </si>
  <si>
    <t xml:space="preserve">Contributo dello Stato al funzionamento della Luxembourg House of Cybersecurity, agenzia nazionale per la cybersecurity, anno 2028.</t>
  </si>
  <si>
    <t xml:space="preserve">Participation financière aux frais de fonctionnement du Groupement d'Intérêt Economique "Luxembourg House of Cybersecurity" (LHC) ... 2028: 5.436.475 €</t>
  </si>
  <si>
    <t xml:space="preserve">Contributo dello Stato al funzionamento della Luxembourg House of Cybersecurity, agenzia nazionale per la cybersecurity, anno 2029.</t>
  </si>
  <si>
    <t xml:space="preserve">Participation financière aux frais de fonctionnement du Groupement d'Intérêt Economique "Luxembourg House of Cybersecurity" (LHC) ... 2029: 5.459.216 €</t>
  </si>
  <si>
    <t xml:space="preserve">EC-DIGITALDECADEMT-2023</t>
  </si>
  <si>
    <t xml:space="preserve">MT</t>
  </si>
  <si>
    <t xml:space="preserve">Malta</t>
  </si>
  <si>
    <t xml:space="preserve">Commissione europea (Digital Decade 2023 country report Malta, depositato al Parlamento maltese)</t>
  </si>
  <si>
    <t xml:space="preserve">Report on the state of the Digital Decade 2023, Malta (documento parlamentare 02606)</t>
  </si>
  <si>
    <t xml:space="preserve">https://parlament.mt/media/125250/02606.pdf</t>
  </si>
  <si>
    <t xml:space="preserve">Cybersecurity Improvement Scheme budget</t>
  </si>
  <si>
    <t xml:space="preserve">Budget dello schema di finanziamento cyber per fornitori di servizi di e-commerce maltesi.</t>
  </si>
  <si>
    <t xml:space="preserve">Dedotta. Risorse pubbliche destinate all'attuazione della strategia, non ricavi dei fornitori.</t>
  </si>
  <si>
    <t xml:space="preserve">Importi dei fondi assegnati riportati nel rapporto, senza dettaglio temporale.</t>
  </si>
  <si>
    <t xml:space="preserve">The EUR 10 000 budget is managed by Tech.mt and promoted together with the MCA</t>
  </si>
  <si>
    <t xml:space="preserve">Letto da estratto indicizzato della pagina. Importo molto ridotto, citato per completezza come unico budget cyber dedicato alle imprese reperito per Malta. Verifica finale 08/10/2026, valore confermato sulla fonte. Schema Mind the Gap introdotto nel 2023.</t>
  </si>
  <si>
    <t xml:space="preserve">Digital Europe funds allocated to MITA to implement the strategy</t>
  </si>
  <si>
    <t xml:space="preserve">Fondi Digital Europe assegnati al centro nazionale di coordinamento MITA per attuare la strategia cyber maltese.</t>
  </si>
  <si>
    <t xml:space="preserve">has been allocated almost EUR 3 m in Digital Europe funds to implement the strategy</t>
  </si>
  <si>
    <t xml:space="preserve">Letto da estratto indicizzato della pagina. Valore approssimato. Copia del rapporto della Commissione depositata al Parlamento maltese. Periodo di utilizzo non indicato. Verifica finale 08/10/2026, valore confermato sulla fonte. Rapporto Digital Decade depositato al Parlamento maltese.</t>
  </si>
  <si>
    <t xml:space="preserve">NL</t>
  </si>
  <si>
    <t xml:space="preserve">Paesi Bassi</t>
  </si>
  <si>
    <t xml:space="preserve">Cybersecurity market size and dynamics by country, share Security services (Netherlands)</t>
  </si>
  <si>
    <t xml:space="preserve">Quota dei servizi di sicurezza sul mercato olandese della cybersecurity nel 2023 secondo BDO.</t>
  </si>
  <si>
    <t xml:space="preserve">Germany Netherlands Belgium ... 59% 41% 2023 57% 43% 2024</t>
  </si>
  <si>
    <t xml:space="preserve">Attribuzione ai servizi dedotta dal testo che indica la quota crescente delle soluzioni; letto da grafico. Letto da estratto indicizzato della pagina.</t>
  </si>
  <si>
    <t xml:space="preserve">CAGR 2025-2030 5,51%</t>
  </si>
  <si>
    <t xml:space="preserve">Netherlands €2.64 billion 5.51%</t>
  </si>
  <si>
    <t xml:space="preserve">Letto da estratto indicizzato della pagina. Riga paese da pagina multi-paese CBI. Valori Statista di aggiornamento non specificato, da confrontare con la pagina Statista del paese. Verifica finale 08/10/2026, valore confermato sulla fonte. Valore dei Paesi Bassi confermato nella tabella della pagina.</t>
  </si>
  <si>
    <t xml:space="preserve">Omvang Nederlandse cybersecuritymarkt</t>
  </si>
  <si>
    <t xml:space="preserve">Dimensione del mercato olandese della cybersecurity nel 2023 secondo BDO.</t>
  </si>
  <si>
    <t xml:space="preserve">Dedotta. Né l'articolo né l'estratto del rapporto descrivono la costruzione del dato.</t>
  </si>
  <si>
    <t xml:space="preserve">In 2023 kwam de omvang uit op €2,4 miljard.</t>
  </si>
  <si>
    <t xml:space="preserve">Il PDF BDO mostra per i Paesi Bassi una quota servizi del 59% nel 2023 ma l'estratto non riporta i valori. Letto da estratto indicizzato della pagina. Verifica finale 08/10/2026, valore confermato sulla fonte. Valore 2023 confermato nell'articolo su dati BDO.</t>
  </si>
  <si>
    <t xml:space="preserve">Omvang Nederlandse cybersecuritymarkt (huidig)</t>
  </si>
  <si>
    <t xml:space="preserve">Dimensione attuale del mercato olandese della cybersecurity secondo BDO, riferita al 2026.</t>
  </si>
  <si>
    <t xml:space="preserve">Momenteel heeft de markt een omvang van €3,1 miljard.</t>
  </si>
  <si>
    <t xml:space="preserve">Anno dedotto da momenteel nell'articolo di agosto 2026. Letto da estratto indicizzato della pagina. Verifica finale 08/10/2026, valore confermato sulla fonte. Valore attuale confermato, articolo del 2026.</t>
  </si>
  <si>
    <t xml:space="preserve">Omvang Nederlandse cybersecuritymarkt (2028)</t>
  </si>
  <si>
    <t xml:space="preserve">Previsione BDO del mercato olandese della cybersecurity al 2028.</t>
  </si>
  <si>
    <t xml:space="preserve">CAGR 8,1% 2023-2028</t>
  </si>
  <si>
    <t xml:space="preserve">Met een samengestelde groei van 8,1% bereikt de markt in 2028 een waarde van €3,5 miljard, voorspelt BDO.</t>
  </si>
  <si>
    <t xml:space="preserve">DIALOGIC-CYBERSECTOR-2023</t>
  </si>
  <si>
    <t xml:space="preserve">Dialogic per il Ministerie van Economische Zaken en Klimaat (EZK)</t>
  </si>
  <si>
    <t xml:space="preserve">De economische kansen van de cybersecuritysector (2023)</t>
  </si>
  <si>
    <t xml:space="preserve">https://dialogic.nl/wp-content/uploads/2023/06/economische-kansen-van-de-cybersecuritysector-7.pdf</t>
  </si>
  <si>
    <t xml:space="preserve">Omzet (€ mld.) cybersecuritysector</t>
  </si>
  <si>
    <t xml:space="preserve">Fatturato stimato del settore olandese della cybersecurity nel 2015.</t>
  </si>
  <si>
    <t xml:space="preserve">prodotti e servizi di cybersecurity delle imprese olandesi del settore</t>
  </si>
  <si>
    <t xml:space="preserve">Dedotta. Il valore stima il fatturato delle imprese del settore cybersecurity olandese.</t>
  </si>
  <si>
    <t xml:space="preserve">Stima del fatturato, del valore aggiunto e degli occupati del settore cybersecurity olandese 2015-2021, in continuità con lo studio SEO 2016; include una survey alle imprese. Passaggi di stima non nell'estratto.</t>
  </si>
  <si>
    <t xml:space="preserve">Omzet (€ mld.) 9,4 11,0 12,1 13,5 14,7 16,4 16,0 (2015-2021)</t>
  </si>
  <si>
    <t xml:space="preserve">Ricavi del settore (non mercato domestico). Valori letti da tabella. Letto da estratto indicizzato della pagina.</t>
  </si>
  <si>
    <t xml:space="preserve">Fatturato stimato del settore olandese della cybersecurity nel 2016.</t>
  </si>
  <si>
    <t xml:space="preserve">Fatturato stimato del settore olandese della cybersecurity nel 2017.</t>
  </si>
  <si>
    <t xml:space="preserve">Ricavi del settore (non mercato domestico). Valori letti da tabella. Letto da estratto indicizzato della pagina. Verifica finale 08/10/2026, valore confermato sulla fonte. Valore 2017 della tabella 1 del rapporto Dialogic.</t>
  </si>
  <si>
    <t xml:space="preserve">Fatturato stimato del settore olandese della cybersecurity nel 2018.</t>
  </si>
  <si>
    <t xml:space="preserve">Fatturato stimato del settore olandese della cybersecurity nel 2019.</t>
  </si>
  <si>
    <t xml:space="preserve">https://cyberveilignederland.nl/upload/userfiles/files/economische-kansen-van-de-cybersecuritysector(1).pdf</t>
  </si>
  <si>
    <t xml:space="preserve">Omzet cybersecuritysector 2020 (stima ampia)</t>
  </si>
  <si>
    <t xml:space="preserve">Fatturato del settore olandese della cybersecurity nel 2020 secondo la sintesi dello stesso rapporto.</t>
  </si>
  <si>
    <t xml:space="preserve">In 2020 draaide de sector een omzet van €26 miljard, behaalde een toegevoegde waarde van bijna €13 miljard en kende de sector ruim 130.000 werknemers.</t>
  </si>
  <si>
    <t xml:space="preserve">Copia del rapporto ospitata da Cyberveilig Nederland. Valore incoerente con la tabella dello stesso rapporto (16,4 miliardi nel 2020); la pagina progetto Dialogic indica oltre 25 miliardi. Probabile perimetro più ampio. Letto da estratto indicizzato della pagina. Verifica finale 08/10/2026, valore confermato sulla fonte. Fatturato 2020 confermato. Lo stesso documento riporta anche una stima di 16 miliardi per il 2021.</t>
  </si>
  <si>
    <t xml:space="preserve">Fatturato stimato del settore olandese della cybersecurity nel 2020.</t>
  </si>
  <si>
    <t xml:space="preserve">Fatturato stimato del settore olandese della cybersecurity nel 2021.</t>
  </si>
  <si>
    <t xml:space="preserve">Ricavi del settore (non mercato domestico). Valori letti da tabella. Letto da estratto indicizzato della pagina. Verifica finale 08/10/2026, valore confermato sulla fonte. Valore 2021 della tabella 1.</t>
  </si>
  <si>
    <t xml:space="preserve">Toegevoegde waarde cybersecuritysector</t>
  </si>
  <si>
    <t xml:space="preserve">Valore aggiunto stimato del settore olandese della cybersecurity nel 2021, pari allo 0,94 per cento del PIL.</t>
  </si>
  <si>
    <t xml:space="preserve">De toegevoegde waarde ligt rond de 7,5 miljard euro, wat overeenkomt met 0,94% van het BBP.</t>
  </si>
  <si>
    <t xml:space="preserve">Valore aggiunto approssimato (rond). Letto da estratto indicizzato della pagina. Verifica finale 08/10/2026, valore confermato sulla fonte. Valore aggiunto 2021 del settore cyber olandese.</t>
  </si>
  <si>
    <t xml:space="preserve">MARKETSANDMARKETS-INDCYBERNL-2025</t>
  </si>
  <si>
    <t xml:space="preserve">Netherlands Industrial Cybersecurity Market (2024-2029)</t>
  </si>
  <si>
    <t xml:space="preserve">https://www.marketsandmarkets.com/Market-Reports/geography/industrial-cybersecurity-market/netherlands</t>
  </si>
  <si>
    <t xml:space="preserve">Netherlands Industrial Cybersecurity Market</t>
  </si>
  <si>
    <t xml:space="preserve">Mercato olandese della cybersecurity industriale e OT nel 2024.</t>
  </si>
  <si>
    <t xml:space="preserve">Cybersecurity industriale e OT</t>
  </si>
  <si>
    <t xml:space="preserve">Testo generico dell'editore, somma dei ricavi dei fornitori di soluzioni e servizi, validazione top-down e interviste a dirigenti ed esperti.</t>
  </si>
  <si>
    <t xml:space="preserve">The Netherlands Industrial Cybersecurity Market was valued at $1026.4 Million in 2024</t>
  </si>
  <si>
    <t xml:space="preserve">Netherlands Industrial Cybersecurity Market (2029)</t>
  </si>
  <si>
    <t xml:space="preserve">Previsione del mercato olandese della cybersecurity industriale e OT al 2029.</t>
  </si>
  <si>
    <t xml:space="preserve">CAGR 2024-2029 9,6%</t>
  </si>
  <si>
    <t xml:space="preserve">projected to reach to $1626 Million by 2029, representing a compound annual growth rate of 9.6%.</t>
  </si>
  <si>
    <t xml:space="preserve">MORDOR-CYBERNL-2026</t>
  </si>
  <si>
    <t xml:space="preserve">Netherlands Cybersecurity Market Size &amp; Share Analysis (2026-2031)</t>
  </si>
  <si>
    <t xml:space="preserve">https://www.mordorintelligence.com/industry-reports/netherlands-cybersecurity-market</t>
  </si>
  <si>
    <t xml:space="preserve">Base Year Market Size (2025)</t>
  </si>
  <si>
    <t xml:space="preserve">Dimensione del mercato olandese della cybersecurity nell'anno base 2025.</t>
  </si>
  <si>
    <t xml:space="preserve">Stima con quadro proprietario aggiornato al 2026; mercato definito come spesa in soluzioni, software e servizi, escluse sicurezza fisica e consulenza pura.</t>
  </si>
  <si>
    <t xml:space="preserve">Base Year Market Size (2025) USD 2.36 Billion</t>
  </si>
  <si>
    <t xml:space="preserve">Letto da estratto indicizzato della pagina. Verifica finale 08/10/2026, valore confermato sulla fonte. Valore 2025 confermato nella tabella della pagina.</t>
  </si>
  <si>
    <t xml:space="preserve">BFSI revenue share</t>
  </si>
  <si>
    <t xml:space="preserve">Quota del settore bancario, finanziario e assicurativo sul mercato olandese della cybersecurity nel 2025.</t>
  </si>
  <si>
    <t xml:space="preserve">By end-user vertical, BFSI led with 26.73% revenue share in 2025</t>
  </si>
  <si>
    <t xml:space="preserve">Large enterprises share</t>
  </si>
  <si>
    <t xml:space="preserve">Quota delle grandi imprese sul mercato olandese della cybersecurity nel 2025.</t>
  </si>
  <si>
    <t xml:space="preserve">By organisation size, large enterprises held 72.65% of Netherlands cybersecurity market share in 2025</t>
  </si>
  <si>
    <t xml:space="preserve">Solutions share</t>
  </si>
  <si>
    <t xml:space="preserve">Quota delle soluzioni sul mercato olandese della cybersecurity nel 2025.</t>
  </si>
  <si>
    <t xml:space="preserve">By offering, solutions led with 61.38% of Netherlands cybersecurity market share in 2025</t>
  </si>
  <si>
    <t xml:space="preserve">Market Size (2026)</t>
  </si>
  <si>
    <t xml:space="preserve">Dimensione del mercato olandese della cybersecurity nel 2026.</t>
  </si>
  <si>
    <t xml:space="preserve">Market Size (2026) USD 2.54 Billion</t>
  </si>
  <si>
    <t xml:space="preserve">Letto da estratto indicizzato della pagina. Verifica finale 08/10/2026, valore confermato sulla fonte. Valore 2026 confermato nella tabella della pagina.</t>
  </si>
  <si>
    <t xml:space="preserve">Market Size (2031)</t>
  </si>
  <si>
    <t xml:space="preserve">Previsione del mercato olandese della cybersecurity al 2031.</t>
  </si>
  <si>
    <t xml:space="preserve">CAGR 2026-2031 8,28%</t>
  </si>
  <si>
    <t xml:space="preserve">Market Size (2031) USD 3.78 Billion Growth Rate (2026 - 2031) 8.28 %</t>
  </si>
  <si>
    <t xml:space="preserve">NCTV-NCSA-2018</t>
  </si>
  <si>
    <t xml:space="preserve">Nationaal Coördinator Terrorismebestrijding en Veiligheid (NCTV)</t>
  </si>
  <si>
    <t xml:space="preserve">Nederlandse Cybersecurity Agenda (NCSA)</t>
  </si>
  <si>
    <t xml:space="preserve">https://www.ncsc.nl/binaries/ncsc/documenten/publicaties/2019/mei/01/nederlandse-cybersecurity-agenda/CSAgenda_def_web_tcm31-322330.pdf</t>
  </si>
  <si>
    <t xml:space="preserve">Structurele investering in cybersecurity (regeerakkoord)</t>
  </si>
  <si>
    <t xml:space="preserve">Investimento strutturale annuo in cybersecurity fissato dall'accordo di governo 2017 e ripartito tra più ministeri.</t>
  </si>
  <si>
    <t xml:space="preserve">Dedotta. Bilancio pubblico destinato ad agenzie e politiche di cybersecurity.</t>
  </si>
  <si>
    <t xml:space="preserve">Dotazione programmata dall'accordo di governo; ripartita tra Giustizia e Sicurezza, Difesa, Interno, Esteri, Infrastrutture ed Economia.</t>
  </si>
  <si>
    <t xml:space="preserve">Daarom hebben we in het regeerakkoord een structurele investering van 95 miljoen euro in cybersecurity vastgelegd.</t>
  </si>
  <si>
    <t xml:space="preserve">Importo annuo a regime raggiunto in modo progressivo; anno di regime non dichiarato, registrato sull'anno di pubblicazione. Letto da estratto indicizzato della pagina.</t>
  </si>
  <si>
    <t xml:space="preserve">TK-BEGROTINGJENV2024-2023</t>
  </si>
  <si>
    <t xml:space="preserve">Tweede Kamer der Staten-Generaal (Ministerie van Justitie en Veiligheid)</t>
  </si>
  <si>
    <t xml:space="preserve">Begroting Justitie en Veiligheid 2024, Kamerstuk 36 410 VI nr. 27</t>
  </si>
  <si>
    <t xml:space="preserve">https://www.tweedekamer.nl/downloads/document?id=2024D01957</t>
  </si>
  <si>
    <t xml:space="preserve">Totale budget cybersecurity (begroting JenV)</t>
  </si>
  <si>
    <t xml:space="preserve">Bilancio complessivo per la cybersecurity nel bilancio del Ministero della Giustizia e Sicurezza nel 2023.</t>
  </si>
  <si>
    <t xml:space="preserve">Risposte del ministero a quesiti parlamentari sul bilancio. Non dichiarata.</t>
  </si>
  <si>
    <t xml:space="preserve">In 2023 bedraagt het totale budget € 52.8 miljoen en vanaf 2024 € 54 miljoen.</t>
  </si>
  <si>
    <t xml:space="preserve">Il budget NCSC esclude gli incarichi finanziati da altri ministeri. Il totale cyber JenV non include altri ministeri (AIVD, MIVD). Letto da estratto indicizzato della pagina.</t>
  </si>
  <si>
    <t xml:space="preserve">Budgettaire ruimte NCSC (aanschrijving 2024)</t>
  </si>
  <si>
    <t xml:space="preserve">Spazio di bilancio dell'NCSC per i compiti esistenti fissato per il 2024.</t>
  </si>
  <si>
    <t xml:space="preserve">De budgettaire ruimte voor het NCSC is, op basis van de bestaande taken van de organisatie, in de aanschrijving 2024 vastgesteld op € 56,3 miljoen.</t>
  </si>
  <si>
    <t xml:space="preserve">Il budget NCSC esclude gli incarichi finanziati da altri ministeri. Il totale cyber JenV non include altri ministeri (AIVD, MIVD). Letto da estratto indicizzato della pagina. Verifica finale 08/10/2026, valore confermato sulla fonte. Risposta parlamentare sul bilancio JenV 2024.</t>
  </si>
  <si>
    <t xml:space="preserve">Bilancio complessivo per la cybersecurity nel bilancio del Ministero della Giustizia e Sicurezza dal 2024.</t>
  </si>
  <si>
    <t xml:space="preserve">Il budget NCSC esclude gli incarichi finanziati da altri ministeri. Il totale cyber JenV non include altri ministeri (AIVD, MIVD). Letto da estratto indicizzato della pagina. Verifica finale 08/10/2026, valore confermato sulla fonte. Budget cybersecurity strutturale JenV dal 2024.</t>
  </si>
  <si>
    <t xml:space="preserve">Investering kabinet in economische veiligheid, cybersecurity en vitale infrastructuur (structureel 2027)</t>
  </si>
  <si>
    <t xml:space="preserve">Investimento strutturale del governo a regime nel 2027 per servizi di intelligence, NCSC, sicurezza economica, cybersecurity e infrastrutture vitali.</t>
  </si>
  <si>
    <t xml:space="preserve">da 60 milioni nel 2022</t>
  </si>
  <si>
    <t xml:space="preserve">Dotazione programmata dall'accordo di coalizione. Non dichiarata.</t>
  </si>
  <si>
    <t xml:space="preserve">Het kabinet heeft in een oplopende reeks geïnvesteerd, vanaf € 60 miljoen in 2022 tot 300 miljoen structureel in 2027</t>
  </si>
  <si>
    <t xml:space="preserve">Perimetro più ampio della cybersecurity (intelligence e sicurezza economica); la quota digitale è 111 milioni. Letto da estratto indicizzato della pagina.</t>
  </si>
  <si>
    <t xml:space="preserve">TK-BEGROTINGJENV2023-2022</t>
  </si>
  <si>
    <t xml:space="preserve">Tweede Kamer der Staten-Generaal (risposte del Ministerie van Justitie en Veiligheid)</t>
  </si>
  <si>
    <t xml:space="preserve">Vaststelling van de begrotingsstaten Justitie en Veiligheid 2023, lijst van vragen en antwoorden</t>
  </si>
  <si>
    <t xml:space="preserve">https://www.tweedekamer.nl/downloads/document?id=2022D46208</t>
  </si>
  <si>
    <t xml:space="preserve">Budget Nationaal Cyber Security Centrum (NCSC)</t>
  </si>
  <si>
    <t xml:space="preserve">Bilancio del centro nazionale per la cybersecurity NCSC nel 2019.</t>
  </si>
  <si>
    <t xml:space="preserve">Dato di bilancio fornito dal Ministero della Giustizia e Sicurezza in risposta a quesiti parlamentari.</t>
  </si>
  <si>
    <t xml:space="preserve">In 2020 en 2019 bedroeg het budget respectievelijk € 26,797 miljoen en € 23,729 miljoen.</t>
  </si>
  <si>
    <t xml:space="preserve">Bilancio dell'agenzia NCSC, non spesa cyber complessiva della PA. Letto da estratto indicizzato della pagina.</t>
  </si>
  <si>
    <t xml:space="preserve">Bilancio del centro nazionale per la cybersecurity NCSC nel 2020.</t>
  </si>
  <si>
    <t xml:space="preserve">Bilancio del centro nazionale per la cybersecurity NCSC nel 2021.</t>
  </si>
  <si>
    <t xml:space="preserve">Het budget van het Nationaal Cyber Security Centrum bedroeg in 2021 € 27,1 miljoen.</t>
  </si>
  <si>
    <t xml:space="preserve">Bilancio dell'agenzia NCSC, non spesa cyber complessiva della PA. Letto da estratto indicizzato della pagina. Verifica finale 08/10/2026, valore confermato sulla fonte. Bilancio NCSC 2021 confermato.</t>
  </si>
  <si>
    <t xml:space="preserve">Structurele investering cybersecurity JenV, waarvan NCSC</t>
  </si>
  <si>
    <t xml:space="preserve">Risorse aggiuntive strutturali per l'NCSC dall'accordo di coalizione, anno 2022.</t>
  </si>
  <si>
    <t xml:space="preserve">Tabella di costruzione dell'investimento strutturale per ministero. Non dichiarata.</t>
  </si>
  <si>
    <t xml:space="preserve">waarvan NCSC 6,6 13,7 27,5 27,5 27,5 33</t>
  </si>
  <si>
    <t xml:space="preserve">Incremento rispetto alla base; 2025 e 2026 pari a 27,5 milioni, dal 2027 33 milioni. Valori letti da tabella. Letto da estratto indicizzato della pagina. Verifica finale 08/10/2026, valore confermato sulla fonte. Quota NCSC 2022 confermata nella tabella in milioni di euro.</t>
  </si>
  <si>
    <t xml:space="preserve">Risorse aggiuntive strutturali per l'NCSC dall'accordo di coalizione, anno 2023.</t>
  </si>
  <si>
    <t xml:space="preserve">Incremento rispetto alla base; 2025 e 2026 pari a 27,5 milioni, dal 2027 33 milioni. Valori letti da tabella. Letto da estratto indicizzato della pagina.</t>
  </si>
  <si>
    <t xml:space="preserve">Risorse aggiuntive strutturali per l'NCSC dall'accordo di coalizione, anno 2024.</t>
  </si>
  <si>
    <t xml:space="preserve">Extra structurele investering in cybersecurity (coalitieakkoord)</t>
  </si>
  <si>
    <t xml:space="preserve">Investimento strutturale aggiuntivo del governo in cybersecurity previsto dall'accordo di coalizione, a regime.</t>
  </si>
  <si>
    <t xml:space="preserve">Dotazione programmata dall'accordo di coalizione, ripartita tra più ministeri. Non dichiarata.</t>
  </si>
  <si>
    <t xml:space="preserve">Het vorige kabinet heeft € 95 miljoen structureel geïnvesteerd ... Dit kabinet investeert een extra € 111 miljoen euro structureel in cybersecurity.</t>
  </si>
  <si>
    <t xml:space="preserve">Importo annuo a regime, registrato sul 2027 (anno di piena operatività secondo la tabella JenV); si aggiunge ai 95 milioni strutturali del governo precedente. Letto da estratto indicizzato della pagina.</t>
  </si>
  <si>
    <t xml:space="preserve">Risorse aggiuntive strutturali per l'NCSC dall'accordo di coalizione, anno 2027.</t>
  </si>
  <si>
    <t xml:space="preserve">6WRESEARCH-CYBERPL-2026</t>
  </si>
  <si>
    <t xml:space="preserve">PL</t>
  </si>
  <si>
    <t xml:space="preserve">Polonia</t>
  </si>
  <si>
    <t xml:space="preserve">Poland Cyber Security Market (2025-2031)</t>
  </si>
  <si>
    <t xml:space="preserve">https://www.6wresearch.com/industry-report/poland-cyber-security-market</t>
  </si>
  <si>
    <t xml:space="preserve">Poland Cyber Security Market</t>
  </si>
  <si>
    <t xml:space="preserve">Mercato polacco della cybersecurity nel 2025 secondo 6Wresearch.</t>
  </si>
  <si>
    <t xml:space="preserve">CAGR 2026-2032 6,3%</t>
  </si>
  <si>
    <t xml:space="preserve">Dedotta. Nessuna informazione sulla costruzione del valore.</t>
  </si>
  <si>
    <t xml:space="preserve">The Poland Cyber Security Market was estimated at USD 394 Million in 2025 and is projected to reach USD 564 Million by 2032</t>
  </si>
  <si>
    <t xml:space="preserve">Valore pari a circa un quarto di Mordor per lo stesso anno. Letto da estratto indicizzato della pagina. Verifica finale 08/10/2026, valore confermato sulla fonte.</t>
  </si>
  <si>
    <t xml:space="preserve">Previsione 6Wresearch del mercato polacco della cybersecurity al 2032.</t>
  </si>
  <si>
    <t xml:space="preserve">Valore pari a circa un quarto di Mordor per lo stesso anno. Letto da estratto indicizzato della pagina.</t>
  </si>
  <si>
    <t xml:space="preserve">CAGR 2025-2030 7,44%</t>
  </si>
  <si>
    <t xml:space="preserve">The Polish cybersecurity market reached a revenue of €794.50 million in 2025.</t>
  </si>
  <si>
    <t xml:space="preserve">Letto da estratto indicizzato della pagina. Riga paese da pagina multi-paese CBI. Valori Statista di aggiornamento non specificato, da confrontare con la pagina Statista del paese. Verifica finale 08/10/2026, corretto Valore originale da 0.7945 a 794.5, Unità originale da miliardi a milioni. La fonte esprime il valore in milioni (794,50), la tabella lo arrotonda a 0,8 miliardi. Si riporta valore e unità originali del testo citato.</t>
  </si>
  <si>
    <t xml:space="preserve">CPPC-CYBERWODOCIAGI-2026</t>
  </si>
  <si>
    <t xml:space="preserve">Centrum Projektów Polska Cyfrowa</t>
  </si>
  <si>
    <t xml:space="preserve">Lista rankingowa. Cyberbezpieczne Wodociągi</t>
  </si>
  <si>
    <t xml:space="preserve">10/02/2026</t>
  </si>
  <si>
    <t xml:space="preserve">https://www.gov.pl/web/cppc/lista-rankingowa-cyberbezpieczne-wodociagi</t>
  </si>
  <si>
    <t xml:space="preserve">pula środków konkursu Cyberbezpieczne Wodociągi</t>
  </si>
  <si>
    <t xml:space="preserve">Dotazione del bando KPO Cyberbezpieczne Wodociągi per la cybersecurity del settore idrico.</t>
  </si>
  <si>
    <t xml:space="preserve">PLN</t>
  </si>
  <si>
    <t xml:space="preserve">misure organizzative, tecniche e formative</t>
  </si>
  <si>
    <t xml:space="preserve">Dedotta. Contributi pubblici a operatori idrici che acquistano soluzioni di sicurezza.</t>
  </si>
  <si>
    <t xml:space="preserve">Dotazione del bando KPO (investimento C3.1.1) portata da 313 mln zł a 590,5 mln zł dopo la valutazione di 894 domande, 688 progetti finanziati.</t>
  </si>
  <si>
    <t xml:space="preserve">Dlatego zwiększyliśmy pulę środków do 590 511 146,60 zł.</t>
  </si>
  <si>
    <t xml:space="preserve">Allocazione del bando, non spesa effettiva. Ammissibilità delle spese prorogata al 31/12/2026, ulteriori 40 mln zł autorizzati. Letto da estratto indicizzato della pagina. Verifica finale 08/10/2026, valore confermato sulla fonte.</t>
  </si>
  <si>
    <t xml:space="preserve">DATABRIDGE-CYBERPL-2025</t>
  </si>
  <si>
    <t xml:space="preserve">Data Bridge Market Research</t>
  </si>
  <si>
    <t xml:space="preserve">Poland Cybersecurity Market to 2032</t>
  </si>
  <si>
    <t xml:space="preserve">https://www.databridgemarketresearch.com/nucleus/poland-cybersecurity-market</t>
  </si>
  <si>
    <t xml:space="preserve">Poland Cybersecurity Market revenue</t>
  </si>
  <si>
    <t xml:space="preserve">Ricavi 2024 del mercato polacco della cybersecurity secondo Data Bridge.</t>
  </si>
  <si>
    <t xml:space="preserve">CAGR 2025-2032 8,80%</t>
  </si>
  <si>
    <t xml:space="preserve">Dedotta. Nessuna informazione sul metodo.</t>
  </si>
  <si>
    <t xml:space="preserve">Market Size (2024): 2.29 USD Billion</t>
  </si>
  <si>
    <t xml:space="preserve">Pagina internamente incoerente, afferma anche che il mercato valeva 4,13 mld USD nel 2024. Letto da estratto indicizzato della pagina. Verifica finale 08/10/2026, valore confermato sulla fonte. Valore confermato, ma la stessa pagina indica anche 4.13 miliardi USD per il 2024, incongruenza interna.</t>
  </si>
  <si>
    <t xml:space="preserve">Previsione Data Bridge del mercato polacco della cybersecurity al 2032.</t>
  </si>
  <si>
    <t xml:space="preserve">The Poland Cybersecurity Market is expected to reach a 4.13 USD Billion by 2032</t>
  </si>
  <si>
    <t xml:space="preserve">Pagina internamente incoerente, afferma anche che il mercato valeva 4,13 mld USD nel 2024. Letto da estratto indicizzato della pagina.</t>
  </si>
  <si>
    <t xml:space="preserve">IDC-PRESSPL-2023</t>
  </si>
  <si>
    <t xml:space="preserve">ISBtech</t>
  </si>
  <si>
    <t xml:space="preserve">Polska zwiększa wydatki na cyberbezpieczeństwo</t>
  </si>
  <si>
    <t xml:space="preserve">26/09/2023</t>
  </si>
  <si>
    <t xml:space="preserve">https://www.isbtech.pl/2023/09/polska-zwieksza-wydatki-na-bezpieczenstwo-w-cyberprzestrzeni/</t>
  </si>
  <si>
    <t xml:space="preserve">IDC Polska, commento di Wiktor Markiewicz su dati Worldwide Security Spending Guide (comunicato non reperito)</t>
  </si>
  <si>
    <t xml:space="preserve">Wydatki polskich firm i sfery budżetowej na cyberbezpieczeństwo</t>
  </si>
  <si>
    <t xml:space="preserve">Spesa di imprese e settore pubblico in Polonia per la cybersecurity nel 2023 secondo IDC, oltre 800 milioni di dollari.</t>
  </si>
  <si>
    <t xml:space="preserve">Variazione 2023 su 2022 15,2%</t>
  </si>
  <si>
    <t xml:space="preserve">hardware, software e servizi di sicurezza (dedotto)</t>
  </si>
  <si>
    <t xml:space="preserve">Dedotta. Il testo parla di spesa di imprese e settore pubblico ma non descrive come il numero è costruito.</t>
  </si>
  <si>
    <t xml:space="preserve">Non dichiarata nel comunicato riportato. Il dato proviene dalle analisi IDC sulla spesa in sicurezza (Security Spending Guide).</t>
  </si>
  <si>
    <t xml:space="preserve">będą aż o 15,2% wyższe niż w ubiegłym roku i wyniosą ponad 800 mln dolarów</t>
  </si>
  <si>
    <t xml:space="preserve">Valore minimo (ponad 800 mln dolarów). Personale interno escluso per dedotto, la Spending Guide misura acquisti di tecnologie e servizi. Letto da estratto indicizzato della pagina.</t>
  </si>
  <si>
    <t xml:space="preserve">Polska na 17 miejscu pod względem wydatków IT</t>
  </si>
  <si>
    <t xml:space="preserve">10/2023</t>
  </si>
  <si>
    <t xml:space="preserve">https://www.isbtech.pl/2023/10/polska-na-17-miejscu-w-europie-pod-wzgledem-wydatkow-na-cyberbezpieczenstwo/</t>
  </si>
  <si>
    <t xml:space="preserve">wzrost inwestycji w cyberbezpieczeństwo</t>
  </si>
  <si>
    <t xml:space="preserve">Crescita della spesa cyber in Polonia secondo un comunicato IDC europeo, 17esimo posto in Europa.</t>
  </si>
  <si>
    <t xml:space="preserve">Choć wzrost inwestycji jest dwucyfrowy i wynosi 11.1%, to pozwala to nam w Europie wyprzedzić jedynie takie kraje jak Grecja, Rumunia</t>
  </si>
  <si>
    <t xml:space="preserve">Anno dedotto dal contesto (crescita europea 2023 del 12,2%). Incongruente con il 15,2% del comunicato IDC Polska del settembre 2023. Letto da estratto indicizzato della pagina. Verifica finale 08/10/2026, valore confermato sulla fonte. Dato IDC, anno non esplicitato nell'estratto.</t>
  </si>
  <si>
    <t xml:space="preserve">ITwiz</t>
  </si>
  <si>
    <t xml:space="preserve">Polskie firmy zwiększają wydatki na cyberbezpieczeństwo</t>
  </si>
  <si>
    <t xml:space="preserve">https://itwiz.pl/polskie-firmy-zwiekszaja-wydatki-na-cyberbezpieczenstwo-kto-wyda-najwiecej/</t>
  </si>
  <si>
    <t xml:space="preserve">Spesa cyber 2023 in Polonia del settore industria manifatturiera (przemysł) secondo IDC.</t>
  </si>
  <si>
    <t xml:space="preserve">Industria manifatturiera (przemysł)</t>
  </si>
  <si>
    <t xml:space="preserve">przemysł, sektor finansowy, przemysł oraz sfera budżetowa. Przeznaczą one na zabezpieczenia odpowiednio 124, 108 i 93 mln dolarów.</t>
  </si>
  <si>
    <t xml:space="preserve">L'elenco dei settori nell'articolo ripete przemysł, attribuzione dei valori ai settori dedotta dall'ordine. Letto da estratto indicizzato della pagina.</t>
  </si>
  <si>
    <t xml:space="preserve">Spesa cyber 2023 in Polonia del settore servizi finanziari secondo IDC.</t>
  </si>
  <si>
    <t xml:space="preserve">Servizi finanziari</t>
  </si>
  <si>
    <t xml:space="preserve">Spesa cyber 2023 in Polonia del settore settore pubblico (sfera budżetowa) secondo IDC.</t>
  </si>
  <si>
    <t xml:space="preserve">Settore pubblico (sfera budżetowa)</t>
  </si>
  <si>
    <t xml:space="preserve">PMR-CYBERPL-2024</t>
  </si>
  <si>
    <t xml:space="preserve">Ekosystem rozwiązań cyberbezpieczeństwa w Polsce wart jest 12 mld zł</t>
  </si>
  <si>
    <t xml:space="preserve">19/09/2024</t>
  </si>
  <si>
    <t xml:space="preserve">https://itwiz.pl/ekosystem-rozwiazan-cyberbezpieczenstwa-w-polsce-wart-jest-12-mld-zl/</t>
  </si>
  <si>
    <t xml:space="preserve">PMR Market Experts, Rynek cyberbezpieczeństwa w Polsce 2024 (https://pmrmarketexperts.com/raport/rynek-cyberbezpieczenstwa-w-polsce/)</t>
  </si>
  <si>
    <t xml:space="preserve">Przychody szeroko rozumianej branży</t>
  </si>
  <si>
    <t xml:space="preserve">Ricavi della filiera cyber in senso ampio secondo PMR, anno 2024.</t>
  </si>
  <si>
    <t xml:space="preserve">definizione stretta più cloud computing, data center, backup, hosting, sicurezza fisica, alimentazione di emergenza, informatica forense</t>
  </si>
  <si>
    <t xml:space="preserve">Dedotta. La fonte definisce il perimetro dei prodotti e servizi ma non spiega se il valore nasce dai ricavi dei fornitori o da dati raccolti presso gli acquirenti.</t>
  </si>
  <si>
    <t xml:space="preserve">Non dichiarata per il dato. La pagina riporta solo la definizione stretta del mercato e una definizione ampia che aggiunge cloud, data center, backup, hosting, sicurezza fisica, alimentazione di emergenza e informatica forense.</t>
  </si>
  <si>
    <t xml:space="preserve">Przychody szeroko rozumianej branży to jednak nawet 12 mld zł.</t>
  </si>
  <si>
    <t xml:space="preserve">Perimetro ampio non confrontabile con il mercato in senso stretto. Letto da estratto indicizzato della pagina. Verifica finale 08/10/2026, valore confermato sulla fonte. Perimetro molto ampio che include cloud, data center, backup, hosting e sicurezza fisica. Il mercato cyber in senso stretto vale circa 3 miliardi.</t>
  </si>
  <si>
    <t xml:space="preserve">wartość rynku cyberbezpieczeństwa w Polsce</t>
  </si>
  <si>
    <t xml:space="preserve">Previsione PMR del mercato polacco della cybersecurity in definizione stretta per il 2024, circa 3 mld zł.</t>
  </si>
  <si>
    <t xml:space="preserve">hardware di sicurezza di rete aziendale (UTM, NGFW), soluzioni applicative (antivirus, firewall, antispam, IDS/IPS, DLP, anti APT, anti DDoS, SIEM), servizi (audit, pentest, consulenza, servizi gestiti, SOC)</t>
  </si>
  <si>
    <t xml:space="preserve">Według prognoz PMR, w 2024 roku wartość rynku cyberbezpieczeństwa w Polsce zbliży się do 3 mld zł.</t>
  </si>
  <si>
    <t xml:space="preserve">Valore approssimato dalla fonte (zbliży się do 3 mld zł). Letto da estratto indicizzato della pagina.</t>
  </si>
  <si>
    <t xml:space="preserve">KENRESEARCH-CYBERPL-2025</t>
  </si>
  <si>
    <t xml:space="preserve">Poland Cybersecurity and MSSP Market</t>
  </si>
  <si>
    <t xml:space="preserve">03/10/2025</t>
  </si>
  <si>
    <t xml:space="preserve">https://www.kenresearch.com/poland-cybersecurity-and-mssp-market</t>
  </si>
  <si>
    <t xml:space="preserve">Mercato polacco della cybersecurity e dei servizi MSSP secondo Ken Research, anno base 2024.</t>
  </si>
  <si>
    <t xml:space="preserve">cybersecurity e servizi gestiti di sicurezza (MSSP)</t>
  </si>
  <si>
    <t xml:space="preserve">Dedotta. La pagina indica solo un'analisi storica quinquennale.</t>
  </si>
  <si>
    <t xml:space="preserve">Valore basato su un'analisi storica di cinque anni, anno base 2024, nessun altro dettaglio.</t>
  </si>
  <si>
    <t xml:space="preserve">The Poland Cybersecurity and MSSP Market is valued at USD 2.3 billion, based on a five-year historical analysis.</t>
  </si>
  <si>
    <t xml:space="preserve">Anno base 2024 indicato nella pagina. Ken Research pubblica anche un mercato cyber per la sola manifattura polacca di 1,8 mld USD, superiore al totale Mordor. Letto da estratto indicizzato della pagina. Verifica finale 08/10/2026, valore confermato sulla fonte. Valore confermato, la pagina indica anno base 2024.</t>
  </si>
  <si>
    <t xml:space="preserve">SEJM-KSC-2026</t>
  </si>
  <si>
    <t xml:space="preserve">LEX (Wolters Kluwer) su testo del Sejm RP</t>
  </si>
  <si>
    <t xml:space="preserve">Ustawa o krajowym systemie cyberbezpieczeństwa, tekst jednolity Dz.U. 2026 poz. 20, art. 93 ust. 3</t>
  </si>
  <si>
    <t xml:space="preserve">14/09/2026</t>
  </si>
  <si>
    <t xml:space="preserve">https://sip.lex.pl/akty-prawne/dzu-dziennik-ustaw/krajowy-system-cyberbezpieczenstwa-18746756</t>
  </si>
  <si>
    <t xml:space="preserve">Sejm RP, Dz.U. 2026 poz. 20 (https://api.sejm.gov.pl/eli/acts/DU/2026/20/text.pdf)</t>
  </si>
  <si>
    <t xml:space="preserve">Maksymalny limit wydatków z budżetu państwa dla części budżetowej 27 - Informatyzacja, będący skutkiem finansowym wejścia w życie ustawy</t>
  </si>
  <si>
    <t xml:space="preserve">Limite di spesa statale per l'attuazione della legge KSC nella parte informatizzazione, anno 2018.</t>
  </si>
  <si>
    <t xml:space="preserve">Dedotta. Limite di spesa pubblica del ministero della digitalizzazione per attuare la legge sul sistema nazionale di cybersecurity.</t>
  </si>
  <si>
    <t xml:space="preserve">Limite massimo di legge della spesa statale, parte 27 informatizzazione, derivante dall'entrata in vigore della legge KSC. Esistono limiti distinti per altre parti di bilancio.</t>
  </si>
  <si>
    <t xml:space="preserve">Maksymalny limit wydatków z budżetu państwa dla części budżetowej 27 - Informatyzacja ... w 2018 r. - 6450 tys. zł</t>
  </si>
  <si>
    <t xml:space="preserve">Tetto massimo di legge, non spesa effettiva, solo parte 27 del bilancio statale. Letto da estratto indicizzato della pagina.</t>
  </si>
  <si>
    <t xml:space="preserve">Limite di spesa statale per l'attuazione della legge KSC nella parte informatizzazione, anno 2019.</t>
  </si>
  <si>
    <t xml:space="preserve">Maksymalny limit wydatków z budżetu państwa dla części budżetowej 27 - Informatyzacja ... w 2019 r. - 13 349 tys. zł</t>
  </si>
  <si>
    <t xml:space="preserve">Limite di spesa statale per l'attuazione della legge KSC nella parte informatizzazione, anno 2020.</t>
  </si>
  <si>
    <t xml:space="preserve">Maksymalny limit wydatków z budżetu państwa dla części budżetowej 27 - Informatyzacja ... w 2020 r. - 17 334 tys. zł</t>
  </si>
  <si>
    <t xml:space="preserve">Limite di spesa statale per l'attuazione della legge KSC nella parte informatizzazione, anno 2021.</t>
  </si>
  <si>
    <t xml:space="preserve">Maksymalny limit wydatków z budżetu państwa dla części budżetowej 27 - Informatyzacja ... w 2021 r. - 17 314 tys. zł</t>
  </si>
  <si>
    <t xml:space="preserve">Limite di spesa statale per l'attuazione della legge KSC nella parte informatizzazione, anno 2022.</t>
  </si>
  <si>
    <t xml:space="preserve">Maksymalny limit wydatków z budżetu państwa dla części budżetowej 27 - Informatyzacja ... w 2022 r. - 27 404 tys. zł</t>
  </si>
  <si>
    <t xml:space="preserve">Limite di spesa statale per l'attuazione della legge KSC nella parte informatizzazione, anno 2023.</t>
  </si>
  <si>
    <t xml:space="preserve">Maksymalny limit wydatków z budżetu państwa dla części budżetowej 27 - Informatyzacja ... w 2023 r. - 50 335 tys. zł</t>
  </si>
  <si>
    <t xml:space="preserve">Limite di spesa statale per l'attuazione della legge KSC nella parte informatizzazione, anno 2024.</t>
  </si>
  <si>
    <t xml:space="preserve">Maksymalny limit wydatków z budżetu państwa dla części budżetowej 27 - Informatyzacja ... w 2024 r. - 50 335 tys. zł</t>
  </si>
  <si>
    <t xml:space="preserve">Limite di spesa statale per l'attuazione della legge KSC nella parte informatizzazione, anno 2025.</t>
  </si>
  <si>
    <t xml:space="preserve">Maksymalny limit wydatków z budżetu państwa dla części budżetowej 27 - Informatyzacja ... w 2025 r. - 80 300 tys. zł</t>
  </si>
  <si>
    <t xml:space="preserve">Tetto massimo di legge, non spesa effettiva, solo parte 27 del bilancio statale. Letto da estratto indicizzato della pagina. Verifica finale 08/10/2026, valore confermato sulla fonte. Valore confermato. Si tratta di un limite massimo di spesa fissato dalla legge, non di spesa effettiva.</t>
  </si>
  <si>
    <t xml:space="preserve">Limite di spesa statale per l'attuazione della legge KSC nella parte informatizzazione, anno 2026.</t>
  </si>
  <si>
    <t xml:space="preserve">Maksymalny limit wydatków z budżetu państwa dla części budżetowej 27 - Informatyzacja ... w 2026 r. - 91 400 tys. zł</t>
  </si>
  <si>
    <t xml:space="preserve">Tetto massimo di legge, non spesa effettiva, solo parte 27 del bilancio statale. Letto da estratto indicizzato della pagina. Verifica finale 08/10/2026, valore confermato sulla fonte. Valore confermato. Limite massimo di spesa fissato dalla legge per il 2026.</t>
  </si>
  <si>
    <t xml:space="preserve">Limite di spesa statale per l'attuazione della legge KSC nella parte informatizzazione, anno 2027.</t>
  </si>
  <si>
    <t xml:space="preserve">Maksymalny limit wydatków z budżetu państwa dla części budżetowej 27 - Informatyzacja ... w 2027 r. - 50 335 tys. zł</t>
  </si>
  <si>
    <t xml:space="preserve">MARKETSANDMARKETS-DEFCYBERPL-2026</t>
  </si>
  <si>
    <t xml:space="preserve">Poland Defense Cybersecurity Market (2026-2031)</t>
  </si>
  <si>
    <t xml:space="preserve">https://www.marketsandmarkets.com/Market-Reports/geography/defense-cybersecurity-market/poland</t>
  </si>
  <si>
    <t xml:space="preserve">Poland Defense Cybersecurity Market</t>
  </si>
  <si>
    <t xml:space="preserve">Mercato della cybersecurity per la difesa in Polonia nel 2026 secondo MarketsandMarkets.</t>
  </si>
  <si>
    <t xml:space="preserve">Difesa</t>
  </si>
  <si>
    <t xml:space="preserve">CAGR 2026-2031 30,3%</t>
  </si>
  <si>
    <t xml:space="preserve">The Poland Defense Cybersecurity Market was valued at $726.7 Million in 2026 and projected to reach to $2726.1 Million by 2031</t>
  </si>
  <si>
    <t xml:space="preserve">La pagina europea dello stesso editore indica per la Polonia 2726,1 mln USD come dimensione 2025, cioè il valore previsto per il 2031. Letto da estratto indicizzato della pagina.</t>
  </si>
  <si>
    <t xml:space="preserve">Previsione MarketsandMarkets del mercato della cybersecurity per la difesa in Polonia al 2031.</t>
  </si>
  <si>
    <t xml:space="preserve">MC-CYBERBUDZET-2025</t>
  </si>
  <si>
    <t xml:space="preserve">Ministerstwo Cyfryzacji</t>
  </si>
  <si>
    <t xml:space="preserve">Rekordowe inwestycje w ochronę przed cyberatakami</t>
  </si>
  <si>
    <t xml:space="preserve">11/08/2025</t>
  </si>
  <si>
    <t xml:space="preserve">https://www.gov.pl/web/cyfryzacja/polska-inwestuje-rekordowe-srodki-w-ochrone-przed-cyberatakami</t>
  </si>
  <si>
    <t xml:space="preserve">bieżąca działalność CSIRT poziomu krajowego (NASK-PIB)</t>
  </si>
  <si>
    <t xml:space="preserve">Finanziamento 2025 dell'attività corrente del CSIRT nazionale gestito da NASK.</t>
  </si>
  <si>
    <t xml:space="preserve">Dedotta. Si tratta di risorse pubbliche gestite dal ministero e destinate ad amministrazioni e settori chiave, quindi spesa dal lato di chi acquista.</t>
  </si>
  <si>
    <t xml:space="preserve">Somma delle dotazioni gestite dal ministero nel 2025 per la cybersecurity civile, articolate per fonte di finanziamento (bilancio, Fundusz Cyberbezpieczeństwa, KPO, FERC).</t>
  </si>
  <si>
    <t xml:space="preserve">blisko 40 mln zł na bieżącą działalność Zespołu Reagowania na Incydenty Bezpieczeństwa Komputerowego poziomu krajowego</t>
  </si>
  <si>
    <t xml:space="preserve">Stanziamenti gestiti nel 2025, non spesa effettiva. Le voci FERC e KPO sono dotazioni pluriennali di programma, quindi il totale non è una spesa annua. Letto da estratto indicizzato della pagina. Verifica finale 08/10/2026, valore confermato sulla fonte. Fondi gestiti dal ministero nel 2025.</t>
  </si>
  <si>
    <t xml:space="preserve">Centrum Cyberbezpieczeństwa NASK (FERC)</t>
  </si>
  <si>
    <t xml:space="preserve">Dotazione FERC del progetto Centrum Cyberbezpieczeństwa NASK.</t>
  </si>
  <si>
    <t xml:space="preserve">„Centrum Cyberbezpieczeństwa NASK” (310 mln zł)</t>
  </si>
  <si>
    <t xml:space="preserve">Stanziamenti gestiti nel 2025, non spesa effettiva. Le voci FERC e KPO sono dotazioni pluriennali di programma, quindi il totale non è una spesa annua. Letto da estratto indicizzato della pagina. Verifica finale 08/10/2026, valore confermato sulla fonte. Valore complessivo del progetto pluriennale, attribuito dalla fonte alle risorse gestite nel 2025.</t>
  </si>
  <si>
    <t xml:space="preserve">dotacje celowe</t>
  </si>
  <si>
    <t xml:space="preserve">Dotazioni mirate per la cybersecurity nel 2025, in aumento del 30% sul 2024.</t>
  </si>
  <si>
    <t xml:space="preserve">blisko 90 mln zł w dotacjach celowych - to poziom wyższy o 30% w porównaniu do 2024 roku</t>
  </si>
  <si>
    <t xml:space="preserve">inwestycje KPO w cyberbezpieczeństwo</t>
  </si>
  <si>
    <t xml:space="preserve">Investimenti cyber finanziati dal Piano nazionale di ripresa (KPO) gestiti nel 2025.</t>
  </si>
  <si>
    <t xml:space="preserve">ok. 860 mln zł w ramach inwestycji KPO (m.in. 271 mln zł na program „Cyberbezpieczny Rząd”</t>
  </si>
  <si>
    <t xml:space="preserve">Stanziamenti gestiti nel 2025, non spesa effettiva. Le voci FERC e KPO sono dotazioni pluriennali di programma, quindi il totale non è una spesa annua. Letto da estratto indicizzato della pagina. Verifica finale 08/10/2026, valore confermato sulla fonte. Dotazione KPO pluriennale presentata dalla fonte come risorsa gestita nel 2025.</t>
  </si>
  <si>
    <t xml:space="preserve">ponad 3,1 mld zł w sferze cywilnej (łączne środki na cyberbezpieczeństwo)</t>
  </si>
  <si>
    <t xml:space="preserve">Totale dei fondi pubblici civili per la cybersecurity gestiti dal ministero nel 2025.</t>
  </si>
  <si>
    <t xml:space="preserve">Łącznie daje to ponad 3,1 mld zł w sferze cywilnej, co stanowi największą w historii inwestycję w budowanie cyberodporności Polski.</t>
  </si>
  <si>
    <t xml:space="preserve">Stanziamenti gestiti nel 2025, non spesa effettiva. Le voci FERC e KPO sono dotazioni pluriennali di programma, quindi il totale non è una spesa annua. Valore minimo (ponad). Letto da estratto indicizzato della pagina. Verifica finale 08/10/2026, valore confermato sulla fonte. Importo programmato per il 2025 (zaplanowano wydatki), non spesa effettiva rendicontata.</t>
  </si>
  <si>
    <t xml:space="preserve">program Cyberbezpieczny Rząd (KPO)</t>
  </si>
  <si>
    <t xml:space="preserve">Dotazione KPO del programma Cyberbezpieczny Rząd per l'amministrazione centrale.</t>
  </si>
  <si>
    <t xml:space="preserve">271 mln zł na program „Cyberbezpieczny Rząd”</t>
  </si>
  <si>
    <t xml:space="preserve">program Fundusze Europejskie na Rozwój Cyfrowy 2021-2027 (cyberbezpieczeństwo)</t>
  </si>
  <si>
    <t xml:space="preserve">Dotazione cyber del programma europeo FERC 2021-2027 gestita nel 2025.</t>
  </si>
  <si>
    <t xml:space="preserve">1,8 mld zł z programu Fundusze Europejskie na Rozwój Cyfrowy 2021-2027</t>
  </si>
  <si>
    <t xml:space="preserve">Stanziamenti gestiti nel 2025, non spesa effettiva. Le voci FERC e KPO sono dotazioni pluriennali di programma, quindi il totale non è una spesa annua. Letto da estratto indicizzato della pagina. Verifica finale 08/10/2026, valore confermato sulla fonte. Dotazione del programma 2021-2027 che la fonte attribuisce alle risorse gestite nel 2025.</t>
  </si>
  <si>
    <t xml:space="preserve">projekt Cyberbezpieczny Samorząd (FERC)</t>
  </si>
  <si>
    <t xml:space="preserve">Dotazione del progetto Cyberbezpieczny Samorząd per gli enti locali.</t>
  </si>
  <si>
    <t xml:space="preserve">projekt „Cyberbezpieczny Samorząd” (1 474 mln zł)</t>
  </si>
  <si>
    <t xml:space="preserve">środki z Funduszu Cyberbezpieczeństwa dla kluczowych podmiotów</t>
  </si>
  <si>
    <t xml:space="preserve">Risorse 2025 del Fondo per la cybersecurity destinate ai soggetti chiave, che finanzia integrazioni salariali.</t>
  </si>
  <si>
    <t xml:space="preserve">355 mln zł z Funduszu Cyberbezpieczeństwa dla kluczowych podmiotów - o 68 mln zł więcej niż w 2023 roku</t>
  </si>
  <si>
    <t xml:space="preserve">zabezpieczenie sektora wodociągów (KPO)</t>
  </si>
  <si>
    <t xml:space="preserve">Dotazione KPO oltre 300 milioni di zł per la cybersecurity del settore idrico.</t>
  </si>
  <si>
    <t xml:space="preserve">ponad 300 mln zł na zabezpieczenie sektora wodociągów</t>
  </si>
  <si>
    <t xml:space="preserve">Stanziamenti gestiti nel 2025, non spesa effettiva. Le voci FERC e KPO sono dotazioni pluriennali di programma, quindi il totale non è una spesa annua. Valore minimo (ponad). Letto da estratto indicizzato della pagina. Verifica finale 08/10/2026, valore confermato sulla fonte. Valore indicato come minimo (ponad). Dotazione KPO presentata come risorsa gestita nel 2025.</t>
  </si>
  <si>
    <t xml:space="preserve">MC-CYBERSAMORZAD-2024</t>
  </si>
  <si>
    <t xml:space="preserve">1,5 mld zł dla samorządów na cyberbezpieczeństwo</t>
  </si>
  <si>
    <t xml:space="preserve">27/02/2024</t>
  </si>
  <si>
    <t xml:space="preserve">https://www.gov.pl/web/cyfryzacja/15-mld-zl-dla-samorzadow-na-cyberbezpieczenstwo</t>
  </si>
  <si>
    <t xml:space="preserve">Wnioski o dofinansowanie w ramach projektu Cyberbezpieczny Samorząd - na łączną kwotę</t>
  </si>
  <si>
    <t xml:space="preserve">Valore complessivo delle domande di contributo del programma Cyberbezpieczny Samorząd per gli enti locali.</t>
  </si>
  <si>
    <t xml:space="preserve">infrastruttura hardware e software, servizi di implementazione, procedure, audit, certificazioni, formazione</t>
  </si>
  <si>
    <t xml:space="preserve">Dedotta. Importi delle domande di contributo degli enti locali che acquistano beni e servizi di sicurezza.</t>
  </si>
  <si>
    <t xml:space="preserve">Somma delle domande di contributo presentate dal 90% degli enti locali ammissibili, ripartita in area tecnica, organizzativa e formativa. Contributi fino a 850 mila zł per ente, progetti di 24 mesi entro il 30/06/2026.</t>
  </si>
  <si>
    <t xml:space="preserve">Wnioski o dofinansowanie w ramach projektu Cyberbezpieczny Samorząd - na łączną kwotę prawie 1,5 mld zł. - złożyło 90 proc. uprawnionych jednostek.</t>
  </si>
  <si>
    <t xml:space="preserve">Programma pluriennale 2023-2026 cofinanziato da FERC 2021-2027. Anno di riferimento pari alla firma dei contratti. Letto da estratto indicizzato della pagina. Verifica finale 08/10/2026, valore confermato sulla fonte. Importo delle domande presentate nel 2024, valore approssimato (prawie).</t>
  </si>
  <si>
    <t xml:space="preserve">Wnioski o granty, obszar</t>
  </si>
  <si>
    <t xml:space="preserve">Quota del programma Cyberbezpieczny Samorząd destinata all'area competenze.</t>
  </si>
  <si>
    <t xml:space="preserve">Area competenze (formazione del personale)</t>
  </si>
  <si>
    <t xml:space="preserve">kompetencyjny (ok. 105 mln zł) - szkolenia pracowników</t>
  </si>
  <si>
    <t xml:space="preserve">Programma pluriennale 2023-2026 cofinanziato da FERC 2021-2027. Anno di riferimento pari alla firma dei contratti. Letto da estratto indicizzato della pagina. Verifica finale 08/10/2026, valore confermato sulla fonte.</t>
  </si>
  <si>
    <t xml:space="preserve">Quota del programma Cyberbezpieczny Samorząd destinata all'area organizzativa.</t>
  </si>
  <si>
    <t xml:space="preserve">Area organizzativa (procedure, audit, certificazioni, SZBI)</t>
  </si>
  <si>
    <t xml:space="preserve">organizacyjny (ok. 183 mln zł) - procedury, audyty, certyfikaty, System Zarządzania Bezpieczeństwem Informacji</t>
  </si>
  <si>
    <t xml:space="preserve">Quota del programma Cyberbezpieczny Samorząd destinata all'area tecnica.</t>
  </si>
  <si>
    <t xml:space="preserve">Area tecnica (hardware, software e servizi di implementazione)</t>
  </si>
  <si>
    <t xml:space="preserve">techniczny (ok. 1,2 mld zł) - infrastruktura sprzętowa i oprogramowanie oraz usługi wdrożeniowe</t>
  </si>
  <si>
    <t xml:space="preserve">Programma pluriennale 2023-2026 cofinanziato da FERC 2021-2027. Anno di riferimento pari alla firma dei contratti. Letto da estratto indicizzato della pagina.</t>
  </si>
  <si>
    <t xml:space="preserve">MC-FUNDUSZCYBER-2024</t>
  </si>
  <si>
    <t xml:space="preserve">Więcej pieniędzy na Fundusz Cyberbezpieczeństwa</t>
  </si>
  <si>
    <t xml:space="preserve">06/06/2024</t>
  </si>
  <si>
    <t xml:space="preserve">https://www.gov.pl/web/cyfryzacja/wiecej-pieniedzy-na-fundusz-cyberbezpieczenstwa</t>
  </si>
  <si>
    <t xml:space="preserve">środki z budżetu państwa na Fundusz Cyberbezpieczeństwa (do 250 mln zł rocznie)</t>
  </si>
  <si>
    <t xml:space="preserve">Finanziamento annuo massimo del bilancio statale al Fondo per la cybersecurity dal 2024.</t>
  </si>
  <si>
    <t xml:space="preserve">integrazioni salariali del personale cyber (świadczenie teleinformatyczne)</t>
  </si>
  <si>
    <t xml:space="preserve">Dedotta. Limite di spesa pubblica per remunerare personale cyber di enti pubblici e soggetti del sistema nazionale.</t>
  </si>
  <si>
    <t xml:space="preserve">Limite massimo di spesa del bilancio statale, parte 27 informatizzazione, fissato per legge per il Fondo che finanzia integrazioni salariali del personale cyber.</t>
  </si>
  <si>
    <t xml:space="preserve">Co roku, począwszy od 2024 roku, będziemy przeznaczać na ten cel do 250 mln złotych z budżetu państwa</t>
  </si>
  <si>
    <t xml:space="preserve">Tetto massimo di legge, non spesa effettiva. Copre solo personale, non acquisti di prodotti o servizi. Letto da estratto indicizzato della pagina. Verifica finale 08/10/2026, valore confermato sulla fonte. Tetto annuo dal 2024 confermato.</t>
  </si>
  <si>
    <t xml:space="preserve">MC-LCC-2025</t>
  </si>
  <si>
    <t xml:space="preserve">Nowa platforma współpracy w obszarze cyberbezpieczeństwa zwiększy odporność samorządów</t>
  </si>
  <si>
    <t xml:space="preserve">17/11/2025</t>
  </si>
  <si>
    <t xml:space="preserve">https://www.gov.pl/web/cyfryzacja/nowa-platforma-wspolpracy-w-obszarze-cyberbezpieczenstwa-zwiekszy-odpornosc-samorzadow</t>
  </si>
  <si>
    <t xml:space="preserve">Lokalne Centra Cyberbezpieczeństwa (LCC), środki przewidziane</t>
  </si>
  <si>
    <t xml:space="preserve">Dotazione prevista per i Centri locali di cybersecurity degli enti territoriali nel periodo 2026-2029.</t>
  </si>
  <si>
    <t xml:space="preserve">Dedotta. Risorse pubbliche per centri di cybersecurity degli enti locali.</t>
  </si>
  <si>
    <t xml:space="preserve">Dotazione programmata per il periodo 2026-2029, nessun dettaglio di calcolo.</t>
  </si>
  <si>
    <t xml:space="preserve">Lokalne Centra Cyberbezpieczeństwa (LCC): na realizację tego projektu przewidzieliśmy 270 mln zł</t>
  </si>
  <si>
    <t xml:space="preserve">Dotazione pluriennale 2026-2029, anno di riferimento pari al primo anno. Letto da estratto indicizzato della pagina.</t>
  </si>
  <si>
    <t xml:space="preserve">MORDOR-CYBERPL-2024</t>
  </si>
  <si>
    <t xml:space="preserve">Poland Cybersecurity Market Size (edizione 2024-2029)</t>
  </si>
  <si>
    <t xml:space="preserve">https://www.mordorintelligence.com/industry-reports/poland-cybersecurity-market/market-size</t>
  </si>
  <si>
    <t xml:space="preserve">Poland Cybersecurity Market size</t>
  </si>
  <si>
    <t xml:space="preserve">Dimensione stimata del mercato polacco della cybersecurity nel 2024 secondo Mordor.</t>
  </si>
  <si>
    <t xml:space="preserve">CAGR 2024-2029 5,85%</t>
  </si>
  <si>
    <t xml:space="preserve">Dedotta. La pagina non descrive se il valore deriva dai ricavi dei fornitori o dalla spesa degli acquirenti.</t>
  </si>
  <si>
    <t xml:space="preserve">Non dichiarata nell'estratto. La pagina riporta anno base, periodo di previsione, valori e CAGR.</t>
  </si>
  <si>
    <t xml:space="preserve">The Poland Cybersecurity Market size is estimated at USD 1.52 billion in 2024, and is expected to reach USD 2.02 billion by 2029</t>
  </si>
  <si>
    <t xml:space="preserve">Valori identici a quelli pubblicati da Statista nella statistica 1489436. Letto da estratto indicizzato della pagina. Verifica finale 08/10/2026, valore confermato sulla fonte. Valore 2024 confermato.</t>
  </si>
  <si>
    <t xml:space="preserve">Previsione Mordor del mercato polacco della cybersecurity al 2029.</t>
  </si>
  <si>
    <t xml:space="preserve">expected to reach USD 2.02 billion by 2029, growing at a CAGR of 5.85% during the forecast period (2024-2029)</t>
  </si>
  <si>
    <t xml:space="preserve">MORDOR-CYBERPL-2025</t>
  </si>
  <si>
    <t xml:space="preserve">Poland Cybersecurity Market Size (edizione 2025-2030)</t>
  </si>
  <si>
    <t xml:space="preserve">Dimensione del mercato polacco della cybersecurity nel 2025 secondo l'edizione 2025-2030 di Mordor.</t>
  </si>
  <si>
    <t xml:space="preserve">CAGR 2025-2030 5,85%</t>
  </si>
  <si>
    <t xml:space="preserve">expected to reach USD 1.61 billion in 2025 and grow at a CAGR of 5.85% to reach USD 2.14 billion by 2030</t>
  </si>
  <si>
    <t xml:space="preserve">Previsione Mordor del mercato polacco della cybersecurity al 2030.</t>
  </si>
  <si>
    <t xml:space="preserve">MORDOR-CYBERPL-2026</t>
  </si>
  <si>
    <t xml:space="preserve">Poland Cybersecurity Market - Size, Share and Companies (edizione 2026-2031)</t>
  </si>
  <si>
    <t xml:space="preserve">https://www.mordorintelligence.com/industry-reports/poland-cybersecurity-market</t>
  </si>
  <si>
    <t xml:space="preserve">BFSI share of Poland cybersecurity market</t>
  </si>
  <si>
    <t xml:space="preserve">Quota del settore bancario, finanziario e assicurativo sul mercato polacco della cybersecurity nel 2025 secondo Mordor.</t>
  </si>
  <si>
    <t xml:space="preserve">BFSI (banche, servizi finanziari, assicurazioni)</t>
  </si>
  <si>
    <t xml:space="preserve">Sanità CAGR fino al 2031 18,55%</t>
  </si>
  <si>
    <t xml:space="preserve">By end-user vertical, BFSI commanded 25.60% of the Poland cybersecurity market share in 2025, whereas healthcare is advancing at a 18.55% CAGR through 2031.</t>
  </si>
  <si>
    <t xml:space="preserve">Dimensione del mercato polacco della cybersecurity nell'anno base 2025 secondo l'edizione 2026-2031 di Mordor.</t>
  </si>
  <si>
    <t xml:space="preserve">The Poland cybersecurity market size is expected to grow from USD 1.61 billion in 2025 to USD 1.7 billion in 2026</t>
  </si>
  <si>
    <t xml:space="preserve">Anno base dell'editore, da intendersi come stima. Letto da estratto indicizzato della pagina. Verifica finale 08/10/2026, valore confermato sulla fonte. Edizione Mordor con orizzonte 2026 2031.</t>
  </si>
  <si>
    <t xml:space="preserve">Solutions share of Poland cybersecurity market</t>
  </si>
  <si>
    <t xml:space="preserve">Quota delle soluzioni sul mercato polacco della cybersecurity nel 2025 secondo Mordor.</t>
  </si>
  <si>
    <t xml:space="preserve">Servizi CAGR fino al 2031 15,05%</t>
  </si>
  <si>
    <t xml:space="preserve">By offering, solutions led with 67.30% Poland cybersecurity market share in 2025, while services are forecast to expand at a 15.05% CAGR through 2031.</t>
  </si>
  <si>
    <t xml:space="preserve">Dimensione del mercato polacco della cybersecurity nel 2026 secondo Mordor.</t>
  </si>
  <si>
    <t xml:space="preserve">CAGR 2026-2031 5,80%</t>
  </si>
  <si>
    <t xml:space="preserve">USD 1.7 billion in 2026 and is forecast to reach USD 2.26 billion by 2031 at 5.80% CAGR</t>
  </si>
  <si>
    <t xml:space="preserve">Previsione Mordor del mercato polacco della cybersecurity al 2031.</t>
  </si>
  <si>
    <t xml:space="preserve">is forecast to reach USD 2.26 billion by 2031 at 5.80% CAGR over 2026-2031.</t>
  </si>
  <si>
    <t xml:space="preserve">(I) CyberPL cybersecurity €193</t>
  </si>
  <si>
    <t xml:space="preserve">PMR-CYBERPL-2022</t>
  </si>
  <si>
    <t xml:space="preserve">PMR Market Experts</t>
  </si>
  <si>
    <t xml:space="preserve">Rynek cyberbezpieczeństwa wzrośnie do 2,5 mld zł w 2024 roku (comunicato sul rapporto Rynek cyberbezpieczeństwa w Polsce 2022)</t>
  </si>
  <si>
    <t xml:space="preserve">15/12/2022</t>
  </si>
  <si>
    <t xml:space="preserve">https://www.pmrmarketexperts.com/wiadomosci/rynek-cyberbezpieczenstwa-wzrosnie-do-2-5-mld-zl-w-2024-roku/</t>
  </si>
  <si>
    <t xml:space="preserve">Wartość rynku cyberbezpieczeństwa w Polsce (mld zł)</t>
  </si>
  <si>
    <t xml:space="preserve">Valore del mercato polacco della cybersecurity in definizione stretta, anno 2018.</t>
  </si>
  <si>
    <t xml:space="preserve">Variazione 2018 su 2017 15,4%</t>
  </si>
  <si>
    <t xml:space="preserve">Wartość (mld zł) oraz dynamika (%) rynku cyberbezpieczeństwa w Polsce 2018 2019 2020 2021 2022 2024p Wartość 1,14 1,56 1,65 1,84 2,1 2,52</t>
  </si>
  <si>
    <t xml:space="preserve">Personale interno escluso per dedotto, la definizione elenca solo prodotti e servizi acquistati. Incongruenza interna. Il passaggio da 1,14 a 1,56 mld zł implica +37% mentre la tabella indica +11,3% per il 2019. Un articolo ITwiz del 2018 indicava 1,5 mld zł per il 2018. Letto da estratto indicizzato della pagina.</t>
  </si>
  <si>
    <t xml:space="preserve">Valore del mercato polacco della cybersecurity in definizione stretta, anno 2019.</t>
  </si>
  <si>
    <t xml:space="preserve">Variazione 2019 su 2018 11,3%</t>
  </si>
  <si>
    <t xml:space="preserve">Personale interno escluso per dedotto, la definizione elenca solo prodotti e servizi acquistati. Letto da estratto indicizzato della pagina.</t>
  </si>
  <si>
    <t xml:space="preserve">Valore del mercato polacco della cybersecurity in definizione stretta, anno 2020.</t>
  </si>
  <si>
    <t xml:space="preserve">Variazione 2020 su 2019 6,2%</t>
  </si>
  <si>
    <t xml:space="preserve">Valore del mercato polacco della cybersecurity in definizione stretta, anno 2021.</t>
  </si>
  <si>
    <t xml:space="preserve">Variazione 2021 su 2020 11,7%</t>
  </si>
  <si>
    <t xml:space="preserve">Personale interno escluso per dedotto, la definizione elenca solo prodotti e servizi acquistati. Letto da estratto indicizzato della pagina. Verifica finale 08/10/2026, valore confermato sulla fonte. Valore 2021 confermato nella tabella PMR.</t>
  </si>
  <si>
    <t xml:space="preserve">przychody branży w szerokim ujęciu</t>
  </si>
  <si>
    <t xml:space="preserve">Ricavi del settore cyber in senso ampio, che include cloud, data center, backup, hosting e sicurezza fisica, anno 2022.</t>
  </si>
  <si>
    <t xml:space="preserve">definizione stretta più cloud computing, servizi data center, backup, hosting, sicurezza fisica, alimentazione di emergenza, informatica forense</t>
  </si>
  <si>
    <t xml:space="preserve">wartość rynku w 2022 zanotuje 14% wzrost do ponad 2,1 mld zł, ale przychody branży w szerokim ujęciu sięgną nawet 10 mld zł</t>
  </si>
  <si>
    <t xml:space="preserve">Perimetro molto più ampio della cybersecurity in senso stretto, non confrontabile con le altre righe PMR. Valore indicato come ordine di grandezza (nawet 10 mld zł). Letto da estratto indicizzato della pagina. Verifica finale 08/10/2026, valore confermato sulla fonte. Valore confermato. Il perimetro ampio include cloud, data center, hosting e sicurezza fisica.</t>
  </si>
  <si>
    <t xml:space="preserve">Valore preliminare del mercato polacco della cybersecurity in definizione stretta, anno 2022.</t>
  </si>
  <si>
    <t xml:space="preserve">Variazione 2022 su 2021 13,9%</t>
  </si>
  <si>
    <t xml:space="preserve">Według wstępnych danych wartość rynku w 2022 zanotuje 14% wzrost do ponad 2,1 mld zł</t>
  </si>
  <si>
    <t xml:space="preserve">Previsione del mercato polacco della cybersecurity in definizione stretta per il 2024.</t>
  </si>
  <si>
    <t xml:space="preserve">Dinamica indicata per il 2024p 8%</t>
  </si>
  <si>
    <t xml:space="preserve">PMR-CYBERPL-2025</t>
  </si>
  <si>
    <t xml:space="preserve">Puls Biznesu (pb.pl)</t>
  </si>
  <si>
    <t xml:space="preserve">Fudo Security teraz wie lepiej, jak podbić USA</t>
  </si>
  <si>
    <t xml:space="preserve">01/04/2025</t>
  </si>
  <si>
    <t xml:space="preserve">https://www.pb.pl/fudo-security-teraz-wie-lepiej-jak-podbic-usa-1239180</t>
  </si>
  <si>
    <t xml:space="preserve">PMR Market Experts, Rynek cyberbezpieczeństwa w Polsce 2025 (https://pmrmarketexperts.com/raport/rynek-cyberbezpieczenstwa-w-polsce/)</t>
  </si>
  <si>
    <t xml:space="preserve">Wartość rynku cyberbezpieczeństwa (dane PMR Market Experts)</t>
  </si>
  <si>
    <t xml:space="preserve">Valore 2024 del mercato polacco della cybersecurity in definizione stretta secondo PMR, quasi 3 mld zł.</t>
  </si>
  <si>
    <t xml:space="preserve">Variazione 2024 su 2023 oltre 10%</t>
  </si>
  <si>
    <t xml:space="preserve">Wartość rynku w tym ujęciu według danych PMR Market Experts to prawie 3 mld zł w 2024 r., co oznacza wzrost o ponad 10 proc.</t>
  </si>
  <si>
    <t xml:space="preserve">Clienti inclusi dedotti dall'indice del rapporto 2025, che ripartisce il mercato tra grandi, medie e piccole imprese, settore pubblico e famiglie. Valore approssimato (prawie 3 mld zł), in contrasto con il valore di oltre 2,7 mld zł riportato da Rzeczpospolita per lo stesso anno. Letto da estratto indicizzato della pagina. Verifica finale 08/10/2026, valore confermato sulla fonte. Valore 2024 confermato, perimetro stretto definito dalla fonte.</t>
  </si>
  <si>
    <t xml:space="preserve">PWC-CYBERRULETKA-2018</t>
  </si>
  <si>
    <t xml:space="preserve">PwC Polska</t>
  </si>
  <si>
    <t xml:space="preserve">Cyber-ruletka po polsku. Raport PwC GSISS 2018</t>
  </si>
  <si>
    <t xml:space="preserve">04/2018</t>
  </si>
  <si>
    <t xml:space="preserve">https://www.pwc.pl/pl/pdf/cyber-ruletka-po-polsku-raport-pwc-gsiss-2018.pdf</t>
  </si>
  <si>
    <t xml:space="preserve">budżety wyższe niż 1 milion złotych</t>
  </si>
  <si>
    <t xml:space="preserve">Quota di medie e grandi imprese polacche con budget di sicurezza delle informazioni superiore a 1 milione di zł annui.</t>
  </si>
  <si>
    <t xml:space="preserve">tutte le spese di sicurezza delle informazioni, dal personale agli strumenti e alla formazione</t>
  </si>
  <si>
    <t xml:space="preserve">Indagine presso medie e grandi imprese operanti in Polonia, valori autodichiarati dai rispondenti, nessuna riponderazione dichiarata nell'estratto.</t>
  </si>
  <si>
    <t xml:space="preserve">Jedynie 12% uczestników badania wskazuje na budżety wyższe niż 1 milion złotych.</t>
  </si>
  <si>
    <t xml:space="preserve">Anno di riferimento dedotto, indagine condotta prima della pubblicazione di aprile 2018. Valori autodichiarati comprensivi del personale interno, non confrontabili con i rapporti di mercato. Quota di rispondenti per classe di budget. Letto da estratto indicizzato della pagina.</t>
  </si>
  <si>
    <t xml:space="preserve">na cyberbezpieczeństwo przeznaczają średnio zaledwie 3% swojego całkowitego budżetu IT</t>
  </si>
  <si>
    <t xml:space="preserve">Quota media del budget IT destinata alla cybersecurity dalle imprese polacche intervistate.</t>
  </si>
  <si>
    <t xml:space="preserve">Firmy biorące udział w naszym badaniu deklarują, że na cyberbezpieczeństwo przeznaczają średnio zaledwie 3% swojego całkowitego budżetu IT.</t>
  </si>
  <si>
    <t xml:space="preserve">Anno di riferimento dedotto, indagine condotta prima della pubblicazione di aprile 2018. Valori autodichiarati comprensivi del personale interno, non confrontabili con i rapporti di mercato. Letto da estratto indicizzato della pagina.</t>
  </si>
  <si>
    <t xml:space="preserve">respondenci przeznaczający na bezpieczeństwo informacji mniej niż 50 000 złotych rocznie</t>
  </si>
  <si>
    <t xml:space="preserve">Quota di medie e grandi imprese polacche con budget di sicurezza delle informazioni inferiore a 50 mila zł annui.</t>
  </si>
  <si>
    <t xml:space="preserve">Aż 28% respondentów ze średnich i dużych firm deklaruje, że przeznacza na bezpieczeństwo informacji mniej niż 50 000 złotych rocznie.</t>
  </si>
  <si>
    <t xml:space="preserve">Rzeczpospolita</t>
  </si>
  <si>
    <t xml:space="preserve">Rynek cyberbezpieczeństwa w Polsce rośnie jak na drożdżach</t>
  </si>
  <si>
    <t xml:space="preserve">https://www.rp.pl/biznes/art43711681-rynek-cyberbezpieczenstwa-w-polsce-rosnie-jak-na-drozdzach</t>
  </si>
  <si>
    <t xml:space="preserve">wartość polskiego rynku cyberbezpieczeństwa (PMR)</t>
  </si>
  <si>
    <t xml:space="preserve">Valore 2024 del mercato polacco della cybersecurity secondo PMR, oltre 2,7 mld zł.</t>
  </si>
  <si>
    <t xml:space="preserve">W 2024 r. wartość polskiego rynku cyberbezpieczeństwa przekroczyła 2,7 mld zł</t>
  </si>
  <si>
    <t xml:space="preserve">Clienti inclusi dedotti dall'indice del rapporto 2025, che ripartisce il mercato tra grandi, medie e piccole imprese, settore pubblico e famiglie. Letto da estratto indicizzato della pagina.</t>
  </si>
  <si>
    <t xml:space="preserve">Valore preliminare 2025 del mercato polacco della cybersecurity secondo PMR, circa 3,5 mld zł.</t>
  </si>
  <si>
    <t xml:space="preserve">Variazione 2025 su 2024 circa 25%</t>
  </si>
  <si>
    <t xml:space="preserve">wstępne dane dla 2025 r. zakładają wzrost o około jedną czwartą - do poziomu ok. 3,5 mld zł - podaje PMR.</t>
  </si>
  <si>
    <t xml:space="preserve">Clienti inclusi dedotti dall'indice del rapporto 2025, che ripartisce il mercato tra grandi, medie e piccole imprese, settore pubblico e famiglie. Dato preliminare. Letto da estratto indicizzato della pagina. Verifica finale 08/10/2026, valore confermato sulla fonte. Valore 2025 confermato, dato preliminare PMR.</t>
  </si>
  <si>
    <t xml:space="preserve">Rzeczpospolita (PRO.rp.pl)</t>
  </si>
  <si>
    <t xml:space="preserve">Nadchodzą ciężkie czasy w sieci. Eksperci wieszczą potężne zagrożenia</t>
  </si>
  <si>
    <t xml:space="preserve">31/12/2024</t>
  </si>
  <si>
    <t xml:space="preserve">https://pro.rp.pl/raporty-ekonomiczne/art41624791-nadchodza-ciezkie-czasy-w-sieci-eksperci-wieszcza-potezne-zagrozenia</t>
  </si>
  <si>
    <t xml:space="preserve">wydatki firm w Polsce na cyberbezpieczeństwo (analizy PMR Market Experts)</t>
  </si>
  <si>
    <t xml:space="preserve">Valore 2023 del mercato polacco della cybersecurity secondo PMR, presentato come spesa delle imprese.</t>
  </si>
  <si>
    <t xml:space="preserve">Wedle analiz PMR Market Experts sięgają one obecnie ponad 2,7 mld zł (w 2023 r. było to 2,4 mld zł).</t>
  </si>
  <si>
    <t xml:space="preserve">L'articolo lo chiama spesa delle imprese ma il numero è il valore di mercato PMR, perimetro clienti non specificato. Letto da estratto indicizzato della pagina. Verifica finale 08/10/2026, valore confermato sulla fonte. Valore 2023 confermato.</t>
  </si>
  <si>
    <t xml:space="preserve">Variazione 2024 su 2023 10%</t>
  </si>
  <si>
    <t xml:space="preserve">W 2024 r. firmy zwiększyły je rok do roku o 10 proc. Wedle analiz PMR Market Experts sięgają one obecnie ponad 2,7 mld zł</t>
  </si>
  <si>
    <t xml:space="preserve">Valore minimo (ponad 2,7 mld zł). Differisce dalla previsione di circa 3 mld zł riportata da ITwiz nel settembre 2024. Letto da estratto indicizzato della pagina.</t>
  </si>
  <si>
    <t xml:space="preserve">SEJM-FUNDUSZCYBER-2024</t>
  </si>
  <si>
    <t xml:space="preserve">Sejm RP (Dziennik Ustaw)</t>
  </si>
  <si>
    <t xml:space="preserve">Ustawa z dnia 2 grudnia 2021 r. o szczególnych zasadach wynagradzania osób realizujących zadania z zakresu cyberbezpieczeństwa, tekst jednolity Dz.U. 2024 poz. 1662</t>
  </si>
  <si>
    <t xml:space="preserve">https://eli.gov.pl/api/acts/DU/2024/1662/text.html</t>
  </si>
  <si>
    <t xml:space="preserve">Maksymalny limit wydatków z budżetu państwa dla części budżetowej 27 - informatyzacja (Fundusz Cyberbezpieczeństwa)</t>
  </si>
  <si>
    <t xml:space="preserve">Limite di spesa del bilancio statale per il Fondo per la cybersecurity nel 2022.</t>
  </si>
  <si>
    <t xml:space="preserve">Maksymalny limit wydatków z budżetu państwa dla części budżetowej 27 - informatyzacja ... w 2022 r. - 150,00 mln zł</t>
  </si>
  <si>
    <t xml:space="preserve">Tetto massimo di legge, non spesa effettiva. Copre solo personale, non acquisti di prodotti o servizi. Letto da estratto indicizzato della pagina.</t>
  </si>
  <si>
    <t xml:space="preserve">Limite di spesa del bilancio statale per il Fondo per la cybersecurity nel 2023.</t>
  </si>
  <si>
    <t xml:space="preserve">w 2023 r. - 100,00 mln zł</t>
  </si>
  <si>
    <t xml:space="preserve">Limite di spesa del bilancio statale per il Fondo per la cybersecurity nel 2025.</t>
  </si>
  <si>
    <t xml:space="preserve">w 2025 r. - 250,00 mln zł</t>
  </si>
  <si>
    <t xml:space="preserve">Tetto massimo di legge, non spesa effettiva. Copre solo personale, non acquisti di prodotti o servizi. Letto da estratto indicizzato della pagina. Verifica finale 08/10/2026, valore confermato sulla fonte. Limite di spesa 2025 confermato nel testo unico.</t>
  </si>
  <si>
    <t xml:space="preserve">SEJM-KSCNOWEL-2026</t>
  </si>
  <si>
    <t xml:space="preserve">Ustawa z dnia 23 stycznia 2026 r. o zmianie ustawy o krajowym systemie cyberbezpieczeństwa oraz niektórych innych ustaw (Dz.U. 2026 poz. 252)</t>
  </si>
  <si>
    <t xml:space="preserve">https://eli.gov.pl/api/acts/DU/2026/252/text.pdf</t>
  </si>
  <si>
    <t xml:space="preserve">Limite di spesa del bilancio statale per il Fondo per la cybersecurity nel 2026, dopo la riforma KSC del 2026.</t>
  </si>
  <si>
    <t xml:space="preserve">w art. 27 w ust. 1 pkt 5-10 otrzymują brzmienie ... w 2026 r. - 351,922 mln zł</t>
  </si>
  <si>
    <t xml:space="preserve">Tetto massimo di legge, non spesa effettiva. Copre solo personale, non acquisti di prodotti o servizi. Letto da estratto indicizzato della pagina. Verifica finale 08/10/2026, valore confermato sulla fonte. Valore 2026 confermato. Il limite di spesa della legge stessa è un altro importo, 136 778 mila zloty.</t>
  </si>
  <si>
    <t xml:space="preserve">Limite di spesa del bilancio statale per il Fondo per la cybersecurity nel 2027, dopo la riforma KSC del 2026.</t>
  </si>
  <si>
    <t xml:space="preserve">w art. 27 w ust. 1 pkt 5-10 otrzymują brzmienie ... w 2027 r. - 351,935 mln zł</t>
  </si>
  <si>
    <t xml:space="preserve">Limite di spesa del bilancio statale per il Fondo per la cybersecurity nel 2028, dopo la riforma KSC del 2026.</t>
  </si>
  <si>
    <t xml:space="preserve">w art. 27 w ust. 1 pkt 5-10 otrzymują brzmienie ... w 2028 r. - 351,964 mln zł</t>
  </si>
  <si>
    <t xml:space="preserve">Limite di spesa del bilancio statale per il Fondo per la cybersecurity nel 2029, dopo la riforma KSC del 2026.</t>
  </si>
  <si>
    <t xml:space="preserve">w art. 27 w ust. 1 pkt 5-10 otrzymują brzmienie ... w 2029 r. - 351,996 mln zł</t>
  </si>
  <si>
    <t xml:space="preserve">Limite di spesa del bilancio statale per il Fondo per la cybersecurity nel 2030, dopo la riforma KSC del 2026.</t>
  </si>
  <si>
    <t xml:space="preserve">w art. 27 w ust. 1 pkt 5-10 otrzymują brzmienie ... w 2030 r. - 352,030 mln zł</t>
  </si>
  <si>
    <t xml:space="preserve">Limite di spesa del bilancio statale per il Fondo per la cybersecurity nel 2031, dopo la riforma KSC del 2026.</t>
  </si>
  <si>
    <t xml:space="preserve">w art. 27 w ust. 1 pkt 5-10 otrzymują brzmienie ... w 2031 r. - 352,067 mln zł</t>
  </si>
  <si>
    <t xml:space="preserve">STATISTA-STATPL-2025</t>
  </si>
  <si>
    <t xml:space="preserve">Poland. Market size of cybersecurity market 2024-2029 (statistica 1489436)</t>
  </si>
  <si>
    <t xml:space="preserve">14/01/2025</t>
  </si>
  <si>
    <t xml:space="preserve">https://www.statista.com/statistics/1489436/poland-market-size-of-cybersecurity-market/</t>
  </si>
  <si>
    <t xml:space="preserve">Non indicata nell'estratto. Valori identici a Mordor Intelligence, Poland Cybersecurity Market 2024-2029</t>
  </si>
  <si>
    <t xml:space="preserve">estimated market size of the Polish cybersecurity market</t>
  </si>
  <si>
    <t xml:space="preserve">Statistica Statista sul mercato cyber polacco 2024 che riproduce i valori Mordor.</t>
  </si>
  <si>
    <t xml:space="preserve">Crescita annua 2024-2029 5,85%</t>
  </si>
  <si>
    <t xml:space="preserve">Dedotta. Statistica che riprende una stima terza senza metodo nell'estratto.</t>
  </si>
  <si>
    <t xml:space="preserve">Polish cybersecurity market was expected to increase from 1.52 billion US dollars to 2.02 billion US dollars between 2024 and 2029</t>
  </si>
  <si>
    <t xml:space="preserve">Da non confondere con Statista Market Insights Cybersecurity, che ha perimetro e valori diversi (circa 0,8 mld EUR nel 2025 secondo CBI). Previsione 2029 pari a 2,02 mld USD. Letto da estratto indicizzato della pagina. Verifica finale 08/10/2026, valore confermato sulla fonte. Valore 2024 confermato nella pagina Statista.</t>
  </si>
  <si>
    <t xml:space="preserve">VERIFIED-CYBERPL-2025</t>
  </si>
  <si>
    <t xml:space="preserve">Poland Cybersecurity Market Size and Forecast</t>
  </si>
  <si>
    <t xml:space="preserve">03/03/2025</t>
  </si>
  <si>
    <t xml:space="preserve">https://www.verifiedmarketresearch.com/product/poland-cybersecurity-market/</t>
  </si>
  <si>
    <t xml:space="preserve">Mercato polacco della cybersecurity nel 2024 secondo Verified Market Research.</t>
  </si>
  <si>
    <t xml:space="preserve">CAGR 2026-2032 12%</t>
  </si>
  <si>
    <t xml:space="preserve">Poland Cybersecurity Market size was valued at USD 1.8 Billion in 2024 and is projected to reach USD 5 Billion by 2032</t>
  </si>
  <si>
    <t xml:space="preserve">Clienti inclusi dedotti dalla descrizione delle applicazioni personali, aziendali e governative. Letto da estratto indicizzato della pagina. Verifica finale 08/10/2026, valore confermato sulla fonte. Valore 2024 confermato.</t>
  </si>
  <si>
    <t xml:space="preserve">Previsione Verified Market Research del mercato polacco della cybersecurity al 2032.</t>
  </si>
  <si>
    <t xml:space="preserve">Clienti inclusi dedotti dalla descrizione delle applicazioni personali, aziendali e governative. Letto da estratto indicizzato della pagina.</t>
  </si>
  <si>
    <t xml:space="preserve">CYFROWAPOLSKA-CYBERODP-2025</t>
  </si>
  <si>
    <t xml:space="preserve">Związek Cyfrowa Polska</t>
  </si>
  <si>
    <t xml:space="preserve">Mapa drogowa polskiej cyberodporności 2025</t>
  </si>
  <si>
    <t xml:space="preserve">https://cyfrowapolska.org/wp-content/uploads/2025/09/Raport_-_mapa_drogowa_polskiej_cyberodpornosci_2025_-1.pdf</t>
  </si>
  <si>
    <t xml:space="preserve">IDC (documento non specificato)</t>
  </si>
  <si>
    <t xml:space="preserve">krajowy rynek (wydatki na cyberbezpieczeństwo według IDC)</t>
  </si>
  <si>
    <t xml:space="preserve">Mercato cyber polacco 2023 attribuito a IDC dal rapporto Cyfrowa Polska.</t>
  </si>
  <si>
    <t xml:space="preserve">Dedotta. Il rapporto riprende il numero senza descriverne la costruzione.</t>
  </si>
  <si>
    <t xml:space="preserve">według IDC ... co przekłada się na krajowy rynek wart ~2,5 mld zł w 2024 roku (2 mld zł w 2023 r.)</t>
  </si>
  <si>
    <t xml:space="preserve">Attribuzione a IDC dubbia, i valori coincidono con le stime e previsioni PMR del 2022 e non con i dati IDC in dollari. Letto da estratto indicizzato della pagina.</t>
  </si>
  <si>
    <t xml:space="preserve">Mercato cyber polacco 2024 attribuito a IDC dal rapporto Cyfrowa Polska.</t>
  </si>
  <si>
    <t xml:space="preserve">Crescita annua oltre 15%</t>
  </si>
  <si>
    <t xml:space="preserve">Attribuzione a IDC dubbia, i valori coincidono con le stime e previsioni PMR del 2022 e non con i dati IDC in dollari. Letto da estratto indicizzato della pagina. Verifica finale 08/10/2026, valore confermato sulla fonte. Valore 2024 approssimato confermato, ripreso da IDC.</t>
  </si>
  <si>
    <t xml:space="preserve">GNS-PLANOATIVIDADES-2025</t>
  </si>
  <si>
    <t xml:space="preserve">PT</t>
  </si>
  <si>
    <t xml:space="preserve">Portogallo</t>
  </si>
  <si>
    <t xml:space="preserve">Gabinete Nacional de Segurança e Centro Nacional de Cibersegurança (GNS/CNCS)</t>
  </si>
  <si>
    <t xml:space="preserve">Plano de Atividades de 2025</t>
  </si>
  <si>
    <t xml:space="preserve">https://www.gns.gov.pt/docs/pa-2025.pdf</t>
  </si>
  <si>
    <t xml:space="preserve">dotação inicial do orçamento de funcionamento do GNS/CNCS</t>
  </si>
  <si>
    <t xml:space="preserve">Dotazione iniziale 2025 del bilancio di funzionamento di GNS e CNCS.</t>
  </si>
  <si>
    <t xml:space="preserve">Dedotta. Dotazione di bilancio dell'autorità pubblica, non ricavi dei fornitori.</t>
  </si>
  <si>
    <t xml:space="preserve">Dotazione iniziale del bilancio di funzionamento e investimento PRR previsto indicati nel piano di attività.</t>
  </si>
  <si>
    <t xml:space="preserve">a dotação inicial do orçamento de funcionamento do GNS/CNCS é de € 8.099.032 dos quais € 5.245.801 são respeitantes à atividade do CNCS</t>
  </si>
  <si>
    <t xml:space="preserve">Letto da estratto indicizzato della pagina. Valore originale 8.099.032 euro convertito in milioni. Include attività non cyber del GNS.</t>
  </si>
  <si>
    <t xml:space="preserve">dotação respeitante à atividade do CNCS</t>
  </si>
  <si>
    <t xml:space="preserve">Quota 2025 del bilancio di funzionamento relativa al Centro Nazionale di Cybersecurity.</t>
  </si>
  <si>
    <t xml:space="preserve">dos quais € 5.245.801 são respeitantes à atividade do CNCS</t>
  </si>
  <si>
    <t xml:space="preserve">Letto da estratto indicizzato della pagina. Valore originale 5.245.801 euro convertito in milioni.</t>
  </si>
  <si>
    <t xml:space="preserve">investimento previsto no âmbito do PRR</t>
  </si>
  <si>
    <t xml:space="preserve">Investimento PRR previsto nel 2025 per GNS e CNCS.</t>
  </si>
  <si>
    <t xml:space="preserve">No âmbito do Plano de Recuperação e Resiliência está previsto um investimento de € 34.352.843</t>
  </si>
  <si>
    <t xml:space="preserve">Letto da estratto indicizzato della pagina. Valore originale 34.352.843 euro convertito in milioni. Orizzonte temporale dell'importo non precisato nell'estratto.</t>
  </si>
  <si>
    <t xml:space="preserve">GOVPT-PRRCIBER-2022</t>
  </si>
  <si>
    <t xml:space="preserve">Governo de Portugal (XXIII Governo Constitucional)</t>
  </si>
  <si>
    <t xml:space="preserve">PRR vai investir 47 milhões na formação em cibersegurança (notícia)</t>
  </si>
  <si>
    <t xml:space="preserve">09/06/2022</t>
  </si>
  <si>
    <t xml:space="preserve">https://portugal.gov.pt/gc23/comunicacao/noticias/prr-vai-investir-47-milhoes-na-formacao-em-ciberseguranca</t>
  </si>
  <si>
    <t xml:space="preserve">PRR, reforço do quadro geral da cibersegurança</t>
  </si>
  <si>
    <t xml:space="preserve">Risorse PRR iscritte per il rafforzamento del quadro generale della cybersecurity in Portogallo.</t>
  </si>
  <si>
    <t xml:space="preserve">Dedotta. Risorse pubbliche PRR per misure cyber, non ricavi dei fornitori.</t>
  </si>
  <si>
    <t xml:space="preserve">Importo iscritto nel PRR per il rafforzamento del quadro generale della cybersecurity.</t>
  </si>
  <si>
    <t xml:space="preserve">o Plano de Recuperação e Resiliência tem inscritos 47 milhões de euros «para o reforço do quadro geral da cibersegurança</t>
  </si>
  <si>
    <t xml:space="preserve">Letto da estratto indicizzato della pagina. Dotazione PRR fino al 2026. EPRS indica 51 milioni per la stessa misura, il piano GNS 2025 un investimento PRR di 34,35 milioni.</t>
  </si>
  <si>
    <t xml:space="preserve">MORDOR-CYBERPT-2025</t>
  </si>
  <si>
    <t xml:space="preserve">Portugal Cybersecurity Market Size (edizione 2025-2030)</t>
  </si>
  <si>
    <t xml:space="preserve">https://www.mordorintelligence.com/industry-reports/portugal-cybersecurity-market/market-size</t>
  </si>
  <si>
    <t xml:space="preserve">CAGR Portugal Cybersecurity Market</t>
  </si>
  <si>
    <t xml:space="preserve">Tasso di crescita medio annuo previsto del mercato cyber portoghese 2025-2030 nell'edizione precedente.</t>
  </si>
  <si>
    <t xml:space="preserve">CAGR 2025-2030 7,70%</t>
  </si>
  <si>
    <t xml:space="preserve">The Portugal Cybersecurity Market is projected to register a CAGR of 7.70% during the forecast period (2025-2030)</t>
  </si>
  <si>
    <t xml:space="preserve">Letto da estratto indicizzato della pagina. Valore di base non presente nell'estratto.</t>
  </si>
  <si>
    <t xml:space="preserve">MORDOR-CYBERPT-2026</t>
  </si>
  <si>
    <t xml:space="preserve">Portugal Cybersecurity Market Size &amp; Share Analysis (2026-2031)</t>
  </si>
  <si>
    <t xml:space="preserve">https://www.mordorintelligence.com/industry-reports/portugal-cybersecurity-market</t>
  </si>
  <si>
    <t xml:space="preserve">Portugal cybersecurity market size</t>
  </si>
  <si>
    <t xml:space="preserve">Dimensione del mercato cyber portoghese nel 2025 secondo Mordor Intelligence.</t>
  </si>
  <si>
    <t xml:space="preserve">Portugal cybersecurity market size in 2026 is estimated at USD 1.28 billion, growing from 2025 value of USD 1.20 billion</t>
  </si>
  <si>
    <t xml:space="preserve">Letto da estratto indicizzato della pagina. Verifica finale 08/10/2026, valore confermato sulla fonte. Valore 2025 confermato nella pagina Mordor.</t>
  </si>
  <si>
    <t xml:space="preserve">Dimensione stimata del mercato cyber portoghese nel 2026 secondo Mordor Intelligence.</t>
  </si>
  <si>
    <t xml:space="preserve">Portugal cybersecurity market size in 2026 is estimated at USD 1.28 billion</t>
  </si>
  <si>
    <t xml:space="preserve">Dimensione prevista del mercato cyber portoghese nel 2031 secondo Mordor Intelligence.</t>
  </si>
  <si>
    <t xml:space="preserve">CAGR 2026-2031 6,59%</t>
  </si>
  <si>
    <t xml:space="preserve">with 2031 projections showing USD 1.76 billion, growing at 6.59% CAGR over 2026-2031</t>
  </si>
  <si>
    <t xml:space="preserve">CNCS-ECONOMIA-2022</t>
  </si>
  <si>
    <t xml:space="preserve">Observatório de Cibersegurança, Centro Nacional de Cibersegurança (CNCS)</t>
  </si>
  <si>
    <t xml:space="preserve">Cibersegurança em Portugal, Economia (maio 2022)</t>
  </si>
  <si>
    <t xml:space="preserve">https://www.cncs.gov.pt/docs/relatorio-economia2022-obciber-cncs.pdf</t>
  </si>
  <si>
    <t xml:space="preserve">volume de negócios do sector da cibersegurança</t>
  </si>
  <si>
    <t xml:space="preserve">Fatturato 2019 delle 144 imprese il cui fatturato deriva in larga misura dalla cybersecurity.</t>
  </si>
  <si>
    <t xml:space="preserve">Selezione e quantificazione dalle imprese dei CAE 62 e 63 nella banca dati ORBIS Europe. Gruppo nucleare di 144 imprese con fatturato prevalentemente cyber, gruppo potenziale di 5.573 imprese.</t>
  </si>
  <si>
    <t xml:space="preserve">o sector da cibersegurança em Portugal é constituído por 144 empresas ... e têm um volume de negócios conjunto de cerca de 130 milhões</t>
  </si>
  <si>
    <t xml:space="preserve">Letto da estratto indicizzato della pagina. La fonte avverte che la definizione ristretta può sottostimare il settore. Verifica finale 08/10/2026, valore confermato sulla fonte. Valore confermato. L'estratto non mostra l'anno, non contestabile.</t>
  </si>
  <si>
    <t xml:space="preserve">valor do mercado português de cibersegurança</t>
  </si>
  <si>
    <t xml:space="preserve">Valore del mercato portoghese della cybersecurity nel 2021 stimato su dati IDC.</t>
  </si>
  <si>
    <t xml:space="preserve">crescita annua prevista vicina al 7%</t>
  </si>
  <si>
    <t xml:space="preserve">Stima ripresa da dati IDC, metodologia non descritta.</t>
  </si>
  <si>
    <t xml:space="preserve">Com base em dados da IDC, estima-se que, em 2021, o valor do mercado de cibersegurança em Portugal seja de 165 milhões de euros</t>
  </si>
  <si>
    <t xml:space="preserve">Letto da estratto indicizzato della pagina. Valore approssimato. Rapporto pubblicato a maggio 2022, il 2021 è presentato come stima. Verifica finale 08/10/2026, valore confermato sulla fonte. Valore 2021 confermato, fonte IDC.</t>
  </si>
  <si>
    <t xml:space="preserve">CNCS-SOCIEDADE-2025</t>
  </si>
  <si>
    <t xml:space="preserve">Cibersegurança em Portugal, Sociedade 2025</t>
  </si>
  <si>
    <t xml:space="preserve">https://www.cncs.gov.pt/docs/rel-sociedade2025-obciber-cncs.pdf</t>
  </si>
  <si>
    <t xml:space="preserve">ENISA, NIS Investments (edizioni 2024 e successive)</t>
  </si>
  <si>
    <t xml:space="preserve">despesas com cibersegurança em percentagem das despesas com TI (mediana)</t>
  </si>
  <si>
    <t xml:space="preserve">Quota mediana della spesa cyber sulla spesa IT delle organizzazioni portoghesi del campione NIS nel 2022.</t>
  </si>
  <si>
    <t xml:space="preserve">Dedotta. Mediane riprese dalla survey ENISA presso entità NIS acquirenti.</t>
  </si>
  <si>
    <t xml:space="preserve">Mediane per Portogallo riprese dai rapporti ENISA NIS Investments, campione di entità NIS. Metodologia nella fonte primaria.</t>
  </si>
  <si>
    <t xml:space="preserve">desde 2022, data em que o valor mediano era 7,5% para Portugal e 6,7% na mediana da UE</t>
  </si>
  <si>
    <t xml:space="preserve">Letto da estratto indicizzato della pagina. Valore per singola organizzazione, mediana del campione portoghese ENISA, da non moltiplicare per il numero di imprese. Secondo il brief le mediane ENISA includono il personale interno.</t>
  </si>
  <si>
    <t xml:space="preserve">despesas medianas relacionadas com cibersegurança</t>
  </si>
  <si>
    <t xml:space="preserve">Spesa cyber mediana delle organizzazioni portoghesi del campione NIS nel 2022.</t>
  </si>
  <si>
    <t xml:space="preserve">Em 2022, as despesas medianas relacionadas com cibersegurança por parte de organizações portuguesas rondava os 800 mil euros</t>
  </si>
  <si>
    <t xml:space="preserve">valor mediano investido</t>
  </si>
  <si>
    <t xml:space="preserve">Spesa cyber mediana delle organizzazioni portoghesi del campione NIS nel 2023.</t>
  </si>
  <si>
    <t xml:space="preserve">Em 2023, observou-se uma queda para um valor mediano de 500 mil euros</t>
  </si>
  <si>
    <t xml:space="preserve">Quota mediana della spesa cyber sulla spesa IT delle organizzazioni portoghesi del campione NIS nel 2024.</t>
  </si>
  <si>
    <t xml:space="preserve">atingindo, em 2024, os 8,8% em Portugal e 9% na mediana da UE</t>
  </si>
  <si>
    <t xml:space="preserve">Spesa cyber mediana delle organizzazioni portoghesi del campione NIS nel 2024.</t>
  </si>
  <si>
    <t xml:space="preserve">atingindo os 1.7 milhões de euros, valor acima da mediana europeia em 2024 (1.4 milhões de euros)</t>
  </si>
  <si>
    <t xml:space="preserve">Letto da estratto indicizzato della pagina. Valore per singola organizzazione, mediana del campione portoghese ENISA, da non moltiplicare per il numero di imprese. Secondo il brief le mediane ENISA includono il personale interno. Il testo indica anche un aumento di circa 220 mila euro, incoerente con il passaggio da 0,5 a 1,7 milioni.</t>
  </si>
  <si>
    <t xml:space="preserve">(I) Strengthening the overall cybersecurity framework €51</t>
  </si>
  <si>
    <t xml:space="preserve">6WRESEARCH-CYBERCZ-2026</t>
  </si>
  <si>
    <t xml:space="preserve">CZ</t>
  </si>
  <si>
    <t xml:space="preserve">Repubblica Ceca</t>
  </si>
  <si>
    <t xml:space="preserve">Czech Republic Information Security Consulting Market</t>
  </si>
  <si>
    <t xml:space="preserve">https://www.6wresearch.com/industry-report/czech-republic-information-security-consulting-market</t>
  </si>
  <si>
    <t xml:space="preserve">Segmento ceco consulenza di sicurezza delle informazioni nel 2025 secondo 6Wresearch.</t>
  </si>
  <si>
    <t xml:space="preserve">Consulenza di sicurezza delle informazioni</t>
  </si>
  <si>
    <t xml:space="preserve">CAGR 2026-2032 4,5%</t>
  </si>
  <si>
    <t xml:space="preserve">The Czech Republic Information Security Consulting Market was estimated at USD 348 Million in 2025</t>
  </si>
  <si>
    <t xml:space="preserve">Czech Republic Managed Security Services Market</t>
  </si>
  <si>
    <t xml:space="preserve">https://www.6wresearch.com/industry-report/czech-republic-managed-security-services-market-2020-2026</t>
  </si>
  <si>
    <t xml:space="preserve">Segmento ceco servizi gestiti di sicurezza nel 2025 secondo 6Wresearch.</t>
  </si>
  <si>
    <t xml:space="preserve">Servizi gestiti di sicurezza</t>
  </si>
  <si>
    <t xml:space="preserve">CAGR 2026-2032 4,6%</t>
  </si>
  <si>
    <t xml:space="preserve">The czech republic managed security services market was estimated at USD 277 Million in 2025 and is projected to reach USD 361 Million by 2032</t>
  </si>
  <si>
    <t xml:space="preserve">Letto da estratto indicizzato della pagina. Verifica finale 08/10/2026, valore confermato sulla fonte. Valore 2025 confermato nella pagina 6Wresearch.</t>
  </si>
  <si>
    <t xml:space="preserve">Czech Republic Security and Vulnerability Management Market</t>
  </si>
  <si>
    <t xml:space="preserve">https://www.6wresearch.com/industry-report/czech-republic-security-and-vulnerability-management-market</t>
  </si>
  <si>
    <t xml:space="preserve">Segmento ceco gestione di sicurezza e vulnerabilità (software) nel 2025 secondo 6Wresearch.</t>
  </si>
  <si>
    <t xml:space="preserve">Gestione di sicurezza e vulnerabilità (software)</t>
  </si>
  <si>
    <t xml:space="preserve">CAGR 2026-2032 5,9%</t>
  </si>
  <si>
    <t xml:space="preserve">The Czech Republic Security and Vulnerability Management Market was estimated at USD 1266 Million in 2025</t>
  </si>
  <si>
    <t xml:space="preserve">Il solo segmento supera di oltre tre volte il mercato cyber ceco totale stimato da Statista (358 mln USD nel 2025). Letto da estratto indicizzato della pagina.</t>
  </si>
  <si>
    <t xml:space="preserve">APPSEC-IPSOS-2026</t>
  </si>
  <si>
    <t xml:space="preserve">Feedit.cz</t>
  </si>
  <si>
    <t xml:space="preserve">Výdaje českých firem na kybernetickou bezpečnost klesají. Tři čtvrtiny společností za ni ročně utratí do 200 000 Kč</t>
  </si>
  <si>
    <t xml:space="preserve">https://feedit.cz/2026/03/23/vydaje-ceskych-firem-na-kybernetickou-bezpecnost-klesaji-tri-ctvrtiny-spolecnosti-za-ni-rocne-utrati-do-200-000-kc/</t>
  </si>
  <si>
    <t xml:space="preserve">APPSEC con indagine Ipsos 9-12/02/2026 (comunicato stampa)</t>
  </si>
  <si>
    <t xml:space="preserve">roční rozpočet na kybernetickou bezpečnost do 100 000 Kč</t>
  </si>
  <si>
    <t xml:space="preserve">Quota di imprese ceche con budget annuo di cybersecurity fino a 100 mila corone, indagine 2026.</t>
  </si>
  <si>
    <t xml:space="preserve">Indagine Ipsos per APPSEC del 9-12 febbraio 2026 su 1050 rispondenti con potere decisionale o consultivo in ambito IT, risultati per classe di budget annuo.</t>
  </si>
  <si>
    <t xml:space="preserve">Tři čtvrtiny českých firem (75 %) vydají do 200 000 Kč, 58,1 % dokonce jen do 100 000 Kč.</t>
  </si>
  <si>
    <t xml:space="preserve">Quota di rispondenti per classe di budget annuo, valori autodichiarati da responsabili IT. Letto da estratto indicizzato della pagina.</t>
  </si>
  <si>
    <t xml:space="preserve">roční rozpočet na kybernetickou bezpečnost nad milion Kč</t>
  </si>
  <si>
    <t xml:space="preserve">Quota di imprese ceche con budget annuo di cybersecurity oltre 1 milione di corone, indagine 2026.</t>
  </si>
  <si>
    <t xml:space="preserve">od půl milionu do jednoho milionu Kč to je 6,3 % a nad milion Kč ročně 6,1 % respondentů.</t>
  </si>
  <si>
    <t xml:space="preserve">IDC-PRESSEUR-2024</t>
  </si>
  <si>
    <t xml:space="preserve">European Security Spending is Forecast to Grow at Double Digits in 2024 (comunicato stampa)</t>
  </si>
  <si>
    <t xml:space="preserve">25/03/2024</t>
  </si>
  <si>
    <t xml:space="preserve">https://my.idc.com/getdoc.jsp?containerId=prEUR251983724</t>
  </si>
  <si>
    <t xml:space="preserve">IDC Worldwide Security Spending Guide (release 2024)</t>
  </si>
  <si>
    <t xml:space="preserve">Security spending growth rate by country (CEE)</t>
  </si>
  <si>
    <t xml:space="preserve">Crescita annua prevista della spesa in sicurezza nel paese nel 2024, tra i paesi CEE a crescita più alta secondo IDC.</t>
  </si>
  <si>
    <t xml:space="preserve">Central and Eastern European (CEE) countries having the highest growth rates (for example, 15.4% in the Czech Republic and 13.4% in Hungary)</t>
  </si>
  <si>
    <t xml:space="preserve">Letto da estratto indicizzato della pagina. Riga paese da comunicato europeo multi-paese.</t>
  </si>
  <si>
    <t xml:space="preserve">Czech Republic and Hungary are expected to record the fastest growth in security spending in Europe in 2025, with year-on-year increases of 15.4% and 14.1%</t>
  </si>
  <si>
    <t xml:space="preserve">KOTRA (Korea Trade-Investment Promotion Agency)</t>
  </si>
  <si>
    <r>
      <rPr>
        <sz val="10"/>
        <rFont val="WenQuanYi Zen Hei"/>
        <family val="2"/>
      </rPr>
      <t xml:space="preserve">체코</t>
    </r>
    <r>
      <rPr>
        <sz val="10"/>
        <rFont val="Arial"/>
        <family val="0"/>
        <charset val="1"/>
      </rPr>
      <t xml:space="preserve">, </t>
    </r>
    <r>
      <rPr>
        <sz val="10"/>
        <rFont val="WenQuanYi Zen Hei"/>
        <family val="2"/>
      </rPr>
      <t xml:space="preserve">사이버 보안 강조 속 인프라∙에너지∙</t>
    </r>
    <r>
      <rPr>
        <sz val="10"/>
        <rFont val="Arial"/>
        <family val="0"/>
        <charset val="1"/>
      </rPr>
      <t xml:space="preserve">IT </t>
    </r>
    <r>
      <rPr>
        <sz val="10"/>
        <rFont val="WenQuanYi Zen Hei"/>
        <family val="2"/>
      </rPr>
      <t xml:space="preserve">중심 보안시장 성장</t>
    </r>
  </si>
  <si>
    <t xml:space="preserve">07/07/2025</t>
  </si>
  <si>
    <t xml:space="preserve">https://dream.kotra.or.kr/kotranews/cms/news/actionKotraBoardDetail.do?SITE_NO=3&amp;MENU_ID=180&amp;CONTENTS_NO=1&amp;bbsGbn=243&amp;bbsSn=243&amp;pNttSn=231198</t>
  </si>
  <si>
    <t xml:space="preserve">Statista Market Insights, Cybersecurity, Czechia (https://www.statista.com/outlook/tmo/cybersecurity/czechia)</t>
  </si>
  <si>
    <r>
      <rPr>
        <sz val="10"/>
        <rFont val="WenQuanYi Zen Hei"/>
        <family val="2"/>
      </rPr>
      <t xml:space="preserve">체코의 사이버 보안 시장</t>
    </r>
    <r>
      <rPr>
        <sz val="10"/>
        <rFont val="Arial"/>
        <family val="0"/>
        <charset val="1"/>
      </rPr>
      <t xml:space="preserve">(</t>
    </r>
    <r>
      <rPr>
        <sz val="10"/>
        <rFont val="WenQuanYi Zen Hei"/>
        <family val="2"/>
      </rPr>
      <t xml:space="preserve">보안 솔루션 및 보안 서비스</t>
    </r>
    <r>
      <rPr>
        <sz val="10"/>
        <rFont val="Arial"/>
        <family val="0"/>
        <charset val="1"/>
      </rPr>
      <t xml:space="preserve">) </t>
    </r>
    <r>
      <rPr>
        <sz val="10"/>
        <rFont val="WenQuanYi Zen Hei"/>
        <family val="2"/>
      </rPr>
      <t xml:space="preserve">시장규모</t>
    </r>
  </si>
  <si>
    <t xml:space="preserve">Mercato ceco della cybersecurity nel 2024 secondo Statista Market Insights, riportato da KOTRA.</t>
  </si>
  <si>
    <r>
      <rPr>
        <sz val="10"/>
        <rFont val="Arial"/>
        <family val="0"/>
        <charset val="1"/>
      </rPr>
      <t xml:space="preserve">2024</t>
    </r>
    <r>
      <rPr>
        <sz val="10"/>
        <rFont val="WenQuanYi Zen Hei"/>
        <family val="2"/>
      </rPr>
      <t xml:space="preserve">년 기준 시장규모는 </t>
    </r>
    <r>
      <rPr>
        <sz val="10"/>
        <rFont val="Arial"/>
        <family val="0"/>
        <charset val="1"/>
      </rPr>
      <t xml:space="preserve">3</t>
    </r>
    <r>
      <rPr>
        <sz val="10"/>
        <rFont val="WenQuanYi Zen Hei"/>
        <family val="2"/>
      </rPr>
      <t xml:space="preserve">억</t>
    </r>
    <r>
      <rPr>
        <sz val="10"/>
        <rFont val="Arial"/>
        <family val="0"/>
        <charset val="1"/>
      </rPr>
      <t xml:space="preserve">3000</t>
    </r>
    <r>
      <rPr>
        <sz val="10"/>
        <rFont val="WenQuanYi Zen Hei"/>
        <family val="2"/>
      </rPr>
      <t xml:space="preserve">만 달러로 추산됐다</t>
    </r>
    <r>
      <rPr>
        <sz val="10"/>
        <rFont val="Arial"/>
        <family val="0"/>
        <charset val="1"/>
      </rPr>
      <t xml:space="preserve">. 2025</t>
    </r>
    <r>
      <rPr>
        <sz val="10"/>
        <rFont val="WenQuanYi Zen Hei"/>
        <family val="2"/>
      </rPr>
      <t xml:space="preserve">년 시장규모도 전년 대비 </t>
    </r>
    <r>
      <rPr>
        <sz val="10"/>
        <rFont val="Arial"/>
        <family val="0"/>
        <charset val="1"/>
      </rPr>
      <t xml:space="preserve">8.6% </t>
    </r>
    <r>
      <rPr>
        <sz val="10"/>
        <rFont val="WenQuanYi Zen Hei"/>
        <family val="2"/>
      </rPr>
      <t xml:space="preserve">늘어난 </t>
    </r>
    <r>
      <rPr>
        <sz val="10"/>
        <rFont val="Arial"/>
        <family val="0"/>
        <charset val="1"/>
      </rPr>
      <t xml:space="preserve">3</t>
    </r>
    <r>
      <rPr>
        <sz val="10"/>
        <rFont val="WenQuanYi Zen Hei"/>
        <family val="2"/>
      </rPr>
      <t xml:space="preserve">억</t>
    </r>
    <r>
      <rPr>
        <sz val="10"/>
        <rFont val="Arial"/>
        <family val="0"/>
        <charset val="1"/>
      </rPr>
      <t xml:space="preserve">5841</t>
    </r>
    <r>
      <rPr>
        <sz val="10"/>
        <rFont val="WenQuanYi Zen Hei"/>
        <family val="2"/>
      </rPr>
      <t xml:space="preserve">만 달러</t>
    </r>
  </si>
  <si>
    <t xml:space="preserve">Pagina outlook Statista Czechia con valori oscurati nell'estratto. Letto da estratto indicizzato della pagina. Verifica finale 08/10/2026, valore confermato sulla fonte. Articolo KOTRA che riprende Statista, stessa pagina con parametri diversi.</t>
  </si>
  <si>
    <r>
      <rPr>
        <sz val="10"/>
        <rFont val="WenQuanYi Zen Hei"/>
        <family val="2"/>
      </rPr>
      <t xml:space="preserve">직원 </t>
    </r>
    <r>
      <rPr>
        <sz val="10"/>
        <rFont val="Arial"/>
        <family val="0"/>
        <charset val="1"/>
      </rPr>
      <t xml:space="preserve">1</t>
    </r>
    <r>
      <rPr>
        <sz val="10"/>
        <rFont val="WenQuanYi Zen Hei"/>
        <family val="2"/>
      </rPr>
      <t xml:space="preserve">인당 평균 보안 관련 지출</t>
    </r>
  </si>
  <si>
    <t xml:space="preserve">Spesa media in cybersecurity per addetto nella Repubblica Ceca nel 2025 secondo Statista, riportata da KOTRA.</t>
  </si>
  <si>
    <r>
      <rPr>
        <sz val="10"/>
        <rFont val="WenQuanYi Zen Hei"/>
        <family val="2"/>
      </rPr>
      <t xml:space="preserve">직원 </t>
    </r>
    <r>
      <rPr>
        <sz val="10"/>
        <rFont val="Arial"/>
        <family val="0"/>
        <charset val="1"/>
      </rPr>
      <t xml:space="preserve">1</t>
    </r>
    <r>
      <rPr>
        <sz val="10"/>
        <rFont val="WenQuanYi Zen Hei"/>
        <family val="2"/>
      </rPr>
      <t xml:space="preserve">인당 평균 보안 관련 지출은 </t>
    </r>
    <r>
      <rPr>
        <sz val="10"/>
        <rFont val="Arial"/>
        <family val="0"/>
        <charset val="1"/>
      </rPr>
      <t xml:space="preserve">67</t>
    </r>
    <r>
      <rPr>
        <sz val="10"/>
        <rFont val="WenQuanYi Zen Hei"/>
        <family val="2"/>
      </rPr>
      <t xml:space="preserve">달러로 추산된다</t>
    </r>
  </si>
  <si>
    <t xml:space="preserve">Valore per addetto in USD, ottenuto dividendo i ricavi di mercato per il numero di occupati, non spesa per organizzazione. Pagina outlook Statista Czechia con valori oscurati nell'estratto. Letto da estratto indicizzato della pagina. Verifica finale 08/10/2026, valore confermato sulla fonte. Spesa media per addetto 2025 da Statista.</t>
  </si>
  <si>
    <t xml:space="preserve">Mercato ceco della cybersecurity nel 2025 secondo Statista Market Insights, riportato da KOTRA.</t>
  </si>
  <si>
    <t xml:space="preserve">Variazione 2025 su 2024 8,6%; CAGR 2025-2029 7,4%</t>
  </si>
  <si>
    <t xml:space="preserve">Pagina outlook Statista Czechia con valori oscurati nell'estratto. Letto da estratto indicizzato della pagina.</t>
  </si>
  <si>
    <t xml:space="preserve">MFCR-NAVRHSR2027-2026</t>
  </si>
  <si>
    <t xml:space="preserve">Lupa.cz</t>
  </si>
  <si>
    <t xml:space="preserve">Kyberúřad opět dostane více peněz. Rád by ještě více, čelí tlaku na platy a zajištění činnosti</t>
  </si>
  <si>
    <t xml:space="preserve">22/09/2026</t>
  </si>
  <si>
    <t xml:space="preserve">https://www.lupa.cz/aktuality/kyberurad-opet-dostane-vice-penez-rad-by-jeste-vice-celi-tlaku-na-platy-a-zajisteni-cinnosti/</t>
  </si>
  <si>
    <t xml:space="preserve">Ministerstvo financí ČR, dati di bilancio 2026 e proposta 2027</t>
  </si>
  <si>
    <t xml:space="preserve">rozpočet Kyberúřadu (NÚKIB)</t>
  </si>
  <si>
    <t xml:space="preserve">Bilancio pianificato 2026 dell'agenzia ceca NÚKIB secondo dati del ministero delle finanze.</t>
  </si>
  <si>
    <t xml:space="preserve">CZK</t>
  </si>
  <si>
    <t xml:space="preserve">personale, spese correnti e spese in conto capitale dell'agenzia</t>
  </si>
  <si>
    <t xml:space="preserve">Dedotta. Bilancio dell'agenzia pubblica che spende per la cybersecurity dello Stato.</t>
  </si>
  <si>
    <t xml:space="preserve">Dato amministrativo della legge di bilancio statale, capitolo 378.</t>
  </si>
  <si>
    <t xml:space="preserve">Kyberúřad má podle údajů ministerstva financí na letošek naplánovaný rozpočet 880 milionů korun.</t>
  </si>
  <si>
    <t xml:space="preserve">Bilancio dell'agenzia, circa metà destinata a stipendi. Una parte è classificata come spesa per la difesa. Letto da estratto indicizzato della pagina. Verifica finale 08/10/2026, valore confermato sulla fonte. Articolo del settembre 2026, bilancio pianificato per l'anno in corso.</t>
  </si>
  <si>
    <t xml:space="preserve">Proposta di bilancio 2027 per l'agenzia ceca NÚKIB, circa 964 milioni di corone.</t>
  </si>
  <si>
    <t xml:space="preserve">V návrhu na příští rok se jedná o skoro 964 milionů korun.</t>
  </si>
  <si>
    <t xml:space="preserve">Bilancio dell'agenzia, circa metà destinata a stipendi. Una parte è classificata come spesa per la difesa. Letto da estratto indicizzato della pagina.</t>
  </si>
  <si>
    <t xml:space="preserve">MFCR-NAVRHSR2026-2025</t>
  </si>
  <si>
    <t xml:space="preserve">Ministerstvo financí ČR</t>
  </si>
  <si>
    <t xml:space="preserve">Vláda schválila návrh státního rozpočtu na rok 2026</t>
  </si>
  <si>
    <t xml:space="preserve">30/09/2025</t>
  </si>
  <si>
    <t xml:space="preserve">https://mf.gov.cz/cs/ministerstvo/media/tiskove-zpravy/2025/vlada-schvalila-navrh-statniho-rozpoctu-na-rok-202-61433</t>
  </si>
  <si>
    <t xml:space="preserve">Výdaje kapitoly 378 Národní úřad pro kybernetickou a informační bezpečnost</t>
  </si>
  <si>
    <t xml:space="preserve">Proposta governativa di bilancio 2026 per l'agenzia ceca NÚKIB.</t>
  </si>
  <si>
    <t xml:space="preserve">|378|Národní úřad pro kybernetickou a informační bezpečnost|678 826 085|923 353 199|</t>
  </si>
  <si>
    <t xml:space="preserve">Bilancio dell'agenzia, circa metà destinata a stipendi. Una parte è classificata come spesa per la difesa. Proposta di settembre 2025, superiore ai circa 880 mln Kč indicati come bilancio 2026 pianificato da Lupa.cz. Letto da estratto indicizzato della pagina. Verifica finale 08/10/2026, riverifica non riuscita (non trovato). La pagina è indicizzata ma l'estratto si interrompe prima del capitolo 378. Indica solo 0,9 miliardi di spese per la difesa nel capitolo NÚKIB. Valore letto in fase di raccolta, da ricontrollare sulla fonte.</t>
  </si>
  <si>
    <t xml:space="preserve">MFCR-ROZPOCET2025-2024</t>
  </si>
  <si>
    <t xml:space="preserve">Sněmovna schválila státní rozpočet na rok 2025</t>
  </si>
  <si>
    <t xml:space="preserve">03/12/2024</t>
  </si>
  <si>
    <t xml:space="preserve">https://mf.gov.cz/cs/ministerstvo/media/tiskove-zpravy/2024/snemovna-schvalila-statni-rozpocet-na-rok-2025-57982</t>
  </si>
  <si>
    <t xml:space="preserve">Bilancio statale approvato per l'agenzia ceca per la cybersecurity NÚKIB, anno 2024.</t>
  </si>
  <si>
    <t xml:space="preserve">|Národní úřad pro kybernetickou a informační bezpečnost|610 947 413|678 826 085|111,1|</t>
  </si>
  <si>
    <t xml:space="preserve">Bilancio dell'agenzia, circa metà destinata a stipendi. Una parte è classificata come spesa per la difesa. Letto da estratto indicizzato della pagina. Verifica finale 08/10/2026, riverifica non riuscita (non trovato). La riga NÚKIB è troncata negli estratti di questa pagina, il valore compare nella stessa tabella del comunicato MF del 24 ottobre 2024. Valore letto in fase di raccolta, da ricontrollare sulla fonte.</t>
  </si>
  <si>
    <t xml:space="preserve">Bilancio statale approvato per l'agenzia ceca per la cybersecurity NÚKIB, anno 2025.</t>
  </si>
  <si>
    <t xml:space="preserve">Indice 2025 su 2024 111,1</t>
  </si>
  <si>
    <t xml:space="preserve">Bilancio dell'agenzia, circa metà destinata a stipendi. Una parte è classificata come spesa per la difesa. Letto da estratto indicizzato della pagina. Verifica finale 08/10/2026, riverifica non riuscita (non trovato). Riga NÚKIB troncata negli estratti, il valore 678 826 085 compare nei comunicati MF gemelli; si tratta del bilancio approvato 2025. Valore letto in fase di raccolta, da ricontrollare sulla fonte.</t>
  </si>
  <si>
    <t xml:space="preserve">MVCR-NPOVYZVA41-2024</t>
  </si>
  <si>
    <t xml:space="preserve">Ministerstvo vnitra ČR</t>
  </si>
  <si>
    <t xml:space="preserve">Výzva č. 41 verze 2. Kybernetická bezpečnost - obce (NPO, Investice 5)</t>
  </si>
  <si>
    <t xml:space="preserve">18/01/2024</t>
  </si>
  <si>
    <t xml:space="preserve">https://mv.gov.cz/npo/soubor/vyzva-c-41-verze-2-k-predkladani-zadosti-o-financni-podporu-predem-definovanym-projektum-v-ramci-narodniho-planu-obnovy-cr.aspx</t>
  </si>
  <si>
    <t xml:space="preserve">Alokace výzvy celkem (Kybernetická bezpečnost - obce)</t>
  </si>
  <si>
    <t xml:space="preserve">Dotazione del bando NPO per la cybersecurity dei comuni cechi.</t>
  </si>
  <si>
    <t xml:space="preserve">misure tecniche e organizzative di cybersecurity dei sistemi informativi</t>
  </si>
  <si>
    <t xml:space="preserve">Dedotta. Dotazione pubblica per enti pubblici che acquistano misure di cybersecurity.</t>
  </si>
  <si>
    <t xml:space="preserve">Dotazione del bando del Piano nazionale di ripresa (NPO), componente 1.2, IVA esclusa.</t>
  </si>
  <si>
    <t xml:space="preserve">Alokace výzvy celkem: 1 000 mil. Kč bez DPH</t>
  </si>
  <si>
    <t xml:space="preserve">La prima versione del bando aveva una dotazione di 800 mil. Kč. Letto da estratto indicizzato della pagina. Verifica finale 08/10/2026, valore confermato sulla fonte. Dotazione della versione 2 della call, gennaio 2024, confermata.</t>
  </si>
  <si>
    <t xml:space="preserve">MVCR-NPOVYZVA46-2024</t>
  </si>
  <si>
    <t xml:space="preserve">Výzva č. 46 verze 2. Kybernetická bezpečnost - městské části hlavního města Prahy (NPO, Investice 3)</t>
  </si>
  <si>
    <t xml:space="preserve">27/11/2024</t>
  </si>
  <si>
    <t xml:space="preserve">https://mv.gov.cz/npo/soubor/vyzva-c-46-verze-2-k-predkladani-zadosti-o-financni-podporu-v-ramci-narodniho-planu-obnovy-cr.aspx</t>
  </si>
  <si>
    <t xml:space="preserve">Alokace výzvy celkem (Kybernetická bezpečnost - městské části Prahy)</t>
  </si>
  <si>
    <t xml:space="preserve">Dotazione del bando NPO per la cybersecurity dei distretti di Praga.</t>
  </si>
  <si>
    <t xml:space="preserve">Alokace výzvy celkem: 300 mil. Kč bez DPH</t>
  </si>
  <si>
    <t xml:space="preserve">Letto da estratto indicizzato della pagina. Verifica finale 08/10/2026, valore confermato sulla fonte. Dotazione del bando confermata, bando del novembre 2024.</t>
  </si>
  <si>
    <t xml:space="preserve">NUKIB-CINNOST-2026</t>
  </si>
  <si>
    <t xml:space="preserve">NÚKIB</t>
  </si>
  <si>
    <t xml:space="preserve">Zpráva o činnosti NÚKIB 2025</t>
  </si>
  <si>
    <t xml:space="preserve">https://nukib.gov.cz/download/publikace/zpravy_o_stavu/Zprava-o-cinnosti-NUKIB-2025.pdf</t>
  </si>
  <si>
    <t xml:space="preserve">Čerpání konečného rozpočtu 2025</t>
  </si>
  <si>
    <t xml:space="preserve">Spesa effettiva 2025 dell'agenzia ceca NÚKIB, pari all'86,9% del bilancio finale.</t>
  </si>
  <si>
    <t xml:space="preserve">Čerpání konečného rozpočtu bylo v relativním vyjádření ... na 86,9 %, v absolutním vyjádření ve výši 691 001 636,92 Kč.</t>
  </si>
  <si>
    <t xml:space="preserve">Bilancio dell'agenzia, circa metà destinata a stipendi. Una parte è classificata come spesa per la difesa. Letto da estratto indicizzato della pagina. Verifica finale 08/10/2026, valore confermato sulla fonte.</t>
  </si>
  <si>
    <t xml:space="preserve">Konečný rozpočet celkových výdajů kapitoly za rok 2025</t>
  </si>
  <si>
    <t xml:space="preserve">Bilancio finale 2025 dell'agenzia ceca NÚKIB comprensivo di residui e fondo di riserva.</t>
  </si>
  <si>
    <t xml:space="preserve">Konečný rozpočet celkových výdajů kapitoly za rok 2025 ... byl v objemu 794 845 086,53 Kč.</t>
  </si>
  <si>
    <t xml:space="preserve">NUKIB-ZSKB-2023</t>
  </si>
  <si>
    <t xml:space="preserve">NÚKIB (Národní úřad pro kybernetickou a informační bezpečnost)</t>
  </si>
  <si>
    <t xml:space="preserve">Zpráva o stavu kybernetické bezpečnosti České republiky za rok 2022</t>
  </si>
  <si>
    <t xml:space="preserve">https://nukib.gov.cz/download/publikace/zpravy_o_stavu/Zprava_o_stavu_kyberneticke_bezpecnosti_CR_za_rok_2022.pdf</t>
  </si>
  <si>
    <t xml:space="preserve">Podíl rozpočtu alokovaného na kybernetickou bezpečnost z celkového rozpočtu organizací, kategorie 0-5 % (% respondentů)</t>
  </si>
  <si>
    <t xml:space="preserve">Quota di organizzazioni ceche che destinano alla cybersecurity tra 0 e 5% del budget totale, anno 2022.</t>
  </si>
  <si>
    <t xml:space="preserve">Questionario annuale NÚKIB a soggetti regolati e non regolati dalla legge sulla cybersecurity, risultati in percentuale dei rispondenti, nessuna riponderazione.</t>
  </si>
  <si>
    <t xml:space="preserve">Obdobně jako v minulých letech vydává většina subjektů na kybernetickou bezpečnost 0-5 % svého rozpočtu (viz Graf 9).</t>
  </si>
  <si>
    <t xml:space="preserve">Valore letto dal grafico 9 nell'estratto (serie 77, 85, 76 per 2020-2022), attribuzione all'anno dedotta. Quota sul budget totale dell'organizzazione, non sul budget IT. Letto da estratto indicizzato della pagina. Verifica finale 08/10/2026, valore confermato sulla fonte. Quota di rispondenti nella classe 0 5 per cento, 76 per il 2022.</t>
  </si>
  <si>
    <t xml:space="preserve">NUKIB-ZSKB-2024</t>
  </si>
  <si>
    <t xml:space="preserve">Zpráva o stavu kybernetické bezpečnosti České republiky za rok 2023</t>
  </si>
  <si>
    <t xml:space="preserve">https://nukib.gov.cz/download/publikace/zpravy_o_stavu/Zprava_o_stavu_kyberneticke_bezpecnosti_CR_za_rok_2023.pdf</t>
  </si>
  <si>
    <t xml:space="preserve">Podíl financí vyčleněných na kybernetickou bezpečnost z celkového rozpočtu, kategorie 0-2 % (% organizací)</t>
  </si>
  <si>
    <t xml:space="preserve">Quota di organizzazioni ceche che destinano alla cybersecurity tra 0 e 2% del budget totale, anno 2023.</t>
  </si>
  <si>
    <t xml:space="preserve">Questionario NÚKIB compilato da 423 soggetti (339 regolati e 84 non regolati), risultati in percentuale dei rispondenti, nessuna riponderazione.</t>
  </si>
  <si>
    <t xml:space="preserve">Podíl financí vyčleněných na kybernetickou bezpečnost z celkového rozpočtu zůstává ... převážně v nízkých jednotkách procent, kdy 67 % organizací vynakládá 0-2 %.</t>
  </si>
  <si>
    <t xml:space="preserve">Quota sul budget totale dell'organizzazione, non sul budget IT. Letto da estratto indicizzato della pagina. Verifica finale 08/10/2026, valore confermato sulla fonte. Valore confermato, ma il contesto e la versione inglese indicano un dato settoriale peggiore della media, non il totale nazionale.</t>
  </si>
  <si>
    <t xml:space="preserve">(R) Centres of competence for supporting e-government, cybersecurity and e-health (I) Cybersecurity €461.7</t>
  </si>
  <si>
    <t xml:space="preserve">IDC-PRESSCZ-2020</t>
  </si>
  <si>
    <t xml:space="preserve">SystemOnLine</t>
  </si>
  <si>
    <t xml:space="preserve">Trh bezpečnostních řešení v ČR neustále roste</t>
  </si>
  <si>
    <t xml:space="preserve">https://www.systemonline.cz/it-security/trh-bezpecnostnich-reseni-v-cr-neustale-roste.htm</t>
  </si>
  <si>
    <t xml:space="preserve">IDC Czech Republic, comunicato del 30/11/2020 (ripreso da ChannelTrends, https://www.channeltrends.cz/n/bezpecnostni-reseni/)</t>
  </si>
  <si>
    <t xml:space="preserve">Obrat českého trhu bezpečnostních řešení (mil. USD)</t>
  </si>
  <si>
    <t xml:space="preserve">Fatturato del mercato ceco delle soluzioni di sicurezza IT nel 2018 secondo IDC.</t>
  </si>
  <si>
    <t xml:space="preserve">dispositivi (zařízení), software, servizi (služby)</t>
  </si>
  <si>
    <t xml:space="preserve">Dedotta. Il dato è espresso come fatturato (obrat) del mercato con ripartizione dei ricavi per segmento e classifica dei fornitori.</t>
  </si>
  <si>
    <t xml:space="preserve">Non dichiarata nell'articolo. Serie IDC 2018-2021 per segmento con CAGR.</t>
  </si>
  <si>
    <t xml:space="preserve">|Celkem|350,59|378,64|413,37|504,68|12,91|</t>
  </si>
  <si>
    <t xml:space="preserve">Fatturato del segmento dispositivi nel mercato ceco della sicurezza IT, anno 2019, secondo IDC.</t>
  </si>
  <si>
    <t xml:space="preserve">Dispositivi (zařízení)</t>
  </si>
  <si>
    <t xml:space="preserve">CAGR 3,79% (periodo della tabella)</t>
  </si>
  <si>
    <t xml:space="preserve">|Zařízení|33,72|37,08|36,93|37,7|3,79|</t>
  </si>
  <si>
    <t xml:space="preserve">Fatturato del segmento servizi nel mercato ceco della sicurezza IT, anno 2019, secondo IDC.</t>
  </si>
  <si>
    <t xml:space="preserve">Servizi (služby)</t>
  </si>
  <si>
    <t xml:space="preserve">CAGR 12,41% (periodo della tabella)</t>
  </si>
  <si>
    <t xml:space="preserve">|Služby|228,52|251,22|283,89|324,62|12,41|</t>
  </si>
  <si>
    <t xml:space="preserve">Fatturato del segmento software nel mercato ceco della sicurezza IT, anno 2019, secondo IDC.</t>
  </si>
  <si>
    <t xml:space="preserve">CAGR 2,11% (periodo della tabella)</t>
  </si>
  <si>
    <t xml:space="preserve">|Software|88,35|90,35|92,74|94,05|2,11|</t>
  </si>
  <si>
    <t xml:space="preserve">Fatturato del mercato ceco delle soluzioni di sicurezza IT nel 2019 secondo IDC.</t>
  </si>
  <si>
    <t xml:space="preserve">Variazione 2019 su 2018 8%</t>
  </si>
  <si>
    <t xml:space="preserve">Obrat českého trhu bezpečnostních řešení vloni meziročně vzrostl o 8 procent na bezmála 379 milionů dolarů.</t>
  </si>
  <si>
    <t xml:space="preserve">Letto da estratto indicizzato della pagina. Verifica finale 08/10/2026, valore confermato sulla fonte. Valore 2019 confermato nella tabella IDC, colonna 2019 pari a 378,64.</t>
  </si>
  <si>
    <t xml:space="preserve">Previsione IDC del fatturato del mercato ceco della sicurezza IT nel 2020.</t>
  </si>
  <si>
    <t xml:space="preserve">Variazione 2020 su 2019 9,2%</t>
  </si>
  <si>
    <t xml:space="preserve">Fatturato del segmento dispositivi nel mercato ceco della sicurezza IT, anno 2021, secondo IDC.</t>
  </si>
  <si>
    <t xml:space="preserve">Fatturato del segmento servizi nel mercato ceco della sicurezza IT, anno 2021, secondo IDC.</t>
  </si>
  <si>
    <t xml:space="preserve">Fatturato del segmento software nel mercato ceco della sicurezza IT, anno 2021, secondo IDC.</t>
  </si>
  <si>
    <t xml:space="preserve">Previsione IDC del fatturato del mercato ceco della sicurezza IT nel 2021.</t>
  </si>
  <si>
    <t xml:space="preserve">CAGR 12,91% (periodo della tabella)</t>
  </si>
  <si>
    <t xml:space="preserve">Incongruenza interna. Il totale 2021 (504,68) non coincide con la somma dei segmenti (456,37 mln USD). Letto da estratto indicizzato della pagina. Verifica finale 08/10/2026, valore confermato sulla fonte. Previsione 2021 confermata.</t>
  </si>
  <si>
    <t xml:space="preserve">TCPRAHA-STRATSEC-2024</t>
  </si>
  <si>
    <t xml:space="preserve">Technologické centrum Praha</t>
  </si>
  <si>
    <t xml:space="preserve">Studie trhu bezpečnostních a obranných technologií v ČR (STRAT-SEC)</t>
  </si>
  <si>
    <t xml:space="preserve">https://www.tc.cz/files_public/files/strat-sec-studie-trhu_2.pdf</t>
  </si>
  <si>
    <t xml:space="preserve">Objem veřejných zakázek podniků v oblasti kybernetické bezpečnosti</t>
  </si>
  <si>
    <t xml:space="preserve">Valore cumulato 2020-2024 dei contratti pubblici ottenuti in Chequia da imprese attive solo nella cybersecurity.</t>
  </si>
  <si>
    <t xml:space="preserve">Somma dei contratti pubblici 2020-2024 nel Registro dei contratti attribuiti a 432 imprese di tecnologie di sicurezza e difesa, classificate per area. Studio pilota.</t>
  </si>
  <si>
    <t xml:space="preserve">Nejvyšší objem veřejných zakázek realizovaly podniky v oblasti kybernetické bezpečnosti (3,88 mld. Kč, 38,8 % z celkového objemu zakázek v oblasti bezpečnostních technologií)</t>
  </si>
  <si>
    <t xml:space="preserve">Valore cumulato 2020-2024, non annuo. Contratti ottenuti da imprese attive solo nella cybersecurity, non spesa cyber totale della PA. Letto da estratto indicizzato della pagina. Verifica finale 08/10/2026, valore confermato sulla fonte. Appalti vinti da imprese attive solo nella cyber, periodo non indicato nell'estratto.</t>
  </si>
  <si>
    <t xml:space="preserve">Podíl podniků v oblasti kybernetické bezpečnosti na objemu zakázek v oblasti bezpečnostních technologií</t>
  </si>
  <si>
    <t xml:space="preserve">Quota dei contratti pubblici di tecnologie di sicurezza 2020-2024 ottenuta da imprese attive solo nella cybersecurity.</t>
  </si>
  <si>
    <t xml:space="preserve">Podniky působící jen v oblasti kybernetické bezpečnosti získaly 38,8 % z celkového objemu zakázek v oblasti bezpečnostních technologií</t>
  </si>
  <si>
    <t xml:space="preserve">Valore cumulato 2020-2024, non annuo. Contratti ottenuti da imprese attive solo nella cybersecurity, non spesa cyber totale della PA. Letto da estratto indicizzato della pagina.</t>
  </si>
  <si>
    <t xml:space="preserve">APPSEC-IPSOS-2025</t>
  </si>
  <si>
    <t xml:space="preserve">Televizniweb.cz</t>
  </si>
  <si>
    <t xml:space="preserve">České firmy stále podceňují kyberbezpečnost, ročně za ni utratí jen do 100 000 Kč</t>
  </si>
  <si>
    <t xml:space="preserve">08/07/2025</t>
  </si>
  <si>
    <t xml:space="preserve">https://televizniweb.mediar.cz/2025/07/ceske-firmy-stale-podcenuji-kyberbezpecnost-rocne-za-ni-utrati-jen-do-100-000-kc/</t>
  </si>
  <si>
    <t xml:space="preserve">APPSEC con indagine Ipsos 2025 (comunicato stampa)</t>
  </si>
  <si>
    <t xml:space="preserve">roční investice do kybernetické ochrany pod 100 000 Kč</t>
  </si>
  <si>
    <t xml:space="preserve">Quota di imprese ceche con budget annuo di cybersecurity fino a 100 mila corone, indagine 2025.</t>
  </si>
  <si>
    <t xml:space="preserve">Indagine Ipsos per APPSEC presso responsabili IT di imprese ceche, risultati per classe di budget annuo, dettagli di campione non letti nell'estratto.</t>
  </si>
  <si>
    <t xml:space="preserve">Roční investice do kybernetické ochrany pod 100 000 Kč připouští 53 % respondentů</t>
  </si>
  <si>
    <t xml:space="preserve">roční výdaje na kybernetickou bezpečnost vyšší než jeden milion korun</t>
  </si>
  <si>
    <t xml:space="preserve">Quota di imprese ceche con budget annuo di cybersecurity oltre 1 milione di corone, indagine 2025.</t>
  </si>
  <si>
    <t xml:space="preserve">necelých 9 % připouští roční výdaje na kybernetickou bezpečnost vyšší než jeden milion korun</t>
  </si>
  <si>
    <t xml:space="preserve">Quota di rispondenti per classe di budget annuo, valori autodichiarati da responsabili IT. Valore approssimato (necelých 9 %). Letto da estratto indicizzato della pagina.</t>
  </si>
  <si>
    <t xml:space="preserve">6WRESEARCH-CYBERRO-2026</t>
  </si>
  <si>
    <t xml:space="preserve">RO</t>
  </si>
  <si>
    <t xml:space="preserve">Romania</t>
  </si>
  <si>
    <t xml:space="preserve">Romania Cybersecurity Market (2026-2032)</t>
  </si>
  <si>
    <t xml:space="preserve">https://www.6wresearch.com/industry-report/romania-cybersecurity-market</t>
  </si>
  <si>
    <t xml:space="preserve">Estimated Growth (%) Romania Cybersecurity Market</t>
  </si>
  <si>
    <t xml:space="preserve">Crescita stimata del mercato rumeno della cybersecurity nel 2025 secondo 6Wresearch.</t>
  </si>
  <si>
    <t xml:space="preserve">CAGR 2026-2032 10,8%</t>
  </si>
  <si>
    <t xml:space="preserve">|2025|9.2%|Higher investments in managed security services, identity management solutions, and security monitoring platforms</t>
  </si>
  <si>
    <t xml:space="preserve">Romania Managed Security Services Market (2026-2032)</t>
  </si>
  <si>
    <t xml:space="preserve">https://www.6wresearch.com/industry-report/romania-managed-security-services-market-2020-2026</t>
  </si>
  <si>
    <t xml:space="preserve">Romania Managed Security Services Market</t>
  </si>
  <si>
    <t xml:space="preserve">Segmento rumeno dei servizi gestiti di sicurezza nel 2025 secondo 6Wresearch.</t>
  </si>
  <si>
    <t xml:space="preserve">CAGR 2026-2032 6,1%</t>
  </si>
  <si>
    <t xml:space="preserve">The romania managed security services market was estimated at USD 360 Million in 2025 and is projected to reach USD 508 Million by 2032</t>
  </si>
  <si>
    <t xml:space="preserve">Il solo segmento supera il mercato cyber rumeno totale stimato da Mordor (194 mln USD) e da Statista (185 mln EUR) per il 2025. Letto da estratto indicizzato della pagina.</t>
  </si>
  <si>
    <t xml:space="preserve">PNRR-C7RO-2022</t>
  </si>
  <si>
    <t xml:space="preserve">ADR Centru (Agenția pentru Dezvoltare Regională Centru)</t>
  </si>
  <si>
    <t xml:space="preserve">PNRR Componenta 7 - Transformarea digitală (sintesi delle investizioni)</t>
  </si>
  <si>
    <t xml:space="preserve">14/04/2022</t>
  </si>
  <si>
    <t xml:space="preserve">https://www.adrcentru.ro/pnrr-componenta7-digital/</t>
  </si>
  <si>
    <t xml:space="preserve">Guvernul României, Planul Național de Redresare și Reziliență, Componenta 7</t>
  </si>
  <si>
    <t xml:space="preserve">Investiția 12. Asigurarea protecției cibernetice atât pentru infrastructurile TIC publice, cât și pentru cele private cu valențe critice, bugetul total</t>
  </si>
  <si>
    <t xml:space="preserve">Dotazione PNRR dell'investimento 12 per la protezione cyber delle infrastrutture TIC critiche, affidato al Centro Cyberint del SRI.</t>
  </si>
  <si>
    <t xml:space="preserve">Dedotta. Dotazione pubblica per la protezione cyber di infrastrutture pubbliche e private.</t>
  </si>
  <si>
    <t xml:space="preserve">Dotazione dell'investimento del Piano nazionale di ripresa rumeno, componente 7.</t>
  </si>
  <si>
    <t xml:space="preserve">Investiția 12. Asigurarea protecției cibernetice ... Instituția responsabilă de reformă Centrul Național Cyberint, UM 0929 București -SRI Buget: Bugetul total 100 milioane Euro</t>
  </si>
  <si>
    <t xml:space="preserve">Dotazione del programma 2021-2026, anno di riferimento pari alla pubblicazione della sintesi. Letto da estratto indicizzato della pagina. Verifica finale 08/10/2026, valore confermato sulla fonte. Budget totale dell'investimento 12 confermato.</t>
  </si>
  <si>
    <t xml:space="preserve">Investiția 13. Dezvoltarea de sisteme de securitate pentru protecția spectrului guvernamental, bugetul total</t>
  </si>
  <si>
    <t xml:space="preserve">Dotazione PNRR dell'investimento 13 per sistemi di sicurezza a protezione dello spettro governativo.</t>
  </si>
  <si>
    <t xml:space="preserve">Investiția 13. Dezvoltarea de sisteme de securitate pentru protecția spectrului guvernamental ... Bugetul total 38,53 milioane Euro</t>
  </si>
  <si>
    <t xml:space="preserve">Perimetro misto, sicurezza dello spettro radio governativo non solo cybersecurity. Dotazione del programma 2021-2026. Letto da estratto indicizzato della pagina. Verifica finale 08/10/2026, valore confermato sulla fonte. Budget totale dell'investimento 13 confermato.</t>
  </si>
  <si>
    <t xml:space="preserve">DNSC-DICHIARAZIONE-2026</t>
  </si>
  <si>
    <t xml:space="preserve">AGERPRES</t>
  </si>
  <si>
    <t xml:space="preserve">Dinu (DNSC). Piața românească de securitate cibernetică, estimată la circa 200 de milioane de euro, este insuficientă</t>
  </si>
  <si>
    <t xml:space="preserve">16/03/2026</t>
  </si>
  <si>
    <t xml:space="preserve">https://agerpres.ro/economic/2026/03/16/dinu-dnsc-piata-romaneasca-de-securitate-cibernetica-estimata-la-circa-200-de-milioane-de-euro-este---1537682</t>
  </si>
  <si>
    <t xml:space="preserve">Gabriel Dinu, vicedirettore DNSC, dichiarazione pubblica</t>
  </si>
  <si>
    <t xml:space="preserve">Piața românească de securitate cibernetică (estimare)</t>
  </si>
  <si>
    <t xml:space="preserve">Ordine di grandezza del mercato rumeno della cybersecurity indicato dal vicedirettore dell'agenzia DNSC.</t>
  </si>
  <si>
    <t xml:space="preserve">Dedotta. Dichiarazione orale senza indicazione della base di calcolo.</t>
  </si>
  <si>
    <t xml:space="preserve">Piața românească de securitate cibernetică, estimată undeva la vreo 200 de milioane de euro, în momentul de față, este insuficientă</t>
  </si>
  <si>
    <t xml:space="preserve">Ordine di grandezza indicato dall'agenzia nazionale, non una stima documentata. Letto da estratto indicizzato della pagina. Verifica finale 08/10/2026, valore confermato sulla fonte. Stima orale del vicedirettore DNSC confermata.</t>
  </si>
  <si>
    <t xml:space="preserve">GUV-HGDNSC-2026</t>
  </si>
  <si>
    <t xml:space="preserve">AGERPRES (comunicato del Governo)</t>
  </si>
  <si>
    <t xml:space="preserve">Comunicat de presă - Guvern, 3 septembrie 2026</t>
  </si>
  <si>
    <t xml:space="preserve">03/09/2026</t>
  </si>
  <si>
    <t xml:space="preserve">https://agerpres.ro/comunicate/2026/09/03/comunicat-de-presa---guvern--1590336</t>
  </si>
  <si>
    <t xml:space="preserve">Guvernul României, HG 693/2026</t>
  </si>
  <si>
    <t xml:space="preserve">bugetul alocat cheltuielilor de personal ale DNSC</t>
  </si>
  <si>
    <t xml:space="preserve">Bilancio 2026 per le spese di personale dell'agenzia rumena DNSC dopo l'integrazione dal fondo di riserva.</t>
  </si>
  <si>
    <t xml:space="preserve">RON</t>
  </si>
  <si>
    <t xml:space="preserve">solo spese di personale</t>
  </si>
  <si>
    <t xml:space="preserve">Dedotta. Bilancio dell'agenzia pubblica nazionale per la cybersecurity.</t>
  </si>
  <si>
    <t xml:space="preserve">Stanziamento per spese di personale DNSC 2026 dopo l'integrazione di 14,775 mln lei dal fondo di riserva, pari al 71,56% del richiesto.</t>
  </si>
  <si>
    <t xml:space="preserve">În urma acestei suplimentări, bugetul alocat cheltuielilor de personal ale DNSC ajunge la 42,977 milioane de lei, reprezentând 71,56% din suma solicitată pentru anul 2026.</t>
  </si>
  <si>
    <t xml:space="preserve">Letto da estratto indicizzato della pagina. Verifica finale 08/10/2026, valore confermato sulla fonte. Valore 2026 confermato, riguarda solo le spese di personale del DNSC.</t>
  </si>
  <si>
    <t xml:space="preserve">AIBOARD-CYBERRO-2026</t>
  </si>
  <si>
    <t xml:space="preserve">AI Board (VirtualBoard)</t>
  </si>
  <si>
    <t xml:space="preserve">Piața de securitate cibernetică - România 2026</t>
  </si>
  <si>
    <t xml:space="preserve">24/04/2026</t>
  </si>
  <si>
    <t xml:space="preserve">https://virtualboard.ro/produs/piata-de-cybersecurity-romania-2026/</t>
  </si>
  <si>
    <t xml:space="preserve">Valoarea pieței de securitate cibernetică din România</t>
  </si>
  <si>
    <t xml:space="preserve">Valore del mercato rumeno della cybersecurity nel 2025 secondo lo studio AI Board.</t>
  </si>
  <si>
    <t xml:space="preserve">CAGR 2018-2025 circa 14,4%; CAGR atteso fino al 2030 8-10%</t>
  </si>
  <si>
    <t xml:space="preserve">Dedotta. La pagina prodotto non descrive come il valore è costruito.</t>
  </si>
  <si>
    <t xml:space="preserve">Valoarea pieței: ~190 milioane EUR (2025) Creștere istorică: ~14,4% CAGR (2018-2025) Creștere estimată: 8-10% CAGR până în 2030</t>
  </si>
  <si>
    <t xml:space="preserve">Valore approssimato (circa 190 mln EUR). Letto da estratto indicizzato della pagina. Verifica finale 08/10/2026, valore confermato sulla fonte.</t>
  </si>
  <si>
    <t xml:space="preserve">Curierul Național</t>
  </si>
  <si>
    <t xml:space="preserve">Piața de securitate cibernetică din România ar putea depăși 300 milioane euro până în 2030</t>
  </si>
  <si>
    <t xml:space="preserve">27/08/2026</t>
  </si>
  <si>
    <t xml:space="preserve">https://curierulnational.ro/piata-de-securitate-cibernetica-din-romania-ar-putea-depasi-300-milioane-euro-pana-in-2030/</t>
  </si>
  <si>
    <t xml:space="preserve">AI Board, Piața de Securitate Cibernetică - România 2026 (https://virtualboard.ro/produs/piata-de-cybersecurity-romania-2026/)</t>
  </si>
  <si>
    <t xml:space="preserve">Previsione AI Board del mercato rumeno della cybersecurity al 2030, oltre 300 milioni di euro.</t>
  </si>
  <si>
    <t xml:space="preserve">Crescita annua circa 10%</t>
  </si>
  <si>
    <t xml:space="preserve">cu o valoare estimată la aproximativ 190 milioane EUR în 2025, având potențialul de a depăși 300 milioane EUR până în 2030</t>
  </si>
  <si>
    <t xml:space="preserve">Valore minimo (peste 300 mln EUR). Letto da estratto indicizzato della pagina.</t>
  </si>
  <si>
    <t xml:space="preserve">DNSC-PNRRI15-2022</t>
  </si>
  <si>
    <t xml:space="preserve">DNSC (Directoratul Național de Securitate Cibernetică)</t>
  </si>
  <si>
    <t xml:space="preserve">Crearea de noi competențe de securitate cibernetică pentru societate și economie (PNRR C7 I15)</t>
  </si>
  <si>
    <t xml:space="preserve">27/12/2022</t>
  </si>
  <si>
    <t xml:space="preserve">https://www.dnsc.ro/pagini/proiect-pnrr</t>
  </si>
  <si>
    <t xml:space="preserve">Valoarea totală a proiectului, finanțare PNRR fără TVA</t>
  </si>
  <si>
    <t xml:space="preserve">Valore del progetto PNRR gestito da DNSC per nuove competenze di cybersecurity per società ed economia.</t>
  </si>
  <si>
    <t xml:space="preserve">formazione, valutazione della maturità cyber, strumenti di supporto</t>
  </si>
  <si>
    <t xml:space="preserve">Dedotta. Progetto pubblico che finanzia servizi cyber per enti pubblici e privati.</t>
  </si>
  <si>
    <t xml:space="preserve">Valore del progetto PNRR I15 senza IVA, pari a 25 mln EUR al cambio InforEuro di agosto 2022, periodo 27/12/2022-26/07/2026.</t>
  </si>
  <si>
    <t xml:space="preserve">Valoarea totală a proiectului este de 146.792.450 lei, din care 123.355.000 lei fără TVA, finanțare PNRR (echivalentul a 25.000.000 euro fără TVA</t>
  </si>
  <si>
    <t xml:space="preserve">Valore pluriennale del progetto. Con IVA il valore è 146,79 mln RON. Letto da estratto indicizzato della pagina. Verifica finale 08/10/2026, valore confermato sulla fonte. Valore senza IVA confermato.</t>
  </si>
  <si>
    <t xml:space="preserve">SRI-PNRRI12-2026</t>
  </si>
  <si>
    <t xml:space="preserve">Jurnalul</t>
  </si>
  <si>
    <t xml:space="preserve">Serviciile, salvatorii PNRR. SRI a contractat protecție cibernetică</t>
  </si>
  <si>
    <t xml:space="preserve">06/03/2026</t>
  </si>
  <si>
    <t xml:space="preserve">https://jurnalul.ro/special-jurnalul/anchete/sri-salvatori-pnrr-achizitie-mamut-protectie-cibernetica-softuri-1026111.html</t>
  </si>
  <si>
    <t xml:space="preserve">UM 0929 București (SRI), contratto n. 9/2026 pubblicato su SEAP</t>
  </si>
  <si>
    <t xml:space="preserve">Contractul nr. 9/2026, preț final fără TVA</t>
  </si>
  <si>
    <t xml:space="preserve">Valore del contratto PNRR del servizio di informazioni rumeno per hardware e software di cybersecurity del Centro Cyberint.</t>
  </si>
  <si>
    <t xml:space="preserve">hardware e software di sicurezza (UTM, email gateway, ATP, EDR, SIEM, autenticazione, laboratori mobili)</t>
  </si>
  <si>
    <t xml:space="preserve">Dedotta. Valore di un contratto di acquisto pubblico registrato dall'acquirente.</t>
  </si>
  <si>
    <t xml:space="preserve">Valore contrattuale di un acquisto pubblico finanziato dall'investimento PNRR C7 I12, firmato il 30/01/2026.</t>
  </si>
  <si>
    <t xml:space="preserve">la un preț final negociat de 668.000.866 de lei fără TVA, respectiv de 808.281.047,9 lei cu tot cu TVA (164.955.315,9 euro)</t>
  </si>
  <si>
    <t xml:space="preserve">Contratto singolo del SRI. Con IVA vale circa 165 mln EUR, più della dotazione di 100 mln EUR indicata per l'investimento I12 nella sintesi PNRR del 2022. Letto da estratto indicizzato della pagina. Verifica finale 08/10/2026, valore confermato sulla fonte. Contratto SRI finanziato dal PNRR firmato a gennaio 2026.</t>
  </si>
  <si>
    <t xml:space="preserve">KENRESEARCH-CYBERGOVRO-2025</t>
  </si>
  <si>
    <t xml:space="preserve">Romania Cybersecurity for Government Market</t>
  </si>
  <si>
    <t xml:space="preserve">23/09/2025</t>
  </si>
  <si>
    <t xml:space="preserve">https://www.kenresearch.com/romania-cybersecurity-for-government-market</t>
  </si>
  <si>
    <t xml:space="preserve">Mercato della cybersecurity per la pubblica amministrazione in Romania secondo Ken Research.</t>
  </si>
  <si>
    <t xml:space="preserve">Valore basato su un'analisi storica di cinque anni, nessun altro dettaglio.</t>
  </si>
  <si>
    <t xml:space="preserve">The Romania Cybersecurity for Government Market is valued at USD 1.2 billion, based on a five-year historical analysis.</t>
  </si>
  <si>
    <t xml:space="preserve">Anno base 2024 dedotto dallo schema delle pagine Ken Research. Valore sei volte superiore al mercato cyber rumeno totale stimato da Mordor. Letto da estratto indicizzato della pagina.</t>
  </si>
  <si>
    <t xml:space="preserve">MORDOR-CYBERRO-2024</t>
  </si>
  <si>
    <t xml:space="preserve">Romania Cybersecurity Market Size (edizione 2024-2029)</t>
  </si>
  <si>
    <t xml:space="preserve">https://www.mordorintelligence.com/industry-reports/romania-cybersecurity-market/market-size</t>
  </si>
  <si>
    <t xml:space="preserve">Romania Cybersecurity Market size</t>
  </si>
  <si>
    <t xml:space="preserve">Mercato rumeno della cybersecurity nel 2024 secondo Mordor.</t>
  </si>
  <si>
    <t xml:space="preserve">CAGR 2024-2029 10,89%</t>
  </si>
  <si>
    <t xml:space="preserve">The Romania Cybersecurity Market size is estimated at USD 175.15 million in 2024, and is expected to reach USD 293.67 million by 2029</t>
  </si>
  <si>
    <t xml:space="preserve">Ripreso anche da Bursa e da MarketReportAnalytics, quest'ultimo con anno e valuta diversi (175,15 mln EUR nel 2025). Letto da estratto indicizzato della pagina. Verifica finale 08/10/2026, valore confermato sulla fonte. Valore 2024 confermato nella pagina market-size.</t>
  </si>
  <si>
    <t xml:space="preserve">Previsione Mordor del mercato rumeno della cybersecurity al 2029.</t>
  </si>
  <si>
    <t xml:space="preserve">MORDOR-CYBERRO-2025</t>
  </si>
  <si>
    <t xml:space="preserve">Romania Cybersecurity Market Size (edizione 2025-2030)</t>
  </si>
  <si>
    <t xml:space="preserve">Mercato rumeno della cybersecurity nel 2025 secondo l'edizione 2025-2030 di Mordor.</t>
  </si>
  <si>
    <t xml:space="preserve">CAGR 2025-2030 10,89%</t>
  </si>
  <si>
    <t xml:space="preserve">expected to reach USD 194.22 million in 2025 and grow at a CAGR of 10.89% to reach USD 325.66 million by 2030</t>
  </si>
  <si>
    <t xml:space="preserve">Previsione Mordor del mercato rumeno della cybersecurity al 2030.</t>
  </si>
  <si>
    <t xml:space="preserve">Letto da estratto indicizzato della pagina. Verifica finale 08/10/2026, valore confermato sulla fonte. Previsione 2030 confermata nella pagina market-size.</t>
  </si>
  <si>
    <t xml:space="preserve">MORDOR-CYBERRO-2026</t>
  </si>
  <si>
    <t xml:space="preserve">Romania Cybersecurity Market Size and Share Outlook to 2031</t>
  </si>
  <si>
    <t xml:space="preserve">https://www.mordorintelligence.com/industry-reports/romania-cybersecurity-market</t>
  </si>
  <si>
    <t xml:space="preserve">Mercato rumeno della cybersecurity nel 2026 secondo Mordor.</t>
  </si>
  <si>
    <t xml:space="preserve">CAGR 2026-2031 10,73%</t>
  </si>
  <si>
    <t xml:space="preserve">USD 215.06 million in 2026 and is forecast to reach USD 358.05 million by 2031 at 10.73% CAGR</t>
  </si>
  <si>
    <t xml:space="preserve">Previsione Mordor del mercato rumeno della cybersecurity al 2031.</t>
  </si>
  <si>
    <t xml:space="preserve">(I) Increase of the resilience and cybersecurity of internet service provider infrastructure €63.4</t>
  </si>
  <si>
    <t xml:space="preserve">Letto da estratto indicizzato della pagina. Riga paese registrata perché fonte UE unica con valori per più Stati membri (Tabella 1). Periodo RRF registrato sull'anno di chiusura. Verifica finale 08/10/2026, valore confermato sulla fonte. Importo cumulato di tre misure del PNRR rumeno.</t>
  </si>
  <si>
    <t xml:space="preserve">DNSC-RAPORT-2026</t>
  </si>
  <si>
    <t xml:space="preserve">StartupCafe.ro (documento DNSC)</t>
  </si>
  <si>
    <t xml:space="preserve">Raport anual de activitate al DNSC 2025</t>
  </si>
  <si>
    <t xml:space="preserve">08/2026</t>
  </si>
  <si>
    <t xml:space="preserve">https://startupcafe.ro/wp-content/uploads/2026/08/dnsc-raport-anual-2025.pdf</t>
  </si>
  <si>
    <t xml:space="preserve">DNSC, Raport anual de activitate 2025</t>
  </si>
  <si>
    <t xml:space="preserve">Buget executat DNSC</t>
  </si>
  <si>
    <t xml:space="preserve">Bilancio eseguito dall'agenzia rumena DNSC nel 2025, pari al 72,41% dell'assegnato.</t>
  </si>
  <si>
    <t xml:space="preserve">Dato amministrativo di esecuzione del bilancio DNSC 2025, comprensivo dell'integrazione dal fondo di riserva (HG 672/2025).</t>
  </si>
  <si>
    <t xml:space="preserve">Bugetul total alocat a fost de 59.463 mii LEI, din care s-au executat 43.057 mii LEI, rezultând un procent de realizare de 72,41%.</t>
  </si>
  <si>
    <t xml:space="preserve">Rapporto ufficiale DNSC letto da copia ospitata su un sito terzo. Letto da estratto indicizzato della pagina. Verifica finale 08/10/2026, valore confermato sulla fonte. Bilancio eseguito 2025 confermato.</t>
  </si>
  <si>
    <t xml:space="preserve">Bugetul total alocat DNSC</t>
  </si>
  <si>
    <t xml:space="preserve">Bilancio totale assegnato all'agenzia rumena DNSC nel 2025.</t>
  </si>
  <si>
    <t xml:space="preserve">Rapporto ufficiale DNSC letto da copia ospitata su un sito terzo. Letto da estratto indicizzato della pagina. Verifica finale 08/10/2026, valore confermato sulla fonte. Bilancio assegnato 2025 confermato.</t>
  </si>
  <si>
    <t xml:space="preserve">Team France Export (Business France)</t>
  </si>
  <si>
    <t xml:space="preserve">Confiance numérique et cybersécurité en Roumanie (fiche marché)</t>
  </si>
  <si>
    <t xml:space="preserve">14/04/2025</t>
  </si>
  <si>
    <t xml:space="preserve">https://www.teamfrance-export.fr/fiche-marche/tech-et-services/confiance-numerique-et-cybersecurite/RO</t>
  </si>
  <si>
    <t xml:space="preserve">Statista Market Insights, Cybersecurity, Romania (https://www.statista.com/outlook/tmo/cybersecurity/romania)</t>
  </si>
  <si>
    <t xml:space="preserve">revenus du marché roumain de la cybersécurité</t>
  </si>
  <si>
    <t xml:space="preserve">Ricavi 2025 del mercato rumeno della cybersecurity secondo Statista, riportati da Team France Export.</t>
  </si>
  <si>
    <t xml:space="preserve">CAGR 2025-2029 13%</t>
  </si>
  <si>
    <t xml:space="preserve">Selon Statista, les revenus du marché roumain de la cybersécurité atteindront 185 M EUR en 2025.</t>
  </si>
  <si>
    <t xml:space="preserve">Pagina outlook Statista Romania con valori oscurati nell'estratto. Letto da estratto indicizzato della pagina. Verifica finale 08/10/2026, valore confermato sulla fonte. Valore 2025 ripreso da Statista confermato.</t>
  </si>
  <si>
    <t xml:space="preserve">Previsione Statista dei ricavi del mercato rumeno della cybersecurity al 2029, riportata da Team France Export.</t>
  </si>
  <si>
    <t xml:space="preserve">taux de croissance annuel de 13% sur la période 2025-2029, ce qui se traduira par un volume de marché de 263 M € en 2029.</t>
  </si>
  <si>
    <t xml:space="preserve">Pagina outlook Statista Romania con valori oscurati nell'estratto. Letto da estratto indicizzato della pagina.</t>
  </si>
  <si>
    <t xml:space="preserve">6WRESEARCH-CYBERSK-2026</t>
  </si>
  <si>
    <t xml:space="preserve">SK</t>
  </si>
  <si>
    <t xml:space="preserve">Slovacchia</t>
  </si>
  <si>
    <t xml:space="preserve">Slovakia Cyber Security Market (2026-2032)</t>
  </si>
  <si>
    <t xml:space="preserve">https://www.6wresearch.com/industry-report/slovakia-cyber-security-market</t>
  </si>
  <si>
    <t xml:space="preserve">Slovakia Cyber Security Market</t>
  </si>
  <si>
    <t xml:space="preserve">Mercato slovacco della cybersecurity nel 2025 secondo 6Wresearch.</t>
  </si>
  <si>
    <t xml:space="preserve">CAGR 2026-2032 5,4%</t>
  </si>
  <si>
    <t xml:space="preserve">The Slovakia Cyber Security Market was estimated at USD 227 Million in 2025 and is projected to reach USD 315 Million by 2032</t>
  </si>
  <si>
    <t xml:space="preserve">Slovakia Penetration Testing Market</t>
  </si>
  <si>
    <t xml:space="preserve">https://www.6wresearch.com/industry-report/slovakia-penetration-testing-market</t>
  </si>
  <si>
    <t xml:space="preserve">Segmento slovacco dei test di penetrazione nel 2025 secondo 6Wresearch.</t>
  </si>
  <si>
    <t xml:space="preserve">Penetration testing (servizi professionali)</t>
  </si>
  <si>
    <t xml:space="preserve">CAGR 2026-2032 6,0%</t>
  </si>
  <si>
    <t xml:space="preserve">The Slovakia Penetration Testing Market was estimated at USD 472 Million in 2025 and is projected to reach USD 664 Million by 2032</t>
  </si>
  <si>
    <t xml:space="preserve">Il segmento supera il mercato cyber totale stimato dallo stesso editore (227 mln USD), incongruenza interna. Letto da estratto indicizzato della pagina.</t>
  </si>
  <si>
    <t xml:space="preserve">Previsione 6Wresearch del mercato slovacco della cybersecurity al 2032.</t>
  </si>
  <si>
    <t xml:space="preserve">MFSR-UHPKYBERNASTROJ-2025</t>
  </si>
  <si>
    <t xml:space="preserve">Ministerstvo financií SR, Útvar hodnoty za peniaze</t>
  </si>
  <si>
    <t xml:space="preserve">Platforma na podporu kybernetickej bezpečnosti (MV SR). Hodnota za peniaze projektu</t>
  </si>
  <si>
    <t xml:space="preserve">13/11/2025</t>
  </si>
  <si>
    <t xml:space="preserve">https://www.mfsr.sk/files/sk/financie/hodnota-za-peniaze/hodnotenia/informatizacia/hodnotenie_kybernastroj.pdf</t>
  </si>
  <si>
    <t xml:space="preserve">Celkové náklady projektu (s DPH, 5 rokov)</t>
  </si>
  <si>
    <t xml:space="preserve">Costo totale su cinque anni della piattaforma di cybersecurity basata su IA del ministero dell'interno slovacco.</t>
  </si>
  <si>
    <t xml:space="preserve">licenze software di cybersecurity basate su IA, hardware, implementazione, supporto e formazione</t>
  </si>
  <si>
    <t xml:space="preserve">Dedotta. Costi di progetto di amministrazioni che acquistano soluzioni di cybersecurity.</t>
  </si>
  <si>
    <t xml:space="preserve">Valutazione ex ante del ministero delle finanze sullo studio di fattibilità del ministero dell'interno, costi da offerta del fornitore per 10 organizzazioni su 5 anni, IVA inclusa.</t>
  </si>
  <si>
    <t xml:space="preserve">Celkové náklady projektu 62,4 mil. eur s DPH počas 5-tich rokov pozostávajú z ceny ročnej licencie za 12,3 mil. eur</t>
  </si>
  <si>
    <t xml:space="preserve">Progetto pianificato, valutazione con carattere di raccomandazione. Valore pluriennale IVA inclusa. Letto da estratto indicizzato della pagina.</t>
  </si>
  <si>
    <t xml:space="preserve">Cena ročnej licencie</t>
  </si>
  <si>
    <t xml:space="preserve">Costo annuo della licenza della piattaforma di cybersecurity del ministero dell'interno slovacco.</t>
  </si>
  <si>
    <t xml:space="preserve">pozostávajú z ceny ročnej licencie za 12,3 mil. eur a jednorazovej investície 860 tis. eur na hardvérovú infraštruktúru</t>
  </si>
  <si>
    <t xml:space="preserve">MFSR-UHPKYBERSAMOSPRAVA-2025</t>
  </si>
  <si>
    <t xml:space="preserve">Kybernetická bezpečnosť v samospráve do 6 000 obyvateľov. Hodnota za peniaze projektu</t>
  </si>
  <si>
    <t xml:space="preserve">https://www.mfsr.sk/files/sk/financie/hodnota-za-peniaze/hodnotenia/informatizacia/hodnotenie_kyberneticka-bezpecnost-samosprave-do-6-000-obyvatelov.pdf</t>
  </si>
  <si>
    <t xml:space="preserve">Celkové náklady projektu</t>
  </si>
  <si>
    <t xml:space="preserve">Costo totale su sette anni del progetto MIRRI per la cybersecurity dei comuni slovacchi sotto i 6.000 abitanti.</t>
  </si>
  <si>
    <t xml:space="preserve">procedure e formazione, acquisto e installazione di apparati, licenze e supporto operativo</t>
  </si>
  <si>
    <t xml:space="preserve">Valutazione ex ante dello studio di fattibilità MIRRI. Costi totali su 7 anni con investimento da fondi UE e cofinanziamento statale, gestione annua da bilancio statale.</t>
  </si>
  <si>
    <t xml:space="preserve">Celkové náklady projektu sú 24,9 mil. eur, z čoho sú investičné náklady 13,1 mil. eur</t>
  </si>
  <si>
    <t xml:space="preserve">Valore pluriennale, anno di riferimento pari alla valutazione. Letto da estratto indicizzato della pagina.</t>
  </si>
  <si>
    <t xml:space="preserve">Priemerná ročná prevádzka</t>
  </si>
  <si>
    <t xml:space="preserve">Costo operativo medio annuo del progetto per la cybersecurity dei piccoli comuni slovacchi.</t>
  </si>
  <si>
    <t xml:space="preserve">Prevádzka zariadení a poplatky za licencie majú následne stáť priemerne 1,7 mil. eur ročne počas 7 rokov</t>
  </si>
  <si>
    <t xml:space="preserve">MIRRI-HARMONOGRAM-2024</t>
  </si>
  <si>
    <t xml:space="preserve">Ministerstvo investícií, regionálneho rozvoja a informatizácie SR (MIRRI)</t>
  </si>
  <si>
    <t xml:space="preserve">Indikatívny harmonogram výziev a vyzvaní Plánu obnovy, verzia 6</t>
  </si>
  <si>
    <t xml:space="preserve">05/2024</t>
  </si>
  <si>
    <t xml:space="preserve">https://mirri.gov.sk/wp-content/uploads/2024/05/Indik_harmonogram_vyhlas_VaPV_v6.pdf</t>
  </si>
  <si>
    <t xml:space="preserve">Výzva Vybudovanie bezpečnostných dohľadových centier (3 SOC), alokácia</t>
  </si>
  <si>
    <t xml:space="preserve">Dotazione della call slovacca del Piano di ripresa per tre centri operativi di sicurezza nella pubblica amministrazione.</t>
  </si>
  <si>
    <t xml:space="preserve">Dedotta. Dotazioni pubbliche per la cybersecurity della pubblica amministrazione.</t>
  </si>
  <si>
    <t xml:space="preserve">Dotazione della call del Piano di ripresa, investimento 6, per tre centri operativi di sicurezza nella PA.</t>
  </si>
  <si>
    <t xml:space="preserve">V : Vybudovanie bezpečnostných dohľadových centier (3 SOC) ... august 2023 november 2023 21 600 000,00 €</t>
  </si>
  <si>
    <t xml:space="preserve">Letto da estratto indicizzato della pagina. Verifica finale 08/10/2026, valore confermato sulla fonte. Dotazione della call 2023 confermata.</t>
  </si>
  <si>
    <t xml:space="preserve">MIRRI-POOKYBER-2024</t>
  </si>
  <si>
    <t xml:space="preserve">Plán obnovy a odolnosti, komponent 17, prezentácia ITAPA (Miriam Kováčiková, 18. 6. 2024)</t>
  </si>
  <si>
    <t xml:space="preserve">18/06/2024</t>
  </si>
  <si>
    <t xml:space="preserve">https://www.itapa.sk/data/att/060/10844.b0fc12.pdf</t>
  </si>
  <si>
    <t xml:space="preserve">Alokácia, Reforma 4 Štandardizácia technických a procesných riešení kybernetickej a informačnej bezpečnosti</t>
  </si>
  <si>
    <t xml:space="preserve">Dotazione della riforma 4 del Piano di ripresa slovacco sulla standardizzazione della cybersecurity pubblica.</t>
  </si>
  <si>
    <t xml:space="preserve">Dotazioni delle riforme di cybersecurity del Piano di ripresa slovacco, componente 17.</t>
  </si>
  <si>
    <t xml:space="preserve">ALOKÁCIA 4 mil. € REFORMA 4: Štandardizácia technických a procesných riešení kybernetickej a informačnej bezpečnosti</t>
  </si>
  <si>
    <t xml:space="preserve">Dotazioni del Piano di ripresa 2021-2026. Letto da estratto indicizzato della pagina. Verifica finale 08/10/2026, valore confermato sulla fonte. Dotazione della riforma 4 confermata.</t>
  </si>
  <si>
    <t xml:space="preserve">Alokácia, Reforma 5 Skvalitnenie vzdelávania a zabezpečenie spôsobilostí v oblasti kybernetickej a informačnej bezpečnosti</t>
  </si>
  <si>
    <t xml:space="preserve">Dotazione della riforma 5 del Piano di ripresa slovacco sulle competenze di cybersecurity nella PA.</t>
  </si>
  <si>
    <t xml:space="preserve">ALOKÁCIA 9 mil. € REFORMA 5: Skvalitnenie vzdelávania a zabezpečenie spôsobilostí v oblasti kybernetickej a informačnej bezpečnosti</t>
  </si>
  <si>
    <t xml:space="preserve">Dotazioni del Piano di ripresa 2021-2026. Attribuzione delle dotazioni alle riforme dedotta dall'ordine nell'estratto della presentazione. Letto da estratto indicizzato della pagina. Verifica finale 08/10/2026, valore confermato sulla fonte. Dotazione della riforma 5 confermata.</t>
  </si>
  <si>
    <t xml:space="preserve">MIRRI-PSKKYBER-2024</t>
  </si>
  <si>
    <t xml:space="preserve">Rezort informatizácie podporil kybernetickú bezpečnosť sumou 15 miliónov eur</t>
  </si>
  <si>
    <t xml:space="preserve">11/04/2024</t>
  </si>
  <si>
    <t xml:space="preserve">https://mirri.gov.sk/aktuality/digitalna-agenda/rezort-informatizacie-podporil-kyberneticku-bezpecnost-sumou-15-milionov-eur/</t>
  </si>
  <si>
    <t xml:space="preserve">Výzva Podpora v oblasti kybernetickej a informačnej bezpečnosti na regionálnej úrovni - verejná správa, alokácia</t>
  </si>
  <si>
    <t xml:space="preserve">Dotazione della call del Programma Slovensko per la cybersecurity regionale della pubblica amministrazione.</t>
  </si>
  <si>
    <t xml:space="preserve">Dotazioni di due call del Programma Slovensko 2021-2027 per la cybersecurity regionale.</t>
  </si>
  <si>
    <t xml:space="preserve">Je na ňu alokovaných 10 miliónov eur, z toho 3 milióny do viac rozvinutých regiónov a 7 miliónov do menej rozvinutých regiónov.</t>
  </si>
  <si>
    <t xml:space="preserve">Letto da estratto indicizzato della pagina. Verifica finale 08/10/2026, valore confermato sulla fonte. Dotazione 2024 della prima call confermata.</t>
  </si>
  <si>
    <t xml:space="preserve">Výzva Podpora v oblasti kybernetickej a informačnej bezpečnosti na regionálnej úrovni - verejné a štátne vysoké školy, alokácia</t>
  </si>
  <si>
    <t xml:space="preserve">Dotazione della call del Programma Slovensko per la cybersecurity delle università pubbliche e statali.</t>
  </si>
  <si>
    <t xml:space="preserve">Na druhú výzvu ... vysoké školy, ktorá bola vyhlásená v marci, je vyčlenených 5 miliónov eur.</t>
  </si>
  <si>
    <t xml:space="preserve">Letto da estratto indicizzato della pagina. Verifica finale 08/10/2026, valore confermato sulla fonte. Dotazione 2024 della call per le università confermata.</t>
  </si>
  <si>
    <t xml:space="preserve">NBU-NAVRHROZPOCTU-2023</t>
  </si>
  <si>
    <t xml:space="preserve">Národný bezpečnostný úrad (NBÚ)</t>
  </si>
  <si>
    <t xml:space="preserve">Návrh rozpočtu kapitoly NBÚ na roky 2024-2026, výdavky podľa programovej štruktúry</t>
  </si>
  <si>
    <t xml:space="preserve">https://www.nbu.gov.sk/data/att/134.pdf</t>
  </si>
  <si>
    <t xml:space="preserve">Podprogram 0D905 Kybernetická bezpečnosť, výdavky (eur)</t>
  </si>
  <si>
    <t xml:space="preserve">Bilancio approvato 2023 del sottoprogramma cybersecurity dell'autorità slovacca NBÚ.</t>
  </si>
  <si>
    <t xml:space="preserve">Dedotta. Bilancio dell'autorità pubblica per la cybersecurity.</t>
  </si>
  <si>
    <t xml:space="preserve">Dato amministrativo del bilancio per programmi del capitolo NBÚ, sottoprogramma 0D905.</t>
  </si>
  <si>
    <t xml:space="preserve">Kybernetická bezpečnosť 2 341 222,00 2 650 370,00 2 650 370,00 2 650 370,00</t>
  </si>
  <si>
    <t xml:space="preserve">Solo il sottoprogramma cyber del capitolo NBÚ, che nel 2025 ha spese totali per 17,98 mln EUR anche per la protezione delle informazioni classificate. Letto da estratto indicizzato della pagina. Verifica finale 08/10/2026, valore confermato sulla fonte. Bilancio approvato 2023 del sottoprogramma confermato.</t>
  </si>
  <si>
    <t xml:space="preserve">Proposta di bilancio 2024 del sottoprogramma cybersecurity dell'autorità slovacca NBÚ.</t>
  </si>
  <si>
    <t xml:space="preserve">Solo il sottoprogramma cyber del capitolo NBÚ, che nel 2025 ha spese totali per 17,98 mln EUR anche per la protezione delle informazioni classificate. Valore di proposta di bilancio pluriennale, non stanziamento finale. Letto da estratto indicizzato della pagina.</t>
  </si>
  <si>
    <t xml:space="preserve">Proposta di bilancio 2025 del sottoprogramma cybersecurity dell'autorità slovacca NBÚ.</t>
  </si>
  <si>
    <t xml:space="preserve">Proposta di bilancio 2026 del sottoprogramma cybersecurity dell'autorità slovacca NBÚ.</t>
  </si>
  <si>
    <t xml:space="preserve">(R) Standardisation of technical and procedural cybersecurity solutions (R) Improving cybersecurity training and skills €14.0</t>
  </si>
  <si>
    <t xml:space="preserve">ITA-CCGSI-2023</t>
  </si>
  <si>
    <t xml:space="preserve">SI</t>
  </si>
  <si>
    <t xml:space="preserve">Slovenia</t>
  </si>
  <si>
    <t xml:space="preserve">Slovenia Country Commercial Guide. Information and Communications Technology</t>
  </si>
  <si>
    <t xml:space="preserve">https://www.trade.gov/country-commercial-guides/slovenia-information-and-communications-technology</t>
  </si>
  <si>
    <t xml:space="preserve">Rappresentanti del settore (non specificati)</t>
  </si>
  <si>
    <t xml:space="preserve">market for security software growth</t>
  </si>
  <si>
    <t xml:space="preserve">Crescita 2022 del mercato sloveno del software di sicurezza secondo la guida commerciale statunitense.</t>
  </si>
  <si>
    <t xml:space="preserve">Dedotta. Indicazione qualitativa di rappresentanti del settore senza metodo.</t>
  </si>
  <si>
    <t xml:space="preserve">The market for security software grew by 18 percent in 2022, with growth expected to continue through 2023.</t>
  </si>
  <si>
    <t xml:space="preserve">Data della pagina non leggibile, anno dedotto dal contenuto. Letto da estratto indicizzato della pagina.</t>
  </si>
  <si>
    <t xml:space="preserve">MF-ZRURSIV-2023</t>
  </si>
  <si>
    <t xml:space="preserve">Ministrstvo za finance RS</t>
  </si>
  <si>
    <t xml:space="preserve">Zaključni račun proračuna RS za leto 2022, obrazložitve posebnega dela, 1544 URSIV</t>
  </si>
  <si>
    <t xml:space="preserve">https://www.gov.si/assets/ministrstva/MF/Proracun-direktorat/Drzavni-proracun/Zakljucni-racun/2022-ZR/Obrazlozitve-posebni-del/ZR2022-258-III_3_1544_UVIV.pdf</t>
  </si>
  <si>
    <t xml:space="preserve">Poraba Urada RS za informacijsko varnost</t>
  </si>
  <si>
    <t xml:space="preserve">Spesa effettiva 2022 dell'ufficio governativo sloveno per la sicurezza informatica URSIV.</t>
  </si>
  <si>
    <t xml:space="preserve">Dedotta. Bilancio dell'ufficio governativo per la sicurezza informatica.</t>
  </si>
  <si>
    <t xml:space="preserve">Dato amministrativo del rendiconto del bilancio statale per l'ufficio URSIV.</t>
  </si>
  <si>
    <t xml:space="preserve">Poraba Urada Republike Slovenije za informacijsko varnost je v letu 2022 znašala 2.075.193 EUR, kar predstavlja 78,93 % veljavnega proračuna</t>
  </si>
  <si>
    <t xml:space="preserve">Il bilancio valido 2022 era stato ridotto a 2.629.143 EUR. Letto da estratto indicizzato della pagina. Verifica finale 08/10/2026, valore confermato sulla fonte. Spesa effettiva 2022 dell'ufficio governativo.</t>
  </si>
  <si>
    <t xml:space="preserve">Sprejeti proračun Urada RS za informacijsko varnost</t>
  </si>
  <si>
    <t xml:space="preserve">Bilancio approvato 2022 dell'ufficio governativo sloveno per la sicurezza informatica URSIV.</t>
  </si>
  <si>
    <t xml:space="preserve">Sprejeti proračun Urada Republike Slovenije za informacijsko varnost je v letu 2022 znašal 4.700.000 EUR.</t>
  </si>
  <si>
    <t xml:space="preserve">Letto da estratto indicizzato della pagina. Verifica finale 08/10/2026, valore confermato sulla fonte. Rendiconto 2022, il bilancio valido fu poi ridotto a 2.629.143 EUR.</t>
  </si>
  <si>
    <t xml:space="preserve">MF-PRORACUN2026SI-2025</t>
  </si>
  <si>
    <t xml:space="preserve">Uradni list Republike Slovenije</t>
  </si>
  <si>
    <t xml:space="preserve">Spremembe proračuna Republike Slovenije za leto 2026 (DP2026-A), II. Posebni del</t>
  </si>
  <si>
    <t xml:space="preserve">28/11/2025</t>
  </si>
  <si>
    <t xml:space="preserve">https://www.uradni-list.si/files/RS_-2025-095-03358-OB~P002-0000.PDF</t>
  </si>
  <si>
    <t xml:space="preserve">1544 Urad Vlade RS za informacijsko varnost, podprogram 050505 Informacijska in kibernetska varnost</t>
  </si>
  <si>
    <t xml:space="preserve">Stanziamento 2026 dell'ufficio governativo sloveno per la sicurezza informatica URSIV nel bilancio statale modificato.</t>
  </si>
  <si>
    <t xml:space="preserve">Dedotta. Stanziamento del bilancio statale per il sottoprogramma sicurezza informatica e cyber.</t>
  </si>
  <si>
    <t xml:space="preserve">Dato amministrativo del bilancio statale modificato per il 2026, Gazzetta ufficiale 95/2025.</t>
  </si>
  <si>
    <t xml:space="preserve">1544 Urad Vlade Republike Slovenije za informacijsko varnost 7.602.260 ... 050505 Informacijska in kibernetska varnost 7.602.260</t>
  </si>
  <si>
    <t xml:space="preserve">Letto da estratto indicizzato della pagina. Verifica finale 08/10/2026, valore confermato sulla fonte. Modifiche al bilancio 2026, parte speciale.</t>
  </si>
  <si>
    <t xml:space="preserve">VLADA-ZINFV1-2025</t>
  </si>
  <si>
    <t xml:space="preserve">Vlada Republike Slovenije (documento pubblicato dall'Associazione dei comuni sloveni)</t>
  </si>
  <si>
    <t xml:space="preserve">Predlog Zakona o informacijski varnosti (ZInfV-1), finančne posledice</t>
  </si>
  <si>
    <t xml:space="preserve">04/2025</t>
  </si>
  <si>
    <t xml:space="preserve">https://www.zdruzenjeobcin.si/wp-content/uploads/2025/04/VLADA-RS_PREDLOG-ZAKONA-O-INFORMACIJSKI-VARNOSTI_APRIL-2025.pdf</t>
  </si>
  <si>
    <t xml:space="preserve">proračunska sredstva zagotovljena za izvajanje zakona na postavkah URSIV</t>
  </si>
  <si>
    <t xml:space="preserve">Fondi di bilancio 2025 già previsti per attuare la nuova legge slovena sulla sicurezza informatica.</t>
  </si>
  <si>
    <t xml:space="preserve">Dedotta. Fondi del bilancio statale per attuare la legge sulla sicurezza informatica.</t>
  </si>
  <si>
    <t xml:space="preserve">Valutazione delle conseguenze finanziarie della proposta di legge, fondi già previsti nel bilancio 2025 e 2026 sulle voci URSIV, CSIRT e investimenti.</t>
  </si>
  <si>
    <t xml:space="preserve">Za izvajanje zakona je tako zagotovljenih 4.265.362 eurov v letu 2025 in 4.777.200 eurov v letu 2026.</t>
  </si>
  <si>
    <t xml:space="preserve">Documento governativo letto da copia pubblicata da un'associazione. Letto da estratto indicizzato della pagina. Verifica finale 08/10/2026, valore confermato sulla fonte. Valore confermato nello stesso PDF indicizzato senza la cartella 2025/04 nel percorso.</t>
  </si>
  <si>
    <t xml:space="preserve">Fondi di bilancio 2026 già previsti per attuare la nuova legge slovena sulla sicurezza informatica.</t>
  </si>
  <si>
    <t xml:space="preserve">Documento governativo letto da copia pubblicata da un'associazione. Letto da estratto indicizzato della pagina.</t>
  </si>
  <si>
    <t xml:space="preserve">URSIV-NRP-2025</t>
  </si>
  <si>
    <t xml:space="preserve">Vlada Republike Slovenije (URSIV)</t>
  </si>
  <si>
    <t xml:space="preserve">Vlada uvrstila več projektov kibernetske varnosti v veljavni Načrt razvojnih programov 2025-2028</t>
  </si>
  <si>
    <t xml:space="preserve">https://www.gov.si/novice/2025-09-18-vlada-uvrstila-vec-projektov-kibernetske-varnosti-v-veljavni-nacrt-razvojnih-programov-20252028/</t>
  </si>
  <si>
    <t xml:space="preserve">ALiEnS-SOC, vrednost projekta</t>
  </si>
  <si>
    <t xml:space="preserve">Valore del progetto ALiEnS-SOC per un centro operativo di sicurezza basato su IA nel settore elettrico sloveno, 2025-2027.</t>
  </si>
  <si>
    <t xml:space="preserve">Dedotta. Progetto cofinanziato per la sicurezza operativa del settore elettrico.</t>
  </si>
  <si>
    <t xml:space="preserve">Valori dei progetti inseriti dal governo nel Piano dei programmi di sviluppo 2025-2028.</t>
  </si>
  <si>
    <t xml:space="preserve">Projekt v vrednosti 9,92 milijona evrov poteka od januarja 2025 do decembra 2027, sofinanciran pa je v višini 50 odstotkov iz sredstev EU.</t>
  </si>
  <si>
    <t xml:space="preserve">Valori pluriennali di progetto, in parte cofinanziati dall'UE. Progetto con 13 partner, quota di URSIV pari a 451.000 EUR. Letto da estratto indicizzato della pagina. Verifica finale 08/10/2026, valore confermato sulla fonte. Valore pluriennale del progetto 2025 2027, non spesa annua.</t>
  </si>
  <si>
    <t xml:space="preserve">SECIS Krepitev ekosistema kibernetske varnosti v Sloveniji, skupna vrednost</t>
  </si>
  <si>
    <t xml:space="preserve">Valore del progetto SECIS per rafforzare il Centro nazionale sloveno di coordinamento per la cybersecurity, 2025-2029.</t>
  </si>
  <si>
    <t xml:space="preserve">Dedotta. Progetto pubblico di rafforzamento dell'ecosistema cyber nazionale.</t>
  </si>
  <si>
    <t xml:space="preserve">Skupna vrednost znaša 4,14 milijona evrov, od tega polovica iz sredstev EU.</t>
  </si>
  <si>
    <t xml:space="preserve">Valori pluriennali di progetto, in parte cofinanziati dall'UE. Letto da estratto indicizzato della pagina. Verifica finale 08/10/2026, valore confermato sulla fonte. Valore pluriennale del progetto 2025 2029, non spesa annua.</t>
  </si>
  <si>
    <t xml:space="preserve">Zmogljivost informacijske varnosti 2024-2027, vrednost projekta</t>
  </si>
  <si>
    <t xml:space="preserve">Valore aggiornato del progetto per la capacità del CSIRT nazionale sloveno 2024-2027, aumentato da 2,84 a 3,75 milioni di euro.</t>
  </si>
  <si>
    <t xml:space="preserve">Dedotta. Finanziamento pubblico del CSIRT nazionale presso ARNES.</t>
  </si>
  <si>
    <t xml:space="preserve">Zaradi povečane obremenitve skupin CSIRT se vrednost projekta zvišuje iz 2,84 milijona na 3,75 milijona evrov.</t>
  </si>
  <si>
    <t xml:space="preserve">Valori pluriennali di progetto, in parte cofinanziati dall'UE. Letto da estratto indicizzato della pagina. Verifica finale 08/10/2026, valore confermato sulla fonte. Valore pluriennale del progetto 2024 2027 rivisto nel 2025.</t>
  </si>
  <si>
    <t xml:space="preserve">ES</t>
  </si>
  <si>
    <t xml:space="preserve">Spagna</t>
  </si>
  <si>
    <t xml:space="preserve">Ricavi medi 2022 per impresa di cybersecurity in Spagna, fatturato Statista diviso per numero di imprese.</t>
  </si>
  <si>
    <t xml:space="preserve">Letto da estratto indicizzato della pagina. Indicatore ibrido calcolato da Centro Studi TIM.</t>
  </si>
  <si>
    <t xml:space="preserve">COMPUTING-TENDENCIAS-2026</t>
  </si>
  <si>
    <t xml:space="preserve">Computing (Spagna)</t>
  </si>
  <si>
    <t xml:space="preserve">Tendencias en España en el mercado de TI para 2026</t>
  </si>
  <si>
    <t xml:space="preserve">https://www.computing.es/mercado-ti/tendencias-en-espana-en-el-mercado-de-ti-para-2016/</t>
  </si>
  <si>
    <t xml:space="preserve">Non indicata esplicitamente nell'estratto, i paragrafi vicini citano dati IDC</t>
  </si>
  <si>
    <t xml:space="preserve">mercado de ciberseguridad en España</t>
  </si>
  <si>
    <t xml:space="preserve">Valore del mercato cyber spagnolo previsto per il 2026 secondo un articolo di settore.</t>
  </si>
  <si>
    <t xml:space="preserve">+12,4% sul 2025, crescita cumulata al 2027 12,7%</t>
  </si>
  <si>
    <t xml:space="preserve">el mercado de ciberseguridad en España acompaña esta tendencia, alcanzando los 3.068 millones de euros en 2026 (un 12,4% de crecimiento respecto de 2025)</t>
  </si>
  <si>
    <t xml:space="preserve">Letto da estratto indicizzato della pagina. Attribuzione alla fonte primaria non verificabile. Verifica finale 08/10/2026, valore confermato sulla fonte. Stima 2026 confermata nell'articolo del febbraio 2026.</t>
  </si>
  <si>
    <t xml:space="preserve">DBK-CIBERSEGURIDAD-2023</t>
  </si>
  <si>
    <t xml:space="preserve">DBK Observatorio Sectorial de INFORMA D&amp;B</t>
  </si>
  <si>
    <t xml:space="preserve">Ciberseguridad, nota de prensa 2023</t>
  </si>
  <si>
    <t xml:space="preserve">https://www.dbk.es/es/detalle-nota/ciberseguridad-2023</t>
  </si>
  <si>
    <t xml:space="preserve">Mercado (mill. euros)</t>
  </si>
  <si>
    <t xml:space="preserve">Valore del mercato spagnolo della cybersecurity nel 2021 secondo DBK.</t>
  </si>
  <si>
    <t xml:space="preserve">+13,3% sul 2020</t>
  </si>
  <si>
    <t xml:space="preserve">software, hardware e prestazione di servizi</t>
  </si>
  <si>
    <t xml:space="preserve">Non dichiarata nella nota stampa. Valore come ricavi degli operatori attivi in Spagna, inclusi software, hardware e servizi.</t>
  </si>
  <si>
    <t xml:space="preserve">Mercado (mill. euros) · 2021 1.700 · 2022 1.950</t>
  </si>
  <si>
    <t xml:space="preserve">Letto da estratto indicizzato della pagina. Verifica finale 08/10/2026, valore confermato sulla fonte. Valore 2021 confermato nella tabella di sintesi DBK.</t>
  </si>
  <si>
    <t xml:space="preserve">cuota de las empresas de consultoría en el valor del mercado</t>
  </si>
  <si>
    <t xml:space="preserve">Quota delle società di consulenza sul valore del mercato cyber spagnolo 2022.</t>
  </si>
  <si>
    <t xml:space="preserve">Società di consulenza (tipo di operatore)</t>
  </si>
  <si>
    <t xml:space="preserve">Se estima que las empresas de consultoría concentran en torno al 72% del valor total del mercado</t>
  </si>
  <si>
    <t xml:space="preserve">Letto da estratto indicizzato della pagina. Ripartizione per tipo di operatore fornitore, non per segmento di prodotto.</t>
  </si>
  <si>
    <t xml:space="preserve">valor global del mercado</t>
  </si>
  <si>
    <t xml:space="preserve">Valore del mercato spagnolo della cybersecurity nel 2022 secondo DBK.</t>
  </si>
  <si>
    <t xml:space="preserve">+14,7% sul 2021</t>
  </si>
  <si>
    <t xml:space="preserve">El valor global del mercado, incluyendo ventas de software y hardware e ingresos derivados de la prestación de servicios, alcanzó en 2022 los 1.950 millones</t>
  </si>
  <si>
    <t xml:space="preserve">Letto da estratto indicizzato della pagina. Verifica finale 08/10/2026, valore confermato sulla fonte. Valore 2022 confermato.</t>
  </si>
  <si>
    <t xml:space="preserve">DBK-CIBERSEGURIDAD-2025</t>
  </si>
  <si>
    <t xml:space="preserve">Ciberseguridad, nota de prensa 2025 (estudio de 362 páginas)</t>
  </si>
  <si>
    <t xml:space="preserve">https://www.dbk.es/es/detalle-nota/ciberseguridad-2025</t>
  </si>
  <si>
    <t xml:space="preserve">% var. 2023/2022</t>
  </si>
  <si>
    <t xml:space="preserve">Crescita del mercato spagnolo della cybersecurity nel 2023 secondo DBK.</t>
  </si>
  <si>
    <t xml:space="preserve">+13,8% 2023/2022</t>
  </si>
  <si>
    <t xml:space="preserve">% var. 2023/2022 +13,8</t>
  </si>
  <si>
    <t xml:space="preserve">Valore del mercato spagnolo della cybersecurity nel 2023 secondo DBK.</t>
  </si>
  <si>
    <t xml:space="preserve">+13,8% sul 2022</t>
  </si>
  <si>
    <t xml:space="preserve">Mercado (mil. euros) · 2023 2.190 · 2024 2.500</t>
  </si>
  <si>
    <t xml:space="preserve">Letto da estratto indicizzato della pagina. Valore letto dalla tabella della nota stampa. Verifica finale 08/10/2026, valore confermato sulla fonte. Tabella di sintesi DBK, valore 2023 in milioni coerente con il testo sui 2.500 milioni del 2024.</t>
  </si>
  <si>
    <t xml:space="preserve">% var. 2024/2023</t>
  </si>
  <si>
    <t xml:space="preserve">Crescita del mercato spagnolo della cybersecurity nel 2024 secondo DBK.</t>
  </si>
  <si>
    <t xml:space="preserve">+14,2% 2024/2023</t>
  </si>
  <si>
    <t xml:space="preserve">% var. 2024/2023 +14,2</t>
  </si>
  <si>
    <t xml:space="preserve">valor global del mercado de ciberseguridad</t>
  </si>
  <si>
    <t xml:space="preserve">Valore del mercato spagnolo della cybersecurity nel 2024 secondo DBK.</t>
  </si>
  <si>
    <t xml:space="preserve">+14,2% sul 2023</t>
  </si>
  <si>
    <t xml:space="preserve">El valor global del mercado de ciberseguridad, incluyendo ventas de software y hardware, e ingresos derivados ... alcanzó en 2024 los 2.500 millones</t>
  </si>
  <si>
    <t xml:space="preserve">Letto da estratto indicizzato della pagina. Verifica finale 08/10/2026, valore confermato sulla fonte. Valore 2024 confermato, costruito su ricavi delle imprese.</t>
  </si>
  <si>
    <t xml:space="preserve">% var. 2025/2024 (previsión)</t>
  </si>
  <si>
    <t xml:space="preserve">Crescita prevista del mercato spagnolo della cybersecurity nel 2025 secondo DBK.</t>
  </si>
  <si>
    <t xml:space="preserve">+14% 2025/2024</t>
  </si>
  <si>
    <t xml:space="preserve">% var. 2025/2024 (previsión) +14,0</t>
  </si>
  <si>
    <t xml:space="preserve">valor del mercado 2026 (previsión)</t>
  </si>
  <si>
    <t xml:space="preserve">Valore previsto del mercato spagnolo della cybersecurity nel 2026 secondo DBK.</t>
  </si>
  <si>
    <t xml:space="preserve">variazione media annua circa 14% nel biennio 2025-2026</t>
  </si>
  <si>
    <t xml:space="preserve">estimándose una variación media anual de en torno al 14% en el bienio 2025-2026 lo que supondría superar los 3.000 millones de euros en 2026</t>
  </si>
  <si>
    <t xml:space="preserve">Letto da estratto indicizzato della pagina. Valore pubblicato come soglia (oltre 3.000 milioni). Verifica finale 08/10/2026, valore confermato sulla fonte. Previsione 2026 confermata.</t>
  </si>
  <si>
    <t xml:space="preserve">DELOITTE-CISOES-2023</t>
  </si>
  <si>
    <t xml:space="preserve">Deloitte España (Cyber Strategy, Transformation and Assessment)</t>
  </si>
  <si>
    <t xml:space="preserve">Las principales preocupaciones del CISO, estado de la ciberseguridad</t>
  </si>
  <si>
    <t xml:space="preserve">https://www.deloitte.com/content/dam/assets-zone2/es/es/docs/services/risk-advisory/2023/Deloitte-ES-informe-CISOS-ciberseguridad.pdf</t>
  </si>
  <si>
    <t xml:space="preserve">presupuesto dedicado a servicios externalizados</t>
  </si>
  <si>
    <t xml:space="preserve">Quota del budget cyber destinata a servizi esternalizzati nelle imprese del campione.</t>
  </si>
  <si>
    <t xml:space="preserve">Servizi esternalizzati</t>
  </si>
  <si>
    <t xml:space="preserve">Survey presso CISO di imprese partecipanti. Numerosità e ponderazione non dichiarate nell'estratto. Budget esclusi i dipendenti interni.</t>
  </si>
  <si>
    <t xml:space="preserve">El presupuesto que se dedica de media a los servicios internos es del 27%, frente a los 73% de los externalizados</t>
  </si>
  <si>
    <t xml:space="preserve">presupuesto dedicado a servicios internos</t>
  </si>
  <si>
    <t xml:space="preserve">Quota del budget cyber destinata a servizi interni nelle imprese del campione.</t>
  </si>
  <si>
    <t xml:space="preserve">Servizi interni</t>
  </si>
  <si>
    <t xml:space="preserve">presupuesto medio en ciberseguridad sobre presupuesto IT/OT</t>
  </si>
  <si>
    <t xml:space="preserve">Quota media del budget IT e OT destinata alla cybersecurity nelle imprese spagnole del campione.</t>
  </si>
  <si>
    <t xml:space="preserve">El presupuesto medio en ciberseguridad es el 8,5% del presupuesto de IT/OT</t>
  </si>
  <si>
    <t xml:space="preserve">Letto da estratto indicizzato della pagina. Anno di riferimento non dichiarato nell'estratto, assunto pari all'anno del documento. Esclude i dipendenti interni. Quota autodichiarata, non confrontabile con rapporti di mercato.</t>
  </si>
  <si>
    <t xml:space="preserve">DSN-PLANCIBER-2022</t>
  </si>
  <si>
    <t xml:space="preserve">Departamento de Seguridad Nacional (DSN), Presidencia del Gobierno</t>
  </si>
  <si>
    <t xml:space="preserve">Plan Nacional de Ciberseguridad (nota de prensa)</t>
  </si>
  <si>
    <t xml:space="preserve">30/03/2022</t>
  </si>
  <si>
    <t xml:space="preserve">https://www.dsn.gob.es/es/actualidad/sala-de-prensa/plan-nacional-ciberseguridad-0</t>
  </si>
  <si>
    <t xml:space="preserve">importe total de implementación del Plan Nacional de Ciberseguridad</t>
  </si>
  <si>
    <t xml:space="preserve">Importo complessivo del Piano nazionale di cybersecurity spagnolo per il triennio successivo al 2022.</t>
  </si>
  <si>
    <t xml:space="preserve">Dedotta. Si tratta di risorse pubbliche stanziate per misure cyber, non di ricavi dei fornitori.</t>
  </si>
  <si>
    <t xml:space="preserve">Importo complessivo delle oltre 130 azioni del Piano per i tre anni successivi, in parte già finanziate e in larga misura collegate al PRTR.</t>
  </si>
  <si>
    <t xml:space="preserve">El Plan contiene más de 130 actuaciones, cuya implementación asciende a un importe total de 1000 millones de euros</t>
  </si>
  <si>
    <t xml:space="preserve">Letto da estratto indicizzato della pagina. Periodo triennale dal 2022, anno di riferimento pari all'ultimo anno. Altre fonti governative indicano 150 iniziative e un orizzonte 2022-2025.</t>
  </si>
  <si>
    <t xml:space="preserve">CYLUM-BAROMETRO-2025</t>
  </si>
  <si>
    <t xml:space="preserve">Forbes España</t>
  </si>
  <si>
    <t xml:space="preserve">La mediana empresa española solo destina un 4% de su presupuesto informático a ciberseguridad</t>
  </si>
  <si>
    <t xml:space="preserve">27/03/2025</t>
  </si>
  <si>
    <t xml:space="preserve">https://forbes.es/economia/664162/la-mediana-empresa-espanola-solo-destina-un-4-de-su-presupuesto-informatico-a-ciberseguridad-segun-cylum/</t>
  </si>
  <si>
    <t xml:space="preserve">Cylum (Factum), I Barómetro de la Ciberseguridad en la Mediana Empresa</t>
  </si>
  <si>
    <t xml:space="preserve">gasto medio en ciberseguridad sobre presupuesto TI</t>
  </si>
  <si>
    <t xml:space="preserve">Quota media del budget IT delle medie imprese spagnole destinata alla cybersecurity.</t>
  </si>
  <si>
    <t xml:space="preserve">Medie imprese</t>
  </si>
  <si>
    <t xml:space="preserve">Dedotta. Barometro basato su survey presso medie imprese.</t>
  </si>
  <si>
    <t xml:space="preserve">El gasto medio en ciberseguridad de las medianas empresas españolas solo representa el 4% del presupuesto que dedican a las tecnologías de la información</t>
  </si>
  <si>
    <t xml:space="preserve">Letto da estratto indicizzato della pagina. Anno di riferimento non dichiarato, assunto pari all'anno di pubblicazione. Fonte primaria di un fornitore di servizi gestiti. Verifica finale 08/10/2026, valore confermato sulla fonte.</t>
  </si>
  <si>
    <t xml:space="preserve">MINECO-PRTRC15-2021</t>
  </si>
  <si>
    <t xml:space="preserve">Gobierno de España, Plan de Recuperación, Transformación y Resiliencia</t>
  </si>
  <si>
    <t xml:space="preserve">Componente 15, Conectividad digital, impulso a la ciberseguridad y despliegue del 5G</t>
  </si>
  <si>
    <t xml:space="preserve">https://digital.gob.es/content/dam/portal-mtdfp/avance-digital/telecomunicacion-e-infraestructuras-digitales/areas_interes/%E2%80%8Bciberseguridad-y-despliegue-del-5g/Componente15.pdf</t>
  </si>
  <si>
    <t xml:space="preserve">C15.I7 Ciberseguridad, coste</t>
  </si>
  <si>
    <t xml:space="preserve">Costo totale dell'investimento PRTR C15.I7 dedicato alla cybersecurity in Spagna.</t>
  </si>
  <si>
    <t xml:space="preserve">Dedotta. Risorse pubbliche PRTR destinate a misure cyber, non ricavi dei fornitori.</t>
  </si>
  <si>
    <t xml:space="preserve">Costo dell'investimento C15.I7 del PRTR con ripartizione per assi d'intervento, finanziato dal Mecanismo de Recuperación y Resiliencia.</t>
  </si>
  <si>
    <t xml:space="preserve">C15.I7 Ciberseguridad: Fortalecimiento de las capacidades de ciudadanos, PYMEs y profesionales; e Impulso del ecosistema del sector Coste 524.000.000 €</t>
  </si>
  <si>
    <t xml:space="preserve">Letto da estratto indicizzato della pagina. Periodo 2021-2023 secondo uno studio INCIBE del 2024, anno di riferimento pari all'ultimo anno.</t>
  </si>
  <si>
    <t xml:space="preserve">Fortalecimiento de las capacidades de ciberseguridad de ciudadanos, pymes y profesionales</t>
  </si>
  <si>
    <t xml:space="preserve">Quota della misura C15.I7 per le capacità cyber di cittadini, PMI e professionisti.</t>
  </si>
  <si>
    <t xml:space="preserve">Cittadini, PMI e professionisti</t>
  </si>
  <si>
    <t xml:space="preserve">Imprese e Famiglie</t>
  </si>
  <si>
    <t xml:space="preserve">Fortalecimiento de las capacidades de ciberseguridad de ciudadanos, pymes y profesionales (98 M€)</t>
  </si>
  <si>
    <t xml:space="preserve">Impulso del ecosistema del sector ciberseguridad</t>
  </si>
  <si>
    <t xml:space="preserve">Quota della misura C15.I7 per lo sviluppo dell'industria cyber, R&amp;S e talento.</t>
  </si>
  <si>
    <t xml:space="preserve">Ecosistema del settore (industria, R&amp;S, talento)</t>
  </si>
  <si>
    <t xml:space="preserve">El segundo eje es el Impulso el ecosistema del sector ciberseguridad (418 M€)</t>
  </si>
  <si>
    <t xml:space="preserve">Letto da estratto indicizzato della pagina. Periodo 2021-2023 secondo uno studio INCIBE del 2024, anno di riferimento pari all'ultimo anno. Leve dichiarate 200 M€ industria, 140 M€ R&amp;S, 30 M€ talento.</t>
  </si>
  <si>
    <t xml:space="preserve">peso de C15.I7 sobre la inversión del componente</t>
  </si>
  <si>
    <t xml:space="preserve">Quota della misura cyber sul totale della componente 15 del PRTR.</t>
  </si>
  <si>
    <t xml:space="preserve">C15.I7 Ciberseguridad ... 524 13,1</t>
  </si>
  <si>
    <t xml:space="preserve">Letto da estratto indicizzato della pagina. Valore letto da tabella. Periodo 2021-2023 secondo uno studio INCIBE del 2024, anno di riferimento pari all'ultimo anno.</t>
  </si>
  <si>
    <t xml:space="preserve">IDC-CIBERES-2023</t>
  </si>
  <si>
    <t xml:space="preserve">IDC Research España</t>
  </si>
  <si>
    <t xml:space="preserve">IDC #EUR146734920, documento su ciberseguridad en España (ottobre 2023, sponsorizzato)</t>
  </si>
  <si>
    <t xml:space="preserve">https://6740520.fs1.hubspotusercontent-na1.net/hubfs/6740520/ES_Files/IDC-Ciberseguridad-oct-2023-vf-maquetada-2.pdf</t>
  </si>
  <si>
    <t xml:space="preserve">gasto de TI en seguridad en España</t>
  </si>
  <si>
    <t xml:space="preserve">Spesa IT in sicurezza in Spagna prevista per il 2023 da IDC.</t>
  </si>
  <si>
    <t xml:space="preserve">+10,6% sul 2022, CAGR al 2026 11,2%</t>
  </si>
  <si>
    <t xml:space="preserve">IDC prevé que el mercado de seguridad en España alcanzará los €2.318,98 millones en 2023</t>
  </si>
  <si>
    <t xml:space="preserve">Letto da estratto indicizzato della pagina. Documento IDC ospitato sul server di uno sponsor. Verifica finale 08/10/2026, valore confermato sulla fonte. Stesso PDF IDC con parametri di tracciamento nell'URL.</t>
  </si>
  <si>
    <t xml:space="preserve">mercado de seguridad en España 2026</t>
  </si>
  <si>
    <t xml:space="preserve">Spesa IT in sicurezza in Spagna prevista per il 2026 da IDC.</t>
  </si>
  <si>
    <t xml:space="preserve">CAGR 2023-2026 11,2%</t>
  </si>
  <si>
    <t xml:space="preserve">para el año 2026 podría superar la barrera de los €3.210 millones</t>
  </si>
  <si>
    <t xml:space="preserve">Letto da estratto indicizzato della pagina. Valore pubblicato come soglia (oltre 3.210 milioni).</t>
  </si>
  <si>
    <t xml:space="preserve">IMARC-CYBERES-2026</t>
  </si>
  <si>
    <t xml:space="preserve">Spain Cybersecurity Market Size, Share, Trends, 2034</t>
  </si>
  <si>
    <t xml:space="preserve">https://www.imarcgroup.com/spain-cybersecurity-market</t>
  </si>
  <si>
    <t xml:space="preserve">Spain cybersecurity market size</t>
  </si>
  <si>
    <t xml:space="preserve">Dimensione del mercato cyber spagnolo nel 2025 secondo IMARC.</t>
  </si>
  <si>
    <t xml:space="preserve">The Spain cybersecurity market size reached USD 5.3 Billion in 2025</t>
  </si>
  <si>
    <t xml:space="preserve">Spain cybersecurity market forecast</t>
  </si>
  <si>
    <t xml:space="preserve">Dimensione prevista del mercato cyber spagnolo nel 2034 secondo IMARC.</t>
  </si>
  <si>
    <t xml:space="preserve">CAGR 2026-2034 8,84%</t>
  </si>
  <si>
    <t xml:space="preserve">IMARC Group expects the market to reach USD 11.3 Billion by 2034, exhibiting a growth rate (CAGR) of 8.84% during 2026-2034</t>
  </si>
  <si>
    <t xml:space="preserve">Country share (2025), Spain</t>
  </si>
  <si>
    <t xml:space="preserve">Quota della Spagna sul mercato europeo della cybersecurity nel 2025 secondo IMARC.</t>
  </si>
  <si>
    <t xml:space="preserve">Spain's 11.8% reflects SME cybersecurity support and digitalization acceleration</t>
  </si>
  <si>
    <t xml:space="preserve">Letto da estratto indicizzato della pagina. Quota sul mercato europeo stimato da IMARC in 81,81 miliardi USD nel 2025.</t>
  </si>
  <si>
    <t xml:space="preserve">INCIBE-EMPRENDIMIENTO-2024</t>
  </si>
  <si>
    <t xml:space="preserve">INCIBE, Instituto Nacional de Ciberseguridad</t>
  </si>
  <si>
    <t xml:space="preserve">Estudio sobre el ecosistema de emprendimiento en ciberseguridad</t>
  </si>
  <si>
    <t xml:space="preserve">15/04/2024</t>
  </si>
  <si>
    <t xml:space="preserve">https://www.incibe.es/sites/default/files/Emprendimiento/ESTUDIO%20ECOSISTEMA%20EMPRENDIMIENTO_0.pdf</t>
  </si>
  <si>
    <t xml:space="preserve">ONTSI e INCIBE, Análisis y Diagnóstico del Talento en Ciberseguridad en España (03/2022), su dati IDC</t>
  </si>
  <si>
    <t xml:space="preserve">mercado de la ciberseguridad en España</t>
  </si>
  <si>
    <t xml:space="preserve">Valore del mercato cyber spagnolo nel 2020 citato da INCIBE.</t>
  </si>
  <si>
    <t xml:space="preserve">el mercado de la ciberseguridad en España sigue creciendo, ya que en 2020 alcanzó casi los 1.500 millones de euros</t>
  </si>
  <si>
    <t xml:space="preserve">Letto da estratto indicizzato della pagina. Valore approssimato (quasi 1.500 milioni). Verifica finale 08/10/2026, valore confermato sulla fonte. Valore 2020 confermato.</t>
  </si>
  <si>
    <t xml:space="preserve">IDC, citato in ONTSI e INCIBE, Análisis y Diagnóstico del Talento en Ciberseguridad en España (03/2022)</t>
  </si>
  <si>
    <t xml:space="preserve">mercado de la ciberseguridad en España (previsión IDC)</t>
  </si>
  <si>
    <t xml:space="preserve">Previsione IDC del mercato cyber spagnolo al 2024 citata da INCIBE.</t>
  </si>
  <si>
    <t xml:space="preserve">CAGR 8,12%</t>
  </si>
  <si>
    <t xml:space="preserve">según datos de IDC, alcanzará los 2.000 millones de euros en 2024, creciendo a una tasa de crecimiento anual compuesto del 8,12%</t>
  </si>
  <si>
    <t xml:space="preserve">Letto da estratto indicizzato della pagina. Verifica finale 08/10/2026, valore confermato sulla fonte. Previsione IDC 2024 confermata.</t>
  </si>
  <si>
    <t xml:space="preserve">INCIBE-INDUSTRIA-2026</t>
  </si>
  <si>
    <t xml:space="preserve">INCIBE, Instituto Nacional de Ciberseguridad, e CONETIC</t>
  </si>
  <si>
    <t xml:space="preserve">Estudio sobre la industria de la ciberseguridad en España 2025 (conclusioni, comunicato)</t>
  </si>
  <si>
    <t xml:space="preserve">18/03/2026</t>
  </si>
  <si>
    <t xml:space="preserve">https://www.incibe.es/incibe/sala-de-prensa/incibe-y-conetic-presentan-las-conclusiones-del-estudio-sobre-la-industria-de</t>
  </si>
  <si>
    <t xml:space="preserve">cuota de la facturación europea de ciberseguridad</t>
  </si>
  <si>
    <t xml:space="preserve">Quota della Spagna sul fatturato europeo della cybersecurity secondo lo studio.</t>
  </si>
  <si>
    <t xml:space="preserve">Encuesta con participación de 517 empresas. Universo de referencia de 4.692 empresas registradas como agentes digitalizadores del PRTR y 947 empresas de CONETIC.</t>
  </si>
  <si>
    <t xml:space="preserve">El estudio sitúa al país como cuarto mercado europeo de ciberseguridad, con un 12% de la facturación europea y un 2,8% de la mundial</t>
  </si>
  <si>
    <t xml:space="preserve">Letto da estratto indicizzato della pagina. Anno di riferimento dedotto dal dato di fatturato 2024.</t>
  </si>
  <si>
    <t xml:space="preserve">facturación de la industria de la ciberseguridad</t>
  </si>
  <si>
    <t xml:space="preserve">Fatturato dell'industria spagnola della cybersecurity nel 2024.</t>
  </si>
  <si>
    <t xml:space="preserve">En 2024, la industria alcanzó los 6.351 millones de euros, lo que supone el 4,65% de toda la facturación del sector TIC</t>
  </si>
  <si>
    <t xml:space="preserve">Letto da estratto indicizzato della pagina. Perimetro ampio basato su agenti digitalizzatori PRTR, include fatturato non domestico, oltre il doppio delle stime di mercato DBK e IDC. Verifica finale 08/10/2026, valore confermato sulla fonte. Fatturato 2024 confermato.</t>
  </si>
  <si>
    <t xml:space="preserve">peso de la facturación ciber sobre la facturación del sector TIC</t>
  </si>
  <si>
    <t xml:space="preserve">Quota del fatturato cyber sul fatturato del settore ICT spagnolo nel 2024.</t>
  </si>
  <si>
    <t xml:space="preserve">lo que supone el 4,65% de toda la facturación del sector TIC</t>
  </si>
  <si>
    <t xml:space="preserve">MORDOR-CYBERES-2024</t>
  </si>
  <si>
    <t xml:space="preserve">Marché de la cybersécurité en Espagne, taille du marché (édition 2024-2029)</t>
  </si>
  <si>
    <t xml:space="preserve">https://www.mordorintelligence.com/fr/industry-reports/spain-cybersecurity-market/market-size</t>
  </si>
  <si>
    <t xml:space="preserve">taille du marché espagnol de la cybersécurité</t>
  </si>
  <si>
    <t xml:space="preserve">Dimensione stimata del mercato cyber spagnolo nel 2024 nell'edizione precedente di Mordor.</t>
  </si>
  <si>
    <t xml:space="preserve">La taille du marché espagnol de la cybersécurité est estimée à 2,27 milliards USD en 2024</t>
  </si>
  <si>
    <t xml:space="preserve">Letto da estratto indicizzato della pagina. Valore pari a circa la metà di quello dell'edizione 2026 per il 2025, revisione non spiegata. La tabella della pagina indica 3,44 miliardi nel 2029. Verifica finale 08/10/2026, valore confermato sulla fonte. Testo confermato, ma la tabella della stessa pagina indica 2,43 miliardi USD per il 2024.</t>
  </si>
  <si>
    <t xml:space="preserve">Dimensione prevista del mercato cyber spagnolo nel 2029 nell'edizione precedente di Mordor.</t>
  </si>
  <si>
    <t xml:space="preserve">CAGR 2024-2029 7,16%</t>
  </si>
  <si>
    <t xml:space="preserve">devrait atteindre 3,21 milliards USD dici 2029, avec un TCAC de 7,16 %</t>
  </si>
  <si>
    <t xml:space="preserve">Letto da estratto indicizzato della pagina. Verifica finale 08/10/2026, valore confermato sulla fonte. Testo confermato, ma la tabella della stessa pagina indica 3,44 miliardi USD per il 2029.</t>
  </si>
  <si>
    <t xml:space="preserve">MORDOR-CYBERES-2026</t>
  </si>
  <si>
    <t xml:space="preserve">Cybersecurity Market in Spain, Size, Share &amp; Industry Analysis (2026-2031)</t>
  </si>
  <si>
    <t xml:space="preserve">https://www.mordorintelligence.com/industry-reports/spain-cybersecurity-market</t>
  </si>
  <si>
    <t xml:space="preserve">solutions revenue share</t>
  </si>
  <si>
    <t xml:space="preserve">Quota delle soluzioni sul mercato cyber spagnolo 2025 secondo Mordor Intelligence.</t>
  </si>
  <si>
    <t xml:space="preserve">By offering, solutions led with 68.38% revenue share in 2025</t>
  </si>
  <si>
    <t xml:space="preserve">Dimensione del mercato cyber spagnolo nel 2025 secondo Mordor Intelligence.</t>
  </si>
  <si>
    <t xml:space="preserve">Spain cybersecurity market size was valued at USD 4.57 billion in 2025</t>
  </si>
  <si>
    <t xml:space="preserve">Letto da estratto indicizzato della pagina. Verifica finale 08/10/2026, valore confermato sulla fonte. Edizione Mordor con orizzonte 2026 2031.</t>
  </si>
  <si>
    <t xml:space="preserve">Dimensione stimata del mercato cyber spagnolo nel 2026 secondo Mordor Intelligence.</t>
  </si>
  <si>
    <t xml:space="preserve">estimated to grow from USD 5.01 billion in 2026 to reach USD 7.91 billion by 2031</t>
  </si>
  <si>
    <t xml:space="preserve">Dimensione prevista del mercato cyber spagnolo nel 2031 secondo Mordor Intelligence.</t>
  </si>
  <si>
    <t xml:space="preserve">CAGR 2026-2031 9,56%</t>
  </si>
  <si>
    <t xml:space="preserve">to reach USD 7.91 billion by 2031, at a CAGR of 9.56% during the forecast period (2026-2031)</t>
  </si>
  <si>
    <t xml:space="preserve">(I) Cybersecurity programme (I) Cybersecurity strengthening the capacities of citizens, SMEs and professionals €1681.0</t>
  </si>
  <si>
    <t xml:space="preserve">Spain, cybersecurity market revenue 2016-2029</t>
  </si>
  <si>
    <t xml:space="preserve">https://www.statista.com/forecasts/1499030/spain-cybersecurity-market-revenue</t>
  </si>
  <si>
    <t xml:space="preserve">Revenue of the cybersecurity market in Spain</t>
  </si>
  <si>
    <t xml:space="preserve">Ricavi previsti del mercato cyber spagnolo nel 2029 secondo Statista Market Insights.</t>
  </si>
  <si>
    <t xml:space="preserve">the indicator is estimated to reach nearly four billion euros and therefore a new peak in 2029</t>
  </si>
  <si>
    <t xml:space="preserve">Letto da estratto indicizzato della pagina. Valore pubblicato in forma approssimata (quasi 4 miliardi). Valori annuali della pagina outlook non presenti negli estratti.</t>
  </si>
  <si>
    <t xml:space="preserve">SE</t>
  </si>
  <si>
    <t xml:space="preserve">Svezia</t>
  </si>
  <si>
    <t xml:space="preserve">CAGR 2025-2030 5,31%</t>
  </si>
  <si>
    <t xml:space="preserve">Sweden €1.32 billion 5.31%</t>
  </si>
  <si>
    <t xml:space="preserve">Letto da estratto indicizzato della pagina. Riga paese da pagina multi-paese CBI. Valori Statista di aggiornamento non specificato, da confrontare con la pagina Statista del paese. Verifica finale 08/10/2026, valore confermato sulla fonte. Valore della Svezia confermato nella tabella della pagina.</t>
  </si>
  <si>
    <t xml:space="preserve">CISCO-NIS2SE-2023</t>
  </si>
  <si>
    <t xml:space="preserve">Cisco Sverige</t>
  </si>
  <si>
    <t xml:space="preserve">Säker digitalisering med NIS2, rapport Cisco 2023</t>
  </si>
  <si>
    <t xml:space="preserve">https://www.cisco.com/c/dam/global/sv_se/home/pdf/secure-digitalization-with-nis2-report-cisco-2023.pdf</t>
  </si>
  <si>
    <t xml:space="preserve">Radar Group (analisi non consultata)</t>
  </si>
  <si>
    <t xml:space="preserve">Andel av budget på cybersäkerhet</t>
  </si>
  <si>
    <t xml:space="preserve">Quota del budget IT svedese destinata alla cybersecurity nel 2023 secondo Radar.</t>
  </si>
  <si>
    <t xml:space="preserve">Dedotta. Il valore è espresso come quota del budget delle organizzazioni svedesi destinata alla cybersecurity.</t>
  </si>
  <si>
    <t xml:space="preserve">Enligt Radars analys lägger Sverige en samlad budget av 5,8 procent på cybersäkerhet</t>
  </si>
  <si>
    <t xml:space="preserve">Nordlo (aprile 2024) riporta per lo stesso anno il 7,3%. Letto da estratto indicizzato della pagina. Verifica finale 08/10/2026, valore confermato sulla fonte. Quota di bilancio dedicata alla cybersecurity confermata.</t>
  </si>
  <si>
    <t xml:space="preserve">Samlad budget på cybersäkerhet</t>
  </si>
  <si>
    <t xml:space="preserve">Spesa complessiva svedese in cybersecurity 2023 secondo Radar, ripresa da Cisco.</t>
  </si>
  <si>
    <t xml:space="preserve">SEK</t>
  </si>
  <si>
    <t xml:space="preserve">Enligt Radars analys lägger Sverige en samlad budget av 5,8 procent på cybersäkerhet, motsvarande 13,4 miljarder SEK under 2023</t>
  </si>
  <si>
    <t xml:space="preserve">Cisco è un fornitore. Dagens industri (16/05/2023) riporta da Radar 13 miliardi. Incoerente con i 14,43 miliardi 2022 citati da Nordlo. Letto da estratto indicizzato della pagina. Verifica finale 08/10/2026, valore confermato sulla fonte. Valore 2023 confermato.</t>
  </si>
  <si>
    <t xml:space="preserve">ICEX-CIBERSE-2025</t>
  </si>
  <si>
    <t xml:space="preserve">ICEX España Exportación e Inversiones (Oficina Económica y Comercial en Estocolmo)</t>
  </si>
  <si>
    <t xml:space="preserve">Estudio de mercado, La ciberseguridad en Suecia 2025 (Resumen)</t>
  </si>
  <si>
    <t xml:space="preserve">https://www.icex.es/content/dam/icex/centros/suecia/documentos/2025/estudio-mercado-ciberseguridad-suecia-2025-resumen.pdf</t>
  </si>
  <si>
    <t xml:space="preserve">Non indicata nell'estratto (CAGR coincidente con Mordor Intelligence)</t>
  </si>
  <si>
    <t xml:space="preserve">Valor del mercado sueco de ciberseguridad</t>
  </si>
  <si>
    <t xml:space="preserve">Mercato svedese della cybersecurity secondo lo studio ICEX 2025.</t>
  </si>
  <si>
    <t xml:space="preserve">CAGR 2024-2029 8,82%</t>
  </si>
  <si>
    <t xml:space="preserve">Dedotta. Il riassunto non indica la costruzione del dato.</t>
  </si>
  <si>
    <t xml:space="preserve">En 2023, el valor del mercado sueco de ciberseguridad fue de aproximadamente 1.380,5 millones de euros.</t>
  </si>
  <si>
    <t xml:space="preserve">Il refuso 2..300 nella fonte è letto come 2.300 milioni. Il CAGR coincide con Mordor ma i valori in euro non coincidono con quelli Mordor in dollari. Letto da estratto indicizzato della pagina. Verifica finale 08/10/2026, valore confermato sulla fonte. Valore 2023 confermato.</t>
  </si>
  <si>
    <t xml:space="preserve">Se prevé que el mercado alcance los 2..300 millones de euros para 2029 y 2.900 millones de euros en 2032.</t>
  </si>
  <si>
    <t xml:space="preserve">Il refuso 2..300 nella fonte è letto come 2.300 milioni. Il CAGR coincide con Mordor ma i valori in euro non coincidono con quelli Mordor in dollari. Letto da estratto indicizzato della pagina.</t>
  </si>
  <si>
    <t xml:space="preserve">KOMMERSKOLLEGIUM-CYBERSE-2025</t>
  </si>
  <si>
    <t xml:space="preserve">Kommerskollegium (National Board of Trade Sweden)</t>
  </si>
  <si>
    <t xml:space="preserve">Market study, The Swedish Market for Cybersecurity</t>
  </si>
  <si>
    <t xml:space="preserve">14/07/2025</t>
  </si>
  <si>
    <t xml:space="preserve">https://www.kommerskollegium.se/en/analyses-and-seminars/published/market-study/2025/the-swedish-market-for-cybersecurity/</t>
  </si>
  <si>
    <t xml:space="preserve">InnovationQuarter (2024), non consultato</t>
  </si>
  <si>
    <t xml:space="preserve">Share of cybersecurity spending in Sweden by sector</t>
  </si>
  <si>
    <t xml:space="preserve">Quota della domanda di cybersecurity in Svezia per settore cliente, ripresa da InnovationQuarter.</t>
  </si>
  <si>
    <t xml:space="preserve">Finanza e banche</t>
  </si>
  <si>
    <t xml:space="preserve">Dedotta. Quote settoriali riprese da altra fonte senza descrizione del metodo.</t>
  </si>
  <si>
    <t xml:space="preserve">Finance and banking generate nearly 30 per cent of demand, government and defence around 20 per cent</t>
  </si>
  <si>
    <t xml:space="preserve">Valori approssimati (nearly, around, about). Anno dedotto dalla fonte primaria 2024. Lo stesso studio riprende da Mordor 1,53 miliardi di USD per il 2025. Letto da estratto indicizzato della pagina.</t>
  </si>
  <si>
    <t xml:space="preserve">Governo e difesa</t>
  </si>
  <si>
    <t xml:space="preserve">government and defence around 20 per cent, and IT and telecommunications about 16 per cent.</t>
  </si>
  <si>
    <t xml:space="preserve">IT e telecomunicazioni</t>
  </si>
  <si>
    <t xml:space="preserve">IT and telecommunications about 16 per cent (InnovationQuarter, 2024).</t>
  </si>
  <si>
    <t xml:space="preserve">MORDOR-CYBERNORDICS-2026</t>
  </si>
  <si>
    <t xml:space="preserve">Nordics Cybersecurity Market Size and Share Analysis 2026-2031</t>
  </si>
  <si>
    <t xml:space="preserve">https://www.mordorintelligence.com/industry-reports/nordics-cybersecurity-market</t>
  </si>
  <si>
    <t xml:space="preserve">Sweden market share of Nordics cybersecurity market</t>
  </si>
  <si>
    <t xml:space="preserve">Quota della Svezia nel mercato cybersecurity nordico 2025 secondo Mordor Intelligence.</t>
  </si>
  <si>
    <t xml:space="preserve">By country, Sweden commanded 38.65% market share in 2025, whereas Norway exhibits the fastest 9.82% CAGR to 2031.</t>
  </si>
  <si>
    <t xml:space="preserve">Applicata al totale nordico di 13,77 miliardi di USD implica circa 5,3 miliardi per la Svezia, quasi tre volte il valore del report paese Mordor (1,86 miliardi). Aggregato nordico curato dalla traccia A. Letto da estratto indicizzato della pagina.</t>
  </si>
  <si>
    <t xml:space="preserve">MORDOR-CYBERSE-2025</t>
  </si>
  <si>
    <t xml:space="preserve">Dimensioni del mercato della sicurezza informatica in Svezia (edizione 2025-2030, pagina italiana)</t>
  </si>
  <si>
    <t xml:space="preserve">20/02/2025</t>
  </si>
  <si>
    <t xml:space="preserve">https://www.mordorintelligence.it/industry-reports/sweden-cybersecurity-market</t>
  </si>
  <si>
    <t xml:space="preserve">Dimensione del mercato della sicurezza informatica in Svezia</t>
  </si>
  <si>
    <t xml:space="preserve">Dimensione del mercato cybersecurity svedese secondo Mordor Intelligence, edizione 2025.</t>
  </si>
  <si>
    <t xml:space="preserve">CAGR 2025-2030 8,82%</t>
  </si>
  <si>
    <t xml:space="preserve">Nel 2024, la dimensione del mercato della sicurezza informatica in Svezia è stata stimata in 1.40 miliardi di USD.</t>
  </si>
  <si>
    <t xml:space="preserve">Edizione superata dalla 2026. Natura riferita alla data dell'edizione. Il dato 2025 è ripreso da Kommerskollegium (2025). Letto da estratto indicizzato della pagina. Verifica finale 08/10/2026, valore confermato sulla fonte. Valore 2024 confermato.</t>
  </si>
  <si>
    <t xml:space="preserve">Si prevede che il mercato svedese della sicurezza informatica raggiungerà 1.53 miliardi di dollari nel 2025</t>
  </si>
  <si>
    <t xml:space="preserve">Edizione superata dalla 2026. Natura riferita alla data dell'edizione. Il dato 2025 è ripreso da Kommerskollegium (2025). Letto da estratto indicizzato della pagina. Verifica finale 08/10/2026, valore confermato sulla fonte. Previsione 2025 confermata.</t>
  </si>
  <si>
    <t xml:space="preserve">crescerà a un CAGR dell'8.82%, per raggiungere 2.44 miliardi di dollari entro il 2030.</t>
  </si>
  <si>
    <t xml:space="preserve">Edizione superata dalla 2026. Natura riferita alla data dell'edizione. Il dato 2025 è ripreso da Kommerskollegium (2025). Letto da estratto indicizzato della pagina.</t>
  </si>
  <si>
    <t xml:space="preserve">MORDOR-CYBERSE-2026</t>
  </si>
  <si>
    <t xml:space="preserve">Sweden Cybersecurity Market Size, Trends and Forecast 2026-2031</t>
  </si>
  <si>
    <t xml:space="preserve">https://www.mordorintelligence.com/industry-reports/sweden-cybersecurity-market</t>
  </si>
  <si>
    <t xml:space="preserve">Sweden cybersecurity market size</t>
  </si>
  <si>
    <t xml:space="preserve">Dimensione del mercato cybersecurity svedese secondo Mordor Intelligence, edizione 2026.</t>
  </si>
  <si>
    <t xml:space="preserve">CAGR 2026-2031 8,87%</t>
  </si>
  <si>
    <t xml:space="preserve">Base Year Market Size (2025) USD 1.86 Billion</t>
  </si>
  <si>
    <t xml:space="preserve">L'edizione 2025 indicava 1,53 miliardi per il 2025. Letto da estratto indicizzato della pagina. Verifica finale 08/10/2026, valore confermato sulla fonte. Valore dell'anno base 2025 confermato.</t>
  </si>
  <si>
    <t xml:space="preserve">Market Size (2026) USD 2.02 Billion</t>
  </si>
  <si>
    <t xml:space="preserve">L'edizione 2025 indicava 1,53 miliardi per il 2025. Letto da estratto indicizzato della pagina.</t>
  </si>
  <si>
    <t xml:space="preserve">Market Size (2031) USD 3.09 Billion Growth Rate (2026 - 2031) 8.87 %</t>
  </si>
  <si>
    <t xml:space="preserve">NORDLO-CYBERRAPPORTAPR-2024</t>
  </si>
  <si>
    <t xml:space="preserve">Nordlo</t>
  </si>
  <si>
    <t xml:space="preserve">Nordlo cybersäkerhetsrapport 2024 (aprile 2024)</t>
  </si>
  <si>
    <t xml:space="preserve">04/2024</t>
  </si>
  <si>
    <t xml:space="preserve">https://nordlo.com/wp-content/uploads/2024/04/nordlocybersakerhetsrapport-2024.pdf</t>
  </si>
  <si>
    <t xml:space="preserve">Non identificabile dall'estratto (nota 6), probabilmente Radar Group</t>
  </si>
  <si>
    <t xml:space="preserve">Cybersäkerhetens andel av IT-budgeten</t>
  </si>
  <si>
    <t xml:space="preserve">Quota della cybersecurity sul budget IT delle organizzazioni svedesi nel 2023.</t>
  </si>
  <si>
    <t xml:space="preserve">Tecnica, operativa e strategica</t>
  </si>
  <si>
    <t xml:space="preserve">Dedotta. Radar esprime la cybersecurity come quota del budget IT delle organizzazioni svedesi.</t>
  </si>
  <si>
    <t xml:space="preserve">Cybersäkerhet utgjorde 7,3 procent av IT- budgeten under 2023.</t>
  </si>
  <si>
    <t xml:space="preserve">Quota autodichiarata da survey, di norma include personale interno. Non confrontabile con valori di mercato. Letto da estratto indicizzato della pagina. Verifica finale 08/10/2026, valore confermato sulla fonte.</t>
  </si>
  <si>
    <t xml:space="preserve">Quota attesa della cybersecurity sul budget IT delle organizzazioni svedesi nel 2024.</t>
  </si>
  <si>
    <t xml:space="preserve">Under 2024 väntas andelen uppgå till 8,1 procent.</t>
  </si>
  <si>
    <t xml:space="preserve">Previsione all'epoca della pubblicazione. Letto da estratto indicizzato della pagina.</t>
  </si>
  <si>
    <t xml:space="preserve">Omsättning cybersäkerhet i Sverige</t>
  </si>
  <si>
    <t xml:space="preserve">Spesa svedese in cybersecurity stimata per il 2024, ripresa da Nordlo.</t>
  </si>
  <si>
    <t xml:space="preserve">trenden visar en fortsatt ökning med en omsättning som uppskattas nå upp till 15,36 miljarder SEK under 2024.</t>
  </si>
  <si>
    <t xml:space="preserve">Previsione all'epoca della pubblicazione (aprile 2024). Letto da estratto indicizzato della pagina.</t>
  </si>
  <si>
    <t xml:space="preserve">NORDLO-CYBERRAPPORTJAN-2024</t>
  </si>
  <si>
    <t xml:space="preserve">Cybersäkerhetsrapport (gennaio 2024)</t>
  </si>
  <si>
    <t xml:space="preserve">https://nordlo.com/wp-content/uploads/2024/01/cybersakerhetsrapport.pdf</t>
  </si>
  <si>
    <t xml:space="preserve">Radar Group (rapporto non consultato)</t>
  </si>
  <si>
    <t xml:space="preserve">Investeringar i cybersäkerhet i Sverige</t>
  </si>
  <si>
    <t xml:space="preserve">Investimenti in cybersecurity in Svezia nel 2022 secondo Radar, ripresi da Nordlo.</t>
  </si>
  <si>
    <t xml:space="preserve">trenden visar en fortsatt ökning med investeringar på 14,43 miljarder SEK under 2022.</t>
  </si>
  <si>
    <t xml:space="preserve">Lo stesso documento riporta che secondo Radar la cybersecurity vale il 5-10% del budget IT. Nordlo è fornitore di servizi IT. Letto da estratto indicizzato della pagina. Verifica finale 08/10/2026, valore confermato sulla fonte. Valore 2022 confermato nel rapporto Nordlo.</t>
  </si>
  <si>
    <t xml:space="preserve">RADAR-SVENSKCYBER-2025</t>
  </si>
  <si>
    <t xml:space="preserve">Radar Group</t>
  </si>
  <si>
    <t xml:space="preserve">Svensk cybersäkerhet 2025, Del 2 (marknad, värden, tillväxt)</t>
  </si>
  <si>
    <t xml:space="preserve">https://hub.radargrp.com/content/svensk-cybersakerhet-2025-behov-prioriteringar-och-forutsattningar-i-en-orolig-omvarld</t>
  </si>
  <si>
    <t xml:space="preserve">Den svenska marknaden för cybersäkerhet</t>
  </si>
  <si>
    <t xml:space="preserve">Valore del mercato svedese della cybersecurity secondo Radar Group, rapporto 2025.</t>
  </si>
  <si>
    <t xml:space="preserve">Den svenska marknaden för cybersäkerhet är snart värd över 16 miljarder kronor.</t>
  </si>
  <si>
    <t xml:space="preserve">Valore minimo approssimato (snart värd över). Anno dedotto, Omegapoint (09/10/2025) cita Radar con 16 miliardi per l'anno in corso. Letto da estratto indicizzato della pagina. Verifica finale 08/10/2026, corretto Natura da Consuntivo a Stima dell'anno in corso. Il rapporto di aprile 2025 indica un valore che il mercato raggiungerà a breve, non un consuntivo.</t>
  </si>
  <si>
    <t xml:space="preserve">REGERINGEN-FINANSPLAN-2025</t>
  </si>
  <si>
    <t xml:space="preserve">Regeringen (Finansdepartementet)</t>
  </si>
  <si>
    <t xml:space="preserve">Finansplan, utdrag ur budgetpropositionen för 2026</t>
  </si>
  <si>
    <t xml:space="preserve">21/09/2025</t>
  </si>
  <si>
    <t xml:space="preserve">https://www.regeringen.se/contentassets/9e2c6501b5814c71b03ae759eb32d80f/finansplan--utdrag-ur-budgetpropositionen-for-2026.pdf</t>
  </si>
  <si>
    <t xml:space="preserve">Stärkt cybersäkerhet</t>
  </si>
  <si>
    <t xml:space="preserve">Voce di spesa aggiuntiva per il rafforzamento della cybersecurity nel piano finanziario del bilancio 2026.</t>
  </si>
  <si>
    <t xml:space="preserve">Tabella delle riforme di spesa del bilancio 2026 per area. Non dichiarata la composizione della voce.</t>
  </si>
  <si>
    <t xml:space="preserve">Det civila försvaret stärks ytterligare 1,22 2,21 2,53 Stärkt cybersäkerhet 0,37 0,41 0,46</t>
  </si>
  <si>
    <t xml:space="preserve">Unità miliardi di corone dedotta dalla tabella del Finansplan. Valori superiori ai 300, 350 e 400 milioni del comunicato, la voce include probabilmente altre misure. Letto da estratto indicizzato della pagina. Verifica finale 08/10/2026, valore confermato sulla fonte. Tabella riforme in miliardi di corone, primo anno 2026.</t>
  </si>
  <si>
    <t xml:space="preserve">Unità miliardi di corone dedotta dalla tabella del Finansplan. Valori superiori ai 300, 350 e 400 milioni del comunicato, la voce include probabilmente altre misure. Letto da estratto indicizzato della pagina.</t>
  </si>
  <si>
    <t xml:space="preserve">REGERINGEN-BP2025-2024</t>
  </si>
  <si>
    <t xml:space="preserve">Regeringen (Försvarsdepartementet)</t>
  </si>
  <si>
    <t xml:space="preserve">Historisk satsning på cybersäkerhet (budgetpropositionen för 2025)</t>
  </si>
  <si>
    <t xml:space="preserve">18/09/2024</t>
  </si>
  <si>
    <t xml:space="preserve">https://www.regeringen.se/pressmeddelanden/2024/09/historisk-satsning-pa-cybersakerhet/</t>
  </si>
  <si>
    <t xml:space="preserve">Satsning för att stärka informations- och cybersäkerhetsarbetet</t>
  </si>
  <si>
    <t xml:space="preserve">Risorse aggiuntive per la cybersecurity proposte nel bilancio svedese 2025.</t>
  </si>
  <si>
    <t xml:space="preserve">Somma delle misure cyber aggiuntive proposte nel bilancio 2025 (NCSC presso FRA, CERT-SE, MSB, NCC-SE, autorità NIS2).</t>
  </si>
  <si>
    <t xml:space="preserve">I budgetpropositionen för 2025 föreslår regeringen en satsning på 196 miljoner för att stärka informations- och cybersäkerhetsarbetet</t>
  </si>
  <si>
    <t xml:space="preserve">Incremento, non dotazione complessiva. Include 50 milioni a FRA per l'NCSC e 40 milioni a CERT-SE. Letto da estratto indicizzato della pagina. Verifica finale 08/10/2026, valore confermato sulla fonte. Valore confermato, si tratta di proposta di bilancio per il 2025.</t>
  </si>
  <si>
    <t xml:space="preserve">REGERINGEN-BP2026-2025</t>
  </si>
  <si>
    <t xml:space="preserve">Nationell satsning på cybersäkerhet (budgetpropositionen för 2026)</t>
  </si>
  <si>
    <t xml:space="preserve">09/09/2025</t>
  </si>
  <si>
    <t xml:space="preserve">https://www.regeringen.se/pressmeddelanden/2025/09/nationell-satsning-pa-cybersakerhet/</t>
  </si>
  <si>
    <t xml:space="preserve">Satsning på nationell cybersäkerhet</t>
  </si>
  <si>
    <t xml:space="preserve">Risorse aggiuntive per la cybersecurity nazionale svedese, NCSC, comuni e regioni.</t>
  </si>
  <si>
    <t xml:space="preserve">Tabella delle misure aggiuntive 2026-2028 per NCSC presso FRA, comuni e regioni (NIS2).</t>
  </si>
  <si>
    <t xml:space="preserve">Satsningen uppgår till totalt 300 miljoner kronor under 2026, 350 miljoner kronor under 2027 och 400 miljoner kronor under 2028.</t>
  </si>
  <si>
    <t xml:space="preserve">Ripartizione NCSC 50, 100, 150 milioni, comuni 200 e regioni 50 milioni annui. Incremento, non dotazione complessiva. Letto da estratto indicizzato della pagina. Verifica finale 08/10/2026, valore confermato sulla fonte. Stanziamento 2026 confermato.</t>
  </si>
  <si>
    <t xml:space="preserve">Ripartizione NCSC 50, 100, 150 milioni, comuni 200 e regioni 50 milioni annui. Incremento, non dotazione complessiva. Letto da estratto indicizzato della pagina.</t>
  </si>
  <si>
    <t xml:space="preserve">REGERINGEN-NCSC-2024</t>
  </si>
  <si>
    <t xml:space="preserve">Vägen mot NCSC 2.0, presentazione alla conferenza stampa del 23 settembre 2024</t>
  </si>
  <si>
    <t xml:space="preserve">23/09/2024</t>
  </si>
  <si>
    <t xml:space="preserve">https://www.regeringen.se/globalassets/regeringen/dokument/forsvarsdepartementet/presentationsbilder-fran-presstraff/2024/presstraff-23-september-2024/presentationsbilder-fran-presstraff-den-23-september-2024.pdf</t>
  </si>
  <si>
    <t xml:space="preserve">Medel för arbete inom ramen för NCSC</t>
  </si>
  <si>
    <t xml:space="preserve">Fondi totali 2025 per le attività del Centro nazionale svedese di cybersecurity (NCSC).</t>
  </si>
  <si>
    <t xml:space="preserve">Slide governativa sul finanziamento del Centro nazionale di cybersecurity. Non dichiarata.</t>
  </si>
  <si>
    <t xml:space="preserve">För 2025 ges totalt 200 miljoner kronor för arbete inom ramen för NCSC.</t>
  </si>
  <si>
    <t xml:space="preserve">Stanziamento, non spesa eseguita. Letto da estratto indicizzato della pagina. Verifica finale 08/10/2026, valore confermato sulla fonte. Stanziamento 2025 confermato.</t>
  </si>
  <si>
    <t xml:space="preserve">6WRESEARCH-CYBERHU-2026</t>
  </si>
  <si>
    <t xml:space="preserve">HU</t>
  </si>
  <si>
    <t xml:space="preserve">Ungheria</t>
  </si>
  <si>
    <t xml:space="preserve">Hungary Cyber Security Market (2025-2031) Outlook</t>
  </si>
  <si>
    <t xml:space="preserve">https://www.6wresearch.com/industry-report/hungary-cyber-security-market</t>
  </si>
  <si>
    <t xml:space="preserve">Hungary Cyber Security Market</t>
  </si>
  <si>
    <t xml:space="preserve">Mercato ungherese della cybersecurity nel 2025 secondo 6Wresearch.</t>
  </si>
  <si>
    <t xml:space="preserve">CAGR 2026-2032 4,7%</t>
  </si>
  <si>
    <t xml:space="preserve">The Hungary Cyber Security Market was estimated at USD 500 Million in 2025 and is projected to reach USD 671 Million by 2032</t>
  </si>
  <si>
    <t xml:space="preserve">Valore circa doppio rispetto a Mordor per lo stesso anno. Letto da estratto indicizzato della pagina. Verifica finale 08/10/2026, valore confermato sulla fonte. Pagina 6Wresearch, CAGR 4,7% 2026 2032.</t>
  </si>
  <si>
    <t xml:space="preserve">Hungary Security as a Service Market (2025-2031)</t>
  </si>
  <si>
    <t xml:space="preserve">https://www.6wresearch.com/industry-report/hungary-security-as-a-service-market</t>
  </si>
  <si>
    <t xml:space="preserve">Hungary Security as a Service Market</t>
  </si>
  <si>
    <t xml:space="preserve">Segmento ungherese della sicurezza come servizio nel 2025 secondo 6Wresearch.</t>
  </si>
  <si>
    <t xml:space="preserve">Sicurezza come servizio</t>
  </si>
  <si>
    <t xml:space="preserve">The Hungary Security as a Service Market was estimated at USD 296 Million in 2025 and is projected to reach USD 414 Million by 2032</t>
  </si>
  <si>
    <t xml:space="preserve">Previsione 6Wresearch del mercato ungherese della cybersecurity al 2032.</t>
  </si>
  <si>
    <t xml:space="preserve">Letto da estratto indicizzato della pagina. Verifica finale 08/10/2026, valore confermato sulla fonte. Previsione 2032 nella stessa pagina.</t>
  </si>
  <si>
    <t xml:space="preserve">Letto da estratto indicizzato della pagina. Riga paese da comunicato europeo multi-paese. Verifica finale 08/10/2026, valore confermato sulla fonte. Tasso 2024 riferito all'Ungheria, coerente con il codice area HU.</t>
  </si>
  <si>
    <t xml:space="preserve">ITA-CCGHU-2024</t>
  </si>
  <si>
    <t xml:space="preserve">Hungary Country Commercial Guide. Digital Economy</t>
  </si>
  <si>
    <t xml:space="preserve">https://www.trade.gov/country-commercial-guides/hungary-digital-economy</t>
  </si>
  <si>
    <t xml:space="preserve">Non indicata nell'estratto (formulazione tipica di Statista Market Insights)</t>
  </si>
  <si>
    <t xml:space="preserve">Revenue in the cyber solutions market in Hungary</t>
  </si>
  <si>
    <t xml:space="preserve">Ricavi del segmento cyber solutions in Ungheria nel 2024 secondo la guida commerciale statunitense.</t>
  </si>
  <si>
    <t xml:space="preserve">Dedotta. La guida riprende stime di terzi senza indicarne il metodo.</t>
  </si>
  <si>
    <t xml:space="preserve">Revenue in the cyber solutions market in Hungary is projected to reach USD 105.7 million in 2024.</t>
  </si>
  <si>
    <t xml:space="preserve">Letto da estratto indicizzato della pagina. Verifica finale 08/10/2026, valore confermato sulla fonte. Valore 2024 confermato nella guida commerciale.</t>
  </si>
  <si>
    <t xml:space="preserve">expected annual growth of the Hungarian cybersecurity market</t>
  </si>
  <si>
    <t xml:space="preserve">Crescita media annua attesa del mercato ungherese della cybersecurity nel periodo 2024-2029.</t>
  </si>
  <si>
    <t xml:space="preserve">CAGR 2024-2029 12,25%</t>
  </si>
  <si>
    <t xml:space="preserve">The Hungarian cybersecurity market, one of the largest ICT subsectors, is poised for robust growth, with expected annual growth of 12.25% from 2024 to 2029.</t>
  </si>
  <si>
    <t xml:space="preserve">Tasso medio annuo 2024-2029, anno di riferimento pari alla fine del periodo. Letto da estratto indicizzato della pagina.</t>
  </si>
  <si>
    <t xml:space="preserve">MARKWIDE-CYBERHU-2026</t>
  </si>
  <si>
    <t xml:space="preserve">MarkWide Research</t>
  </si>
  <si>
    <t xml:space="preserve">Hungary Cybersecurity Market Size, Share, and Industry Trends</t>
  </si>
  <si>
    <t xml:space="preserve">11/05/2026</t>
  </si>
  <si>
    <t xml:space="preserve">https://markwideresearch.com/hungary-cybersecurity-market</t>
  </si>
  <si>
    <t xml:space="preserve">Hungary Cybersecurity Market</t>
  </si>
  <si>
    <t xml:space="preserve">Mercato ungherese della cybersecurity nel 2026 secondo MarkWide Research.</t>
  </si>
  <si>
    <t xml:space="preserve">CAGR 2026-2035 11,60%</t>
  </si>
  <si>
    <t xml:space="preserve">The Hungary Cybersecurity Market valued at $487.3 Million in 2026 is projected to expand to $1,308.5 Million by 2035, advancing at a 11.60% CAGR</t>
  </si>
  <si>
    <t xml:space="preserve">Letto da estratto indicizzato della pagina. Verifica finale 08/10/2026, valore confermato sulla fonte. Pagina MarkWide maggio 2026.</t>
  </si>
  <si>
    <t xml:space="preserve">Previsione MarkWide Research del mercato ungherese della cybersecurity al 2035.</t>
  </si>
  <si>
    <t xml:space="preserve">MORDOR-CYBERHU-2026</t>
  </si>
  <si>
    <t xml:space="preserve">Hungary Cybersecurity Market Share and Size 2031 Outlook</t>
  </si>
  <si>
    <t xml:space="preserve">https://www.mordorintelligence.com/industry-reports/hungary-cybersecurity-market</t>
  </si>
  <si>
    <t xml:space="preserve">Hungary cybersecurity market size</t>
  </si>
  <si>
    <t xml:space="preserve">Mercato ungherese della cybersecurity nell'anno base 2025 secondo Mordor.</t>
  </si>
  <si>
    <t xml:space="preserve">soluzioni e servizi correlati</t>
  </si>
  <si>
    <t xml:space="preserve">Dedotta. La pagina parla di spesa in soluzioni e servizi ma non descrive se il valore deriva dai ricavi dei fornitori o da dati degli acquirenti.</t>
  </si>
  <si>
    <t xml:space="preserve">La pagina definisce il mercato come spesa in soluzioni di cybersecurity e servizi correlati che aiutano le organizzazioni a prevenire, rilevare, rispondere e recuperare, in USD. Metodo non descritto.</t>
  </si>
  <si>
    <t xml:space="preserve">expected to grow from USD 239.6 million in 2025 to USD 258.14 million in 2026</t>
  </si>
  <si>
    <t xml:space="preserve">Anno base dell'editore, da intendersi come stima. Un'edizione precedente indicava solo un CAGR 2025-2030 del 6,5%. Letto da estratto indicizzato della pagina. Verifica finale 08/10/2026, valore confermato sulla fonte. Valore 2025 confermato.</t>
  </si>
  <si>
    <t xml:space="preserve">Solutions revenue share</t>
  </si>
  <si>
    <t xml:space="preserve">Quota delle soluzioni sul mercato ungherese della cybersecurity nel 2025 secondo Mordor.</t>
  </si>
  <si>
    <t xml:space="preserve">Servizi CAGR fino al 2031 9,12%</t>
  </si>
  <si>
    <t xml:space="preserve">By offering, Solutions led with 62.55% revenue share in 2025, while Services are projected to register the fastest 9.12% CAGR to 2031.</t>
  </si>
  <si>
    <t xml:space="preserve">Mercato ungherese della cybersecurity nel 2026 secondo Mordor.</t>
  </si>
  <si>
    <t xml:space="preserve">CAGR 2026-2031 7,74%</t>
  </si>
  <si>
    <t xml:space="preserve">USD 258.14 million in 2026 and is forecast to reach USD 374.74 million by 2031 at 7.74% CAGR</t>
  </si>
  <si>
    <t xml:space="preserve">Previsione Mordor del mercato ungherese della cybersecurity al 2031.</t>
  </si>
  <si>
    <t xml:space="preserve">HU-KIBERTV-2024</t>
  </si>
  <si>
    <t xml:space="preserve">Országgyűlés (Nemzeti Jogszabálytár)</t>
  </si>
  <si>
    <t xml:space="preserve">2024. évi LXIX. törvény Magyarország kiberbiztonságáról</t>
  </si>
  <si>
    <t xml:space="preserve">https://net.jogtar.hu/jogszabaly?docid=a2400069.tv</t>
  </si>
  <si>
    <t xml:space="preserve">informatikai fejlesztésre fordított költségek legalább 5%-ának megfelelő összeg kiberbiztonsági fejlesztésekre</t>
  </si>
  <si>
    <t xml:space="preserve">Quota minima obbligatoria dei costi di sviluppo IT che gli enti pubblici ungheresi devono destinare alla cybersecurity.</t>
  </si>
  <si>
    <t xml:space="preserve">sviluppi di cybersecurity</t>
  </si>
  <si>
    <t xml:space="preserve">Dedotta. Obbligo di legge sulla spesa degli enti pubblici che acquistano sicurezza.</t>
  </si>
  <si>
    <t xml:space="preserve">Norma di legge in vigore dal 1/1/2025 che impone agli enti pubblici soggetti di destinare ogni anno ad sviluppi di cybersecurity almeno il 5% dei costi di sviluppo informatico.</t>
  </si>
  <si>
    <t xml:space="preserve">a szervezet által az adott évben informatikai fejlesztésre fordított költségek legalább 5%-ának megfelelő összeget a szervezet a tárgyév során kiberbiztonsági fejlesztésekre fordítson</t>
  </si>
  <si>
    <t xml:space="preserve">Soglia minima normativa, non spesa osservata. Si applica agli enti dell'articolo 1, comma 1, lettere a-c (amministrazioni e organismi pubblici). Letto da estratto indicizzato della pagina.</t>
  </si>
  <si>
    <t xml:space="preserve">VERIFIED-CYBERHU-2025</t>
  </si>
  <si>
    <t xml:space="preserve">Hungary Cybersecurity Market Size, Trends, Scope and Forecast</t>
  </si>
  <si>
    <t xml:space="preserve">https://www.verifiedmarketresearch.com/product/hungary-cybersecurity-market/</t>
  </si>
  <si>
    <t xml:space="preserve">Hungary Cybersecurity Market size</t>
  </si>
  <si>
    <t xml:space="preserve">Mercato ungherese della cybersecurity nel 2024 secondo Verified Market Research.</t>
  </si>
  <si>
    <t xml:space="preserve">CAGR 2026-2032 10%</t>
  </si>
  <si>
    <t xml:space="preserve">Hungary Cybersecurity Market size was valued at USD 350 Million in 2024 and is projected to reach USD 800 Million by 2032</t>
  </si>
  <si>
    <t xml:space="preserve">Previsione Verified Market Research del mercato ungherese della cybersecurity al 2032.</t>
  </si>
  <si>
    <t xml:space="preserve">UK</t>
  </si>
  <si>
    <t xml:space="preserve">Regno Unito</t>
  </si>
  <si>
    <t xml:space="preserve">CAGR 2025-2030 6,34%</t>
  </si>
  <si>
    <t xml:space="preserve">United Kingdom €10.36 billion 6.34%</t>
  </si>
  <si>
    <t xml:space="preserve">Letto da estratto indicizzato della pagina. Riga paese da pagina multi-paese CBI. Valori Statista di aggiornamento non specificato, da confrontare con la pagina Statista del paese. Verifica finale 08/10/2026, valore confermato sulla fonte. Valore in tabella e nel testo della pagina CBI, misurato come ricavi.</t>
  </si>
  <si>
    <t xml:space="preserve">DCMS-SECTORAL-2022</t>
  </si>
  <si>
    <t xml:space="preserve">Department for Digital, Culture, Media and Sport (DCMS) con Ipsos e Perspective Economics</t>
  </si>
  <si>
    <t xml:space="preserve">UK Cyber Security Sectoral Analysis 2022</t>
  </si>
  <si>
    <t xml:space="preserve">18/02/2022</t>
  </si>
  <si>
    <t xml:space="preserve">https://assets.publishing.service.gov.uk/government/uploads/system/uploads/attachment_data/file/1055565/Cyber_Sectoral_Analysis_2022_Report_V2.1.pdf</t>
  </si>
  <si>
    <t xml:space="preserve">Annual cyber security revenue within the sector</t>
  </si>
  <si>
    <t xml:space="preserve">Ricavi da cybersecurity delle 1.838 imprese del settore, esercizio modale 2020/21.</t>
  </si>
  <si>
    <t xml:space="preserve">GBP</t>
  </si>
  <si>
    <t xml:space="preserve">+14% sull'edizione 2021</t>
  </si>
  <si>
    <t xml:space="preserve">Prodotti e servizi di cybersecurity, inclusi MSP e MSSP</t>
  </si>
  <si>
    <t xml:space="preserve">Mappatura delle imprese con presenza registrata nel Regno Unito che offrono prodotti o servizi di cybersecurity. Ricavi da bilanci delle imprese dedicate, quota cyber per le diversificate, survey ai fornitori e ricavi per addetto per le lacune. Solo ricavi attribuibili alla cybersecurity, export incluso.</t>
  </si>
  <si>
    <t xml:space="preserve">In the most recent financial year, annual cyber security revenue within the sector is estimated at £10,146 million (rounded to £10.1 billion).</t>
  </si>
  <si>
    <t xml:space="preserve">Anno modale dei bilanci 2020/21 dichiarato dalla fonte, anno di chiusura 2021. Survey a 248 imprese maggio-luglio 2021. Letto da estratto indicizzato della pagina. Verifica finale 08/10/2026, valore confermato sulla fonte. Ricavi dell'ultimo esercizio confermati.</t>
  </si>
  <si>
    <t xml:space="preserve">Cyber security related GVA</t>
  </si>
  <si>
    <t xml:space="preserve">Valore aggiunto lordo da cybersecurity delle 1.838 imprese del settore, esercizio modale 2020/21.</t>
  </si>
  <si>
    <t xml:space="preserve">+33% sull'edizione 2021</t>
  </si>
  <si>
    <t xml:space="preserve">cyber security related GVA (for the 1,838 firms) has reached £5.3 billion (an increase of 33% since last year).</t>
  </si>
  <si>
    <t xml:space="preserve">Letto da estratto indicizzato della pagina. Verifica finale 08/10/2026, valore confermato sulla fonte. Valore aggiunto confermato.</t>
  </si>
  <si>
    <t xml:space="preserve">DCMS-CSBS-2016</t>
  </si>
  <si>
    <t xml:space="preserve">Department for Digital, Culture, Media and Sport (DCMS) con Ipsos MORI</t>
  </si>
  <si>
    <t xml:space="preserve">Cyber Security Breaches Survey 2016, Main report</t>
  </si>
  <si>
    <t xml:space="preserve">2016</t>
  </si>
  <si>
    <t xml:space="preserve">https://assets.publishing.service.gov.uk/media/5a803781ed915d74e33f9237/Cyber_Security_Breaches_Survey_2016_main_report_FINAL.pdf</t>
  </si>
  <si>
    <t xml:space="preserve">Average investment in cyber security in last financial year, mean spend</t>
  </si>
  <si>
    <t xml:space="preserve">Spesa media per impresa in cybersecurity nell'ultimo esercizio, per classe dimensionale.</t>
  </si>
  <si>
    <t xml:space="preserve">Grandi (250+ addetti)</t>
  </si>
  <si>
    <t xml:space="preserve">Attività e progetti per prevenire o identificare violazioni (software, hardware, personale, outsourcing, formazione)</t>
  </si>
  <si>
    <t xml:space="preserve">Survey telefonica rappresentativa alle imprese del Regno Unito, esclusi lavoratori autonomi e agricoltura. Domanda sulla spesa in cybersecurity dell'ultimo esercizio, risultati ponderati sull'universo delle imprese.</t>
  </si>
  <si>
    <t xml:space="preserve">Table 4.1 Mean spend £4,060 £2,290 £24,100 £269,000 Median spend £150 £100 £3,900 £26,000</t>
  </si>
  <si>
    <t xml:space="preserve">Survey su 1.008 imprese tra novembre 2015 e febbraio 2016, anno di riferimento dedotto 2015. Basi della tabella 812, 385, 278, 149. Letto da estratto indicizzato della pagina.</t>
  </si>
  <si>
    <t xml:space="preserve">Medie (50-249 addetti)</t>
  </si>
  <si>
    <t xml:space="preserve">Micro e piccole (1-49 addetti)</t>
  </si>
  <si>
    <t xml:space="preserve">Spesa media per impresa in cybersecurity nell'ultimo esercizio, tutte le imprese.</t>
  </si>
  <si>
    <t xml:space="preserve">Average investment in cyber security in last financial year, median spend</t>
  </si>
  <si>
    <t xml:space="preserve">Spesa mediana per impresa in cybersecurity nell'ultimo esercizio, per classe dimensionale.</t>
  </si>
  <si>
    <t xml:space="preserve">Survey su 1.008 imprese tra novembre 2015 e febbraio 2016, anno di riferimento dedotto 2015. Basi della tabella 812, 385, 278, 149. Letto da estratto indicizzato della pagina. Verifica finale 08/10/2026, valore confermato sulla fonte. Mediana micro e piccole imprese confermata.</t>
  </si>
  <si>
    <t xml:space="preserve">Spesa mediana per impresa in cybersecurity nell'ultimo esercizio, tutte le imprese.</t>
  </si>
  <si>
    <t xml:space="preserve">DCMS-CSBS-2017</t>
  </si>
  <si>
    <t xml:space="preserve">Cyber Security Breaches Survey 2017, Main report</t>
  </si>
  <si>
    <t xml:space="preserve">https://assets.publishing.service.gov.uk/media/5a7598a540f0b67b3d5c7bae/Cyber_Security_Breaches_Survey_2017_main_report_PUBLIC.pdf</t>
  </si>
  <si>
    <t xml:space="preserve">Table 4.1 Mean spend £4,590 £2,600 £15,500 £387,000 Median spend £200 £200 £5,000 £21,200</t>
  </si>
  <si>
    <t xml:space="preserve">Edizione 2017, anno di riferimento dedotto 2016 (ultimo esercizio prima della rilevazione). Basi della tabella 1.209, 829, 268, 112. Letto da estratto indicizzato della pagina.</t>
  </si>
  <si>
    <t xml:space="preserve">Edizione 2017, anno di riferimento dedotto 2016 (ultimo esercizio prima della rilevazione). Basi della tabella 1.209, 829, 268, 112. Letto da estratto indicizzato della pagina. Verifica finale 08/10/2026, valore confermato sulla fonte. Mediana per tutte le imprese confermata, survey presso le imprese.</t>
  </si>
  <si>
    <t xml:space="preserve">DCMS-CSBS-2018</t>
  </si>
  <si>
    <t xml:space="preserve">Cyber Security Breaches Survey 2018, Main report</t>
  </si>
  <si>
    <t xml:space="preserve">https://assets.publishing.service.gov.uk/media/5adf222ce5274a0d8209473e/Cyber_Security_Breaches_Survey_2018_-_Main_Report.pdf</t>
  </si>
  <si>
    <t xml:space="preserve">Table 4.1 Mean spend £3,580 £2,220 £41,600 £149,000 Median spend £152 £152 £5,190 £24,700</t>
  </si>
  <si>
    <t xml:space="preserve">Edizione 2018, anno di riferimento dedotto 2017. Basi della tabella 1.142, 823, 171, 148. Valori a tre cifre significative. Letto da estratto indicizzato della pagina.</t>
  </si>
  <si>
    <t xml:space="preserve">Edizione 2018, anno di riferimento dedotto 2017. Basi della tabella 1.142, 823, 171, 148. Valori a tre cifre significative. Letto da estratto indicizzato della pagina. Verifica finale 08/10/2026, valore confermato sulla fonte. Mediana delle medie imprese confermata.</t>
  </si>
  <si>
    <t xml:space="preserve">DCMS-CSBS-2019</t>
  </si>
  <si>
    <t xml:space="preserve">Cyber Security Breaches Survey 2019, Statistical Release</t>
  </si>
  <si>
    <t xml:space="preserve">03/04/2019</t>
  </si>
  <si>
    <t xml:space="preserve">https://assets.publishing.service.gov.uk/media/5ff5bb478fa8f53b772750cf/Cyber_Security_Breaches_Survey_2019_-_Main_Report_-_revised_V2.pdf</t>
  </si>
  <si>
    <t xml:space="preserve">Table 4.1 Mean spend £5,100 £3,490 £25,100 £277,000 Median spend £200 £200 £5,000 £42,600</t>
  </si>
  <si>
    <t xml:space="preserve">Rilevazione 10 ottobre-20 dicembre 2018, anno di riferimento dedotto 2018. L'allegato tecnico 2019 definisce la spesa includendo salari del personale. Basi 1.272, 933, 204, 135. Dal 2020 le domande sulla spesa sono state eliminate. Letto da estratto indicizzato della pagina.</t>
  </si>
  <si>
    <t xml:space="preserve">DCMS-SECTORAL-2020</t>
  </si>
  <si>
    <t xml:space="preserve">Department for Digital, Culture, Media and Sport (DCMS) con Ipsos MORI e Perspective Economics</t>
  </si>
  <si>
    <t xml:space="preserve">UK Cyber Security Sectoral Analysis 2020</t>
  </si>
  <si>
    <t xml:space="preserve">01/2020</t>
  </si>
  <si>
    <t xml:space="preserve">https://assets.publishing.service.gov.uk/media/601a893ee90e07128d62cd72/UK_Cyber_Sectoral_Analysis__2020__Report_V2.pdf</t>
  </si>
  <si>
    <t xml:space="preserve">Ricavi da cybersecurity delle 1.221 imprese del settore nell'ultimo esercizio disponibile.</t>
  </si>
  <si>
    <t xml:space="preserve">+46% rispetto alla baseline 2017 (5,7 miliardi)</t>
  </si>
  <si>
    <t xml:space="preserve">In the most recent financial year, annual cyber security revenue within the sector is estimated at £8,293,244,945 (£8.3bn).</t>
  </si>
  <si>
    <t xml:space="preserve">Il rapporto indica l'esercizio 2017/18 come ultimo anno disponibile, anno di chiusura 2018. Il comunicato DCMS del 30/01/2020 parla di crescita dal 2017. Letto da estratto indicizzato della pagina. Verifica finale 08/10/2026, valore confermato sulla fonte. Anno finanziario 2017/18.</t>
  </si>
  <si>
    <t xml:space="preserve">Cyber security related GVA within the sector</t>
  </si>
  <si>
    <t xml:space="preserve">Valore aggiunto lordo da cybersecurity delle 1.221 imprese del settore, esercizio 2017/18.</t>
  </si>
  <si>
    <t xml:space="preserve">+60% in due anni (da 2,35 miliardi)</t>
  </si>
  <si>
    <t xml:space="preserve">Within the most recent financial year (2017/18), we estimate that cyber security related GVA within the sector (1,221 firms) was £3.77bn.</t>
  </si>
  <si>
    <t xml:space="preserve">DCMS-SECTORAL-2021</t>
  </si>
  <si>
    <t xml:space="preserve">UK Cyber Security Sectoral Analysis 2021</t>
  </si>
  <si>
    <t xml:space="preserve">https://assets.publishing.service.gov.uk/government/uploads/system/uploads/attachment_data/file/962413/UK_Cyber_Security_Sectoral_Analysis__2021_.pdf</t>
  </si>
  <si>
    <t xml:space="preserve">Ricavi da cybersecurity delle 1.483 imprese del settore, esercizio modale 2019/20.</t>
  </si>
  <si>
    <t xml:space="preserve">+7% sull'edizione 2020</t>
  </si>
  <si>
    <t xml:space="preserve">In the most recent financial year, annual cyber security revenue within the sector is estimated at £8,878m (rounded to £8.9bn).</t>
  </si>
  <si>
    <t xml:space="preserve">Anno modale dei bilanci FY19/20 dichiarato dalla fonte, anno di chiusura 2020. Survey a 262 imprese cyber maggio-luglio 2020. Letto da estratto indicizzato della pagina. Verifica finale 08/10/2026, valore confermato sulla fonte. Ricavi dell'ultimo esercizio confermati nel rapporto 2021.</t>
  </si>
  <si>
    <t xml:space="preserve">https://assets.publishing.service.gov.uk/media/602d5011e90e0709e3127477/UK_Cyber_Security_Sectoral_Analysis__2021_.pdf</t>
  </si>
  <si>
    <t xml:space="preserve">Valore aggiunto lordo da cybersecurity delle 1.483 imprese del settore, esercizio modale 2019/20.</t>
  </si>
  <si>
    <t xml:space="preserve">+6% sull'edizione 2020 (da 3,77 miliardi)</t>
  </si>
  <si>
    <t xml:space="preserve">cyber security related GVA (for the 1,483 firms) has reached £4bn (up from £3.77bn last year, i.e. an increase of 6%)</t>
  </si>
  <si>
    <t xml:space="preserve">Letto da estratto indicizzato della pagina. Verifica finale 08/10/2026, valore confermato sulla fonte. Anno finanziario non esplicitato nell'estratto.</t>
  </si>
  <si>
    <t xml:space="preserve">DCMS-SECTORAL-2018</t>
  </si>
  <si>
    <t xml:space="preserve">Department for Digital, Culture, Media and Sport (DCMS) con RSM</t>
  </si>
  <si>
    <t xml:space="preserve">UK Cyber Security Sectoral Analysis and Deep-Dive Review (edizione di base)</t>
  </si>
  <si>
    <t xml:space="preserve">06/2018</t>
  </si>
  <si>
    <t xml:space="preserve">https://assets.publishing.service.gov.uk/media/5bd1a221ed915d78c4c8a2ab/UK_Cyber_Sector_Report_-__June_2018.pdf</t>
  </si>
  <si>
    <t xml:space="preserve">Cyber security GVA within the sector</t>
  </si>
  <si>
    <t xml:space="preserve">Valore aggiunto lordo da cybersecurity delle 846 imprese del settore, esercizio 2015/16.</t>
  </si>
  <si>
    <t xml:space="preserve">Analisi bottom-up di RSM su 846 imprese che offrono prodotti o servizi di cybersecurity nel Regno Unito, con ricavi e GVA attribuibili alla cybersecurity per l'esercizio 2015/16.</t>
  </si>
  <si>
    <t xml:space="preserve">In the most recent available year (2015/16), cyber security GVA within the sector (846 firms) is estimated at £2,349,347,289</t>
  </si>
  <si>
    <t xml:space="preserve">Esercizio fiscale 2015/16. La tabella riepilogativa dell'edizione 2023 arrotonda a 2,4 miliardi. Letto da estratto indicizzato della pagina. Verifica finale 08/10/2026, valore confermato sulla fonte. GVA dell'esercizio 2015/16 confermato, anno registrato come 2016.</t>
  </si>
  <si>
    <t xml:space="preserve">Cyber security revenue within the sector</t>
  </si>
  <si>
    <t xml:space="preserve">Ricavi da cybersecurity delle 846 imprese del settore cyber britannico, esercizio 2015/16, export incluso.</t>
  </si>
  <si>
    <t xml:space="preserve">In the most recent available year (2015/16), cyber security revenue within the sector (846 firms) is estimated at £5,681,730,723</t>
  </si>
  <si>
    <t xml:space="preserve">Esercizio fiscale 2015/16, anno di chiusura 2016. Pubblicazione indicata come giugno 2018 nel PDF e ottobre 2018 nelle pagine DSIT successive. Le edizioni successive riportano il valore come 5,7 miliardi relativo alla baseline 2017. Letto da estratto indicizzato della pagina. Verifica finale 08/10/2026, valore confermato sulla fonte. Ricavi dell'esercizio 2015/16 confermati, anno registrato come 2016.</t>
  </si>
  <si>
    <t xml:space="preserve">DSIT-GCAP-2026</t>
  </si>
  <si>
    <t xml:space="preserve">Department for Science, Innovation and Technology (DSIT)</t>
  </si>
  <si>
    <t xml:space="preserve">Government Cyber Action Plan (comunicato stampa)</t>
  </si>
  <si>
    <t xml:space="preserve">06/01/2026</t>
  </si>
  <si>
    <t xml:space="preserve">https://www.gov.uk/government/news/new-cyber-action-plan-to-tackle-threats-and-strengthen-public-services</t>
  </si>
  <si>
    <t xml:space="preserve">Government Cyber Action Plan central investment</t>
  </si>
  <si>
    <t xml:space="preserve">Investimento centrale a sostegno del Government Cyber Action Plan per la resilienza cyber della PA.</t>
  </si>
  <si>
    <t xml:space="preserve">Piano d'azione per la cybersecurity della PA guidato dalla nuova Government Cyber Unit. Ripartizione annuale non dichiarata.</t>
  </si>
  <si>
    <t xml:space="preserve">Backed by over £210 million, the Government Cyber Action Plan published today (Tuesday 6 January) sets out how government will rise</t>
  </si>
  <si>
    <t xml:space="preserve">Valore minimo (over 210 milioni). Periodo di spesa non indicato nell'estratto. Stanziamento, non spesa eseguita. Letto da estratto indicizzato della pagina. Verifica finale 08/10/2026, valore confermato sulla fonte.</t>
  </si>
  <si>
    <t xml:space="preserve">DSIT-SECTORAL-2023</t>
  </si>
  <si>
    <t xml:space="preserve">Department for Science, Innovation and Technology (DSIT) con Ipsos e Perspective Economics</t>
  </si>
  <si>
    <t xml:space="preserve">UK Cyber Security Sectoral Analysis 2023</t>
  </si>
  <si>
    <t xml:space="preserve">19/04/2023</t>
  </si>
  <si>
    <t xml:space="preserve">https://www.gov.uk/government/publications/cyber-security-sectoral-analysis-2023/uk-cyber-security-sectoral-analysis-2023</t>
  </si>
  <si>
    <t xml:space="preserve">Ricavi da cybersecurity delle 1.979 imprese del settore, esercizio modale 2021/22.</t>
  </si>
  <si>
    <t xml:space="preserve">+3% sull'edizione 2022</t>
  </si>
  <si>
    <t xml:space="preserve">In the most recent financial year, annual cyber security revenue within the sector is estimated at £10,462 million (rounded to £10.5 billion).</t>
  </si>
  <si>
    <t xml:space="preserve">Anno modale dei bilanci 2021/22 dichiarato in nota 2, anno di chiusura 2022. Il PDF della stessa edizione contiene la serie 2018-2023 di imprese, ricavi, GVA e addetti. Letto da estratto indicizzato della pagina. Verifica finale 08/10/2026, valore confermato sulla fonte. Ricavi dei fornitori, ultimo esercizio dello studio 2023.</t>
  </si>
  <si>
    <t xml:space="preserve">Valore aggiunto lordo da cybersecurity delle 1.979 imprese del settore, esercizio modale 2021/22.</t>
  </si>
  <si>
    <t xml:space="preserve">+17% sull'edizione 2022</t>
  </si>
  <si>
    <t xml:space="preserve">cyber security related GVA (for the 1,979 firms) has reached £6.2 billion.</t>
  </si>
  <si>
    <t xml:space="preserve">Letto da estratto indicizzato della pagina. Verifica finale 08/10/2026, valore confermato sulla fonte. Valore aggiunto dei fornitori confermato.</t>
  </si>
  <si>
    <t xml:space="preserve">DSIT-SECTORAL-2024</t>
  </si>
  <si>
    <t xml:space="preserve">Cyber security sectoral analysis 2024</t>
  </si>
  <si>
    <t xml:space="preserve">15/05/2024</t>
  </si>
  <si>
    <t xml:space="preserve">https://www.gov.uk/government/publications/cyber-security-sectoral-analysis-2024/cyber-security-sectoral-analysis-2024</t>
  </si>
  <si>
    <t xml:space="preserve">Ricavi da cybersecurity delle 2.091 imprese del settore, esercizio modale 2022/23.</t>
  </si>
  <si>
    <t xml:space="preserve">+13% sull'edizione 2023</t>
  </si>
  <si>
    <t xml:space="preserve">In the most recent financial year, annual cyber security revenue within the sector is estimated at £11,859 million (rounded to £11.9 billion).</t>
  </si>
  <si>
    <t xml:space="preserve">Analisi svolta a fine 2023 con esercizio modale 2022/23 (nota 1), anno di chiusura 2023. Letto da estratto indicizzato della pagina. Verifica finale 08/10/2026, valore confermato sulla fonte. Ricavi dell'ultimo esercizio confermati.</t>
  </si>
  <si>
    <t xml:space="preserve">Valore aggiunto lordo da cybersecurity delle 2.091 imprese del settore, esercizio modale 2022/23.</t>
  </si>
  <si>
    <t xml:space="preserve">+4% sull'edizione 2023</t>
  </si>
  <si>
    <t xml:space="preserve">cyber security related GVA (for the 2,091 firms) has reached £6.5 billion (£6,450 million).</t>
  </si>
  <si>
    <t xml:space="preserve">DSIT-SECTORAL-2025</t>
  </si>
  <si>
    <t xml:space="preserve">Cyber security sectoral analysis 2025</t>
  </si>
  <si>
    <t xml:space="preserve">10/03/2025</t>
  </si>
  <si>
    <t xml:space="preserve">https://www.gov.uk/government/publications/cyber-security-sectoral-analysis-2025/cyber-security-sectoral-analysis-2025</t>
  </si>
  <si>
    <t xml:space="preserve">Ricavi da cybersecurity delle 2.165 imprese del settore, esercizio modale 2023/24.</t>
  </si>
  <si>
    <t xml:space="preserve">+12% nominale sull'edizione 2024</t>
  </si>
  <si>
    <t xml:space="preserve">In the most recent financial year, annual cyber security revenue within the sector is estimated at £13,234 million (rounded to £13.2 billion).</t>
  </si>
  <si>
    <t xml:space="preserve">Analisi svolta a fine 2024 con esercizio modale 2023/24, anno di chiusura 2024. Altri documenti DSIT e la Cyber Growth Action Plan attribuiscono il valore al 2024. Letto da estratto indicizzato della pagina. Verifica finale 08/10/2026, valore confermato sulla fonte. Sectoral analysis 2025, ultimo esercizio finanziario.</t>
  </si>
  <si>
    <t xml:space="preserve">Valore aggiunto lordo da cybersecurity delle 2.165 imprese del settore, esercizio modale 2023/24.</t>
  </si>
  <si>
    <t xml:space="preserve">+21% sull'edizione 2024</t>
  </si>
  <si>
    <t xml:space="preserve">cyber security related GVA (for the 2,165 firms) has reached £7.8 billion (£7,820m).</t>
  </si>
  <si>
    <t xml:space="preserve">Letto da estratto indicizzato della pagina. Verifica finale 08/10/2026, valore confermato sulla fonte. Valore aggiunto del settore nell'ultimo esercizio.</t>
  </si>
  <si>
    <t xml:space="preserve">Cyber security related revenues of service providers (including MSPs and MSSPs)</t>
  </si>
  <si>
    <t xml:space="preserve">Ricavi cyber dei fornitori di servizi, inclusi MSP e MSSP, esercizio modale 2023/24.</t>
  </si>
  <si>
    <t xml:space="preserve">Fornitori di servizi (inclusi MSP e MSSP)</t>
  </si>
  <si>
    <t xml:space="preserve">da 6,2 miliardi dell'edizione 2024</t>
  </si>
  <si>
    <t xml:space="preserve">service providers (including Managed Service Providers (MSPs) and Managed Security Service Providers (MSSPs)) are generating approximately £7.4 billion in cyber security related revenues</t>
  </si>
  <si>
    <t xml:space="preserve">Ripartizione per tipo di fornitore, non per tipo di prodotto acquistato. Letto da estratto indicizzato della pagina.</t>
  </si>
  <si>
    <t xml:space="preserve">DSIT-SECTORAL-2026</t>
  </si>
  <si>
    <t xml:space="preserve">Cyber security sectoral analysis 2026</t>
  </si>
  <si>
    <t xml:space="preserve">12/05/2026</t>
  </si>
  <si>
    <t xml:space="preserve">https://www.gov.uk/government/publications/cyber-security-sectoral-analysis-2026/cyber-security-sectoral-analysis-2026</t>
  </si>
  <si>
    <t xml:space="preserve">Ricavi da cybersecurity delle 2.603 imprese del settore, esercizio modale 2024/25.</t>
  </si>
  <si>
    <t xml:space="preserve">+11% nominale sull'edizione 2025</t>
  </si>
  <si>
    <t xml:space="preserve">In the most recent financial year, annual cyber security revenue within the sector is estimated at £14,735 million (rounded to £14.7 billion).</t>
  </si>
  <si>
    <t xml:space="preserve">Analisi svolta a fine 2025 con esercizio modale 2024/25, anno di chiusura 2025. Parte rilevante dei ricavi riferita a lavori fatturati nel 2024. Il numero di imprese cresce del 20% anche per nuove imprese identificate. Letto da estratto indicizzato della pagina. Verifica finale 08/10/2026, valore confermato sulla fonte. Ricavi dell'ultimo esercizio confermati nella pagina DSIT 2026.</t>
  </si>
  <si>
    <t xml:space="preserve">Valore aggiunto lordo da cybersecurity delle 2.603 imprese del settore, esercizio modale 2024/25.</t>
  </si>
  <si>
    <t xml:space="preserve">+17% sull'edizione 2025</t>
  </si>
  <si>
    <t xml:space="preserve">cyber security related GVA (for the 2,603 firms) has reached £9.1 billion (£9,131 million).</t>
  </si>
  <si>
    <t xml:space="preserve">Letto da estratto indicizzato della pagina. Verifica finale 08/10/2026, valore confermato sulla fonte. GVA dell'ultimo esercizio confermato nella pagina DSIT 2026.</t>
  </si>
  <si>
    <t xml:space="preserve">Ricavi cyber dei fornitori di servizi, inclusi MSP e MSSP, esercizio modale 2024/25.</t>
  </si>
  <si>
    <t xml:space="preserve">da 7,4 miliardi dell'edizione 2025</t>
  </si>
  <si>
    <t xml:space="preserve">service providers including Managed Service Providers (MSPs) and Managed Security Service Providers (MSSPs) are generating approximately £8.4 billion in cyber security related revenues</t>
  </si>
  <si>
    <t xml:space="preserve">Cyber security revenue by firm size</t>
  </si>
  <si>
    <t xml:space="preserve">Ricavi cyber del settore per dimensione dell'impresa fornitrice, esercizio modale 2024/25.</t>
  </si>
  <si>
    <t xml:space="preserve">Grandi imprese fornitrici</t>
  </si>
  <si>
    <t xml:space="preserve">the majority (£10.4 billion, 70%) of all UK cyber security revenue is earned by large firms</t>
  </si>
  <si>
    <t xml:space="preserve">La dimensione si riferisce alle imprese fornitrici, non ai clienti. Le micro imprese non compaiono nell'estratto. Letto da estratto indicizzato della pagina.</t>
  </si>
  <si>
    <t xml:space="preserve">Medie imprese fornitrici</t>
  </si>
  <si>
    <t xml:space="preserve">Medium firm revenues have sustained their revenue share in relative and absolute terms, at 19% (compared to 21% last year) with £2.9 billion</t>
  </si>
  <si>
    <t xml:space="preserve">Piccole imprese fornitrici</t>
  </si>
  <si>
    <t xml:space="preserve">Small firms have encouragingly increased revenues over this period (from £790 million to £1,269 million).</t>
  </si>
  <si>
    <t xml:space="preserve">Revenue of product companies</t>
  </si>
  <si>
    <t xml:space="preserve">Ricavi cyber delle imprese di prodotto, esercizio modale 2024/25.</t>
  </si>
  <si>
    <t xml:space="preserve">Imprese di prodotto</t>
  </si>
  <si>
    <t xml:space="preserve">da 5,6 miliardi dell'edizione 2025</t>
  </si>
  <si>
    <t xml:space="preserve">The revenue of product companies has also increased to c. £6.4 billion (up from £5.6 billion last year).</t>
  </si>
  <si>
    <t xml:space="preserve">Servizi e prodotti sommano a 14,8 miliardi, poco sopra il totale di 14,7 miliardi, probabilmente per arrotondamenti o sovrapposizioni. Letto da estratto indicizzato della pagina. Verifica finale 08/10/2026, valore confermato sulla fonte. Ricavi delle imprese di prodotto confermati nella pagina DSIT 2026.</t>
  </si>
  <si>
    <t xml:space="preserve">FORTUNEBI-CYBER-2026</t>
  </si>
  <si>
    <t xml:space="preserve">Fortune Business Insights</t>
  </si>
  <si>
    <t xml:space="preserve">Cybersecurity Market Size, Share and Forecast Report, 2034 (sezione Europa)</t>
  </si>
  <si>
    <t xml:space="preserve">https://www.fortunebusinessinsights.com/industry-reports/cyber-security-market-101165</t>
  </si>
  <si>
    <t xml:space="preserve">U.K. cybersecurity market</t>
  </si>
  <si>
    <t xml:space="preserve">Valore del mercato cybersecurity del Regno Unito nel 2026 dal report globale di Fortune Business Insights.</t>
  </si>
  <si>
    <t xml:space="preserve">The U.K. market is poised to gain USD 11.55 billion in 2026.</t>
  </si>
  <si>
    <t xml:space="preserve">Report globale con dettaglio paese. La formulazione poised to gain è ambigua tra livello e incremento, interpretata come livello come fa StationX che la riprende. Letto da estratto indicizzato della pagina. Verifica finale 08/10/2026, valore confermato sulla fonte.</t>
  </si>
  <si>
    <t xml:space="preserve">GRANDVIEW-CYBERSERVUK-2025</t>
  </si>
  <si>
    <t xml:space="preserve">Grand View Research</t>
  </si>
  <si>
    <t xml:space="preserve">UK Cyber Security Services Market Size and Outlook, 2025-2030 (Horizon)</t>
  </si>
  <si>
    <t xml:space="preserve">11/11/2025</t>
  </si>
  <si>
    <t xml:space="preserve">https://www.grandviewresearch.com/horizon/outlook/cyber-security-services-market/uk</t>
  </si>
  <si>
    <t xml:space="preserve">UK cyber security services market revenue</t>
  </si>
  <si>
    <t xml:space="preserve">Ricavi del mercato dei servizi di cybersecurity nel Regno Unito nel 2024.</t>
  </si>
  <si>
    <t xml:space="preserve">CAGR 2025-2030 14,5%</t>
  </si>
  <si>
    <t xml:space="preserve">The UK cyber security services market generated a revenue of USD 5,228.8 million in 2024 and is expected to reach USD 11,326.5 million by 2030.</t>
  </si>
  <si>
    <t xml:space="preserve">UK cyber security services market projected revenue</t>
  </si>
  <si>
    <t xml:space="preserve">Ricavi previsti del mercato dei servizi di cybersecurity nel Regno Unito nel 2030.</t>
  </si>
  <si>
    <t xml:space="preserve">is expected to reach USD 11,326.5 million by 2030. The UK market is expected to grow at a CAGR of 14.5% from 2025 to 2030.</t>
  </si>
  <si>
    <t xml:space="preserve">Prodotto distinto dal report generale sul mercato cybersecurity UK dello stesso editore. Letto da estratto indicizzato della pagina.</t>
  </si>
  <si>
    <t xml:space="preserve">GRANDVIEW-CYBERUK-2026</t>
  </si>
  <si>
    <t xml:space="preserve">UK Cyber Security Market Size and Outlook, 2026-2033 (Horizon)</t>
  </si>
  <si>
    <t xml:space="preserve">https://www.grandviewresearch.com/horizon/outlook/cyber-security-market/uk</t>
  </si>
  <si>
    <t xml:space="preserve">UK cyber security market revenue</t>
  </si>
  <si>
    <t xml:space="preserve">Ricavi del mercato cybersecurity del Regno Unito nel 2025 secondo Grand View Research Horizon.</t>
  </si>
  <si>
    <t xml:space="preserve">CAGR 2026-2033 12,3%</t>
  </si>
  <si>
    <t xml:space="preserve">The UK cyber security market generated a revenue of USD 14,820.0 million in 2025</t>
  </si>
  <si>
    <t xml:space="preserve">UK cyber security market projected revenue</t>
  </si>
  <si>
    <t xml:space="preserve">Ricavi previsti del mercato cybersecurity del Regno Unito nel 2033 secondo Grand View Research Horizon.</t>
  </si>
  <si>
    <t xml:space="preserve">is expected to reach USD 37,221.3 million by 2033. The UK market is expected to grow at a CAGR of 12.3% from 2026 to 2033.</t>
  </si>
  <si>
    <t xml:space="preserve">Letto da estratto indicizzato della pagina. Verifica finale 08/10/2026, valore confermato sulla fonte. Previsione 2033 confermata.</t>
  </si>
  <si>
    <t xml:space="preserve">HMG-NCS-2021</t>
  </si>
  <si>
    <t xml:space="preserve">HM Government (Cabinet Office)</t>
  </si>
  <si>
    <t xml:space="preserve">National Cyber Strategy 2022</t>
  </si>
  <si>
    <t xml:space="preserve">15/12/2021</t>
  </si>
  <si>
    <t xml:space="preserve">https://www.gov.uk/government/publications/national-cyber-strategy-2022/national-cyber-security-strategy-2022</t>
  </si>
  <si>
    <t xml:space="preserve">Increase in the National Cyber Security Programme</t>
  </si>
  <si>
    <t xml:space="preserve">Aumento della dotazione del National Cyber Security Programme incluso nei 2,6 miliardi della Spending Review 2021.</t>
  </si>
  <si>
    <t xml:space="preserve">Importo annunciato nella Spending Review 2021 per i tre anni successivi. Non dichiarata la ripartizione tra cyber e legacy IT.</t>
  </si>
  <si>
    <t xml:space="preserve">It includes a £114 million increase in the National Cyber Security Programme</t>
  </si>
  <si>
    <t xml:space="preserve">Incremento sul triennio della Spending Review 2021, anno di chiusura 2025. Letto da estratto indicizzato della pagina. Verifica finale 08/10/2026, valore confermato sulla fonte. Aumento programmato nel 2021 per il triennio SR21.</t>
  </si>
  <si>
    <t xml:space="preserve">Investment in cyber and legacy IT over the next three years</t>
  </si>
  <si>
    <t xml:space="preserve">Investimento pubblico in cyber e IT legacy annunciato per il triennio della Spending Review 2021.</t>
  </si>
  <si>
    <t xml:space="preserve">The government will be investing £2.6 billion in cyber and legacy IT over the next three years.</t>
  </si>
  <si>
    <t xml:space="preserve">Importo cumulato sugli esercizi 2022-23, 2023-24 e 2024-25, anno di chiusura 2025. Include l'aggiornamento dell'IT legacy, quindi perimetro più ampio della sola cybersecurity. Esclusa la National Cyber Force. Letto da estratto indicizzato della pagina. Verifica finale 08/10/2026, valore confermato sulla fonte. Stanziamento programmato nel 2021 per il triennio SR21, include anche IT legacy. Natura lasciata per coerenza con le altre dotazioni.</t>
  </si>
  <si>
    <t xml:space="preserve">HMG-NCSS-2016</t>
  </si>
  <si>
    <t xml:space="preserve">National Cyber Security Strategy 2016-2021</t>
  </si>
  <si>
    <t xml:space="preserve">11/2016</t>
  </si>
  <si>
    <t xml:space="preserve">https://assets.publishing.service.gov.uk/media/5a81914de5274a2e8ab54ae9/national_cyber_security_strategy_2016.pdf</t>
  </si>
  <si>
    <t xml:space="preserve">Investment over the five years of the strategy</t>
  </si>
  <si>
    <t xml:space="preserve">Fondi pubblici stanziati per la strategia nazionale di cybersecurity 2016-2021, cumulati sui cinque anni.</t>
  </si>
  <si>
    <t xml:space="preserve">Stanziamento fissato nella Strategic Defence and Security Review 2015 per i cinque anni della strategia. Non dichiarata la ripartizione annuale.</t>
  </si>
  <si>
    <t xml:space="preserve">Over the lifetime of this five-year strategy, we will invest £1.9 billion in defending our systems and infrastructure</t>
  </si>
  <si>
    <t xml:space="preserve">Importo cumulato 2016-2021, anno di riferimento posto alla fine del periodo. Stanziamento ex ante, non spesa eseguita. Letto da estratto indicizzato della pagina. Verifica finale 08/10/2026, valore confermato sulla fonte. Importo cumulato sul quinquennio 2016 2021, non annuale.</t>
  </si>
  <si>
    <t xml:space="preserve">IMARC-CYBERUK-2026</t>
  </si>
  <si>
    <t xml:space="preserve">UK Cybersecurity Market Size, Share and Outlook 2034</t>
  </si>
  <si>
    <t xml:space="preserve">https://www.imarcgroup.com/uk-cybersecurity-market</t>
  </si>
  <si>
    <t xml:space="preserve">UK cybersecurity market size</t>
  </si>
  <si>
    <t xml:space="preserve">Dimensione del mercato cybersecurity del Regno Unito secondo IMARC Group.</t>
  </si>
  <si>
    <t xml:space="preserve">CAGR 2026-2034 10,93%</t>
  </si>
  <si>
    <t xml:space="preserve">The UK cybersecurity market size increased from USD 17.4 Billion in 2025 to USD 20.3 Billion in 2026.</t>
  </si>
  <si>
    <t xml:space="preserve">La crescita implicita 2025-2026 (+16,7%) non è coerente con il CAGR dichiarato. Data della pagina indicizzata 17/10/2024, edizione con anno base 2025. Letto da estratto indicizzato della pagina. Verifica finale 08/10/2026, valore confermato sulla fonte. Valore 2025 confermato.</t>
  </si>
  <si>
    <t xml:space="preserve">La crescita implicita 2025-2026 (+16,7%) non è coerente con il CAGR dichiarato. Data della pagina indicizzata 17/10/2024, edizione con anno base 2025. Letto da estratto indicizzato della pagina.</t>
  </si>
  <si>
    <t xml:space="preserve">IMARC Group expects the market to reach USD 46.5 Billion by 2034, exhibiting a growth rate (CAGR) of 10.93% during 2026-2034.</t>
  </si>
  <si>
    <t xml:space="preserve">KENRESEARCH-CYBERGOVUK-2025</t>
  </si>
  <si>
    <t xml:space="preserve">UK Cybersecurity in Government Services Market 2019-2030</t>
  </si>
  <si>
    <t xml:space="preserve">05/10/2025</t>
  </si>
  <si>
    <t xml:space="preserve">https://www.kenresearch.com/uk-cybersecurity-in-government-services-market</t>
  </si>
  <si>
    <t xml:space="preserve">UK Cybersecurity in Government Services Market value</t>
  </si>
  <si>
    <t xml:space="preserve">Valore del mercato cybersecurity per i servizi pubblici nel Regno Unito secondo Ken Research.</t>
  </si>
  <si>
    <t xml:space="preserve">La pagina dichiara solo che il valore si basa su un'analisi storica quinquennale.</t>
  </si>
  <si>
    <t xml:space="preserve">The UK Cybersecurity in Government Services Market is valued at USD 8.5 billion, based on a five-year historical analysis.</t>
  </si>
  <si>
    <t xml:space="preserve">Anno non dichiarato, dedotto 2024. Il valore pari al 57% del mercato totale Ken Research di 15 miliardi appare incoerente con le quote settoriali di altri editori. Letto da estratto indicizzato della pagina. Verifica finale 08/10/2026, valore confermato sulla fonte. Valore confermato, l'estratto non indica esplicitamente l'anno 2024.</t>
  </si>
  <si>
    <t xml:space="preserve">KENRESEARCH-CYBERUK-2025</t>
  </si>
  <si>
    <t xml:space="preserve">UK Cybersecurity Market 2019-2030</t>
  </si>
  <si>
    <t xml:space="preserve">12/08/2025</t>
  </si>
  <si>
    <t xml:space="preserve">https://www.kenresearch.com/uk-cybersecurity-market</t>
  </si>
  <si>
    <t xml:space="preserve">UK Cybersecurity Market value</t>
  </si>
  <si>
    <t xml:space="preserve">Valore del mercato cybersecurity del Regno Unito secondo Ken Research, anno non dichiarato.</t>
  </si>
  <si>
    <t xml:space="preserve">The UK Cybersecurity Market is valued at USD 15 billion, based on a five-year historical analysis.</t>
  </si>
  <si>
    <t xml:space="preserve">Anno di riferimento non dichiarato, dedotto 2024 dalla data di pubblicazione e dalla serie 2019-2030. Valore approssimato (approximately). Letto da estratto indicizzato della pagina. Verifica finale 08/10/2026, valore confermato sulla fonte. Anno di riferimento non esplicitato nell'estratto.</t>
  </si>
  <si>
    <t xml:space="preserve">MORDOR-CYBERUK-2026</t>
  </si>
  <si>
    <t xml:space="preserve">UK Cybersecurity Market Size, Share, Trends and Outlook 2031</t>
  </si>
  <si>
    <t xml:space="preserve">https://www.mordorintelligence.com/industry-reports/uk-cybersecurity-market</t>
  </si>
  <si>
    <t xml:space="preserve">Share of UK cybersecurity market</t>
  </si>
  <si>
    <t xml:space="preserve">Quota del mercato cybersecurity britannico 2025 per banche, servizi finanziari e assicurazioni (bfsi) secondo Mordor Intelligence.</t>
  </si>
  <si>
    <t xml:space="preserve">Banche, servizi finanziari e assicurazioni (BFSI)</t>
  </si>
  <si>
    <t xml:space="preserve">banking, financial services, and insurance (BFSI) commanded 29.73% of the UK cybersecurity market share in 2025</t>
  </si>
  <si>
    <t xml:space="preserve">Quota del mercato cybersecurity britannico 2025 per grandi imprese secondo Mordor Intelligence.</t>
  </si>
  <si>
    <t xml:space="preserve">By organization size, large enterprises accounted for 61.74% of 2025 spending</t>
  </si>
  <si>
    <t xml:space="preserve">Quota del mercato cybersecurity britannico 2025 per soluzioni secondo Mordor Intelligence.</t>
  </si>
  <si>
    <t xml:space="preserve">By offering solutions with a 62.73% revenue share in the UK cybersecurity market in 2025</t>
  </si>
  <si>
    <t xml:space="preserve">Dimensione del mercato cybersecurity del Regno Unito secondo Mordor Intelligence.</t>
  </si>
  <si>
    <t xml:space="preserve">CAGR 2026-2031 9,09%</t>
  </si>
  <si>
    <t xml:space="preserve">The UK cybersecurity market size was valued at USD 14.77 billion in 2025</t>
  </si>
  <si>
    <t xml:space="preserve">Edizione con anno base 2025 e previsioni 2026-2031. La pagina Europe di Mordor attribuisce al Regno Unito una base di ricavi di 13,56 miliardi di sterline. Letto da estratto indicizzato della pagina. Verifica finale 08/10/2026, valore confermato sulla fonte. Valore 2025 confermato.</t>
  </si>
  <si>
    <t xml:space="preserve">estimated to grow from USD 16.27 billion in 2026 to USD 25.13 billion by 2031</t>
  </si>
  <si>
    <t xml:space="preserve">Edizione con anno base 2025 e previsioni 2026-2031. La pagina Europe di Mordor attribuisce al Regno Unito una base di ricavi di 13,56 miliardi di sterline. Letto da estratto indicizzato della pagina. Verifica finale 08/10/2026, valore confermato sulla fonte. Valore 2026 confermato.</t>
  </si>
  <si>
    <t xml:space="preserve">estimated to grow from USD 16.27 billion in 2026 to USD 25.13 billion by 2031, reflecting a 9.09% CAGR</t>
  </si>
  <si>
    <t xml:space="preserve">Edizione con anno base 2025 e previsioni 2026-2031. La pagina Europe di Mordor attribuisce al Regno Unito una base di ricavi di 13,56 miliardi di sterline. Letto da estratto indicizzato della pagina.</t>
  </si>
  <si>
    <t xml:space="preserve">NAO-GOVCYBER-2025</t>
  </si>
  <si>
    <t xml:space="preserve">National Audit Office</t>
  </si>
  <si>
    <t xml:space="preserve">Government cyber resilience (HC 546)</t>
  </si>
  <si>
    <t xml:space="preserve">https://www.nao.org.uk/wp-content/uploads/2025/01/government-cyber-resilience.pdf</t>
  </si>
  <si>
    <t xml:space="preserve">Additional funding provided to departments for investment in cyber and legacy IT over the 2021 Spending Review period</t>
  </si>
  <si>
    <t xml:space="preserve">Quota dei 2,6 miliardi della Spending Review 2021 assegnata ai ministeri per cybersecurity e bonifica dell'IT legacy.</t>
  </si>
  <si>
    <t xml:space="preserve">Audit del NAO sulla resilienza cyber dell'amministrazione centrale, con dati di bilancio del Cabinet Office.</t>
  </si>
  <si>
    <t xml:space="preserve">it would invest £2.6 billion in cyber, of which it allocated £1.3 billion to departments for cyber security and legacy IT remediation.</t>
  </si>
  <si>
    <t xml:space="preserve">Importo cumulato sul periodo della Spending Review 2021, anno di chiusura 2025. Include legacy IT. Letto da estratto indicizzato della pagina. Verifica finale 08/10/2026, valore confermato sulla fonte. Valore confermato, copre l'intero periodo della Spending Review 2021 e include anche il rinnovo dell'IT legacy.</t>
  </si>
  <si>
    <t xml:space="preserve">NAO-NCSP-2019</t>
  </si>
  <si>
    <t xml:space="preserve">Progress of the 2016-2021 National Cyber Security Programme (HC 1988)</t>
  </si>
  <si>
    <t xml:space="preserve">15/03/2019</t>
  </si>
  <si>
    <t xml:space="preserve">https://www.nao.org.uk/wp-content/uploads/2019/03/Progress-of-the-2016-2021-National-Cyber-Security-Programme.pdf</t>
  </si>
  <si>
    <t xml:space="preserve">Programme spend 2016-2019</t>
  </si>
  <si>
    <t xml:space="preserve">Spesa effettiva del National Cyber Security Programme nei primi tre anni, 2016-2019.</t>
  </si>
  <si>
    <t xml:space="preserve">Audit del NAO sui dati di bilancio e spesa del programma forniti dal Cabinet Office.</t>
  </si>
  <si>
    <t xml:space="preserve">having been allocated £639 million between 2016 and 2019 (Figure 2). It has spent £632 million of this amount</t>
  </si>
  <si>
    <t xml:space="preserve">Spesa cumulata fino all'esercizio 2018-19. Letto da estratto indicizzato della pagina. Verifica finale 08/10/2026, valore confermato sulla fonte. Spesa cumulata 2016-2019 confermata nel rapporto NAO.</t>
  </si>
  <si>
    <t xml:space="preserve">National Cyber Security Programme funding 2016-21</t>
  </si>
  <si>
    <t xml:space="preserve">Dotazione del National Cyber Security Programme 2016-2021, quota della strategia da 1,9 miliardi.</t>
  </si>
  <si>
    <t xml:space="preserve">The Programme has £1,287 million of funding, with annual funding increasing over the Programme's lifetime</t>
  </si>
  <si>
    <t xml:space="preserve">Importo cumulato 2016-2021, sottoinsieme dei 1,9 miliardi della strategia. Il programma precedente NCSP1 disponeva di 860 milioni. Stanziamento, non spesa. Letto da estratto indicizzato della pagina. Verifica finale 08/10/2026, valore confermato sulla fonte. Dotazione complessiva 2016-21 confermata, nel 2019 una parte era ancora finanziamento pianificato.</t>
  </si>
  <si>
    <t xml:space="preserve">PWC-LAWFIRMS-2024</t>
  </si>
  <si>
    <t xml:space="preserve">PwC UK</t>
  </si>
  <si>
    <t xml:space="preserve">Annual Law Firms' Survey 2024 (comunicato stampa)</t>
  </si>
  <si>
    <t xml:space="preserve">21/10/2024</t>
  </si>
  <si>
    <t xml:space="preserve">https://www.pwc.co.uk/press-room/press-releases/research-commentary/2024/law-firm-performance-surpasses-expectations-with-continued-growt.html</t>
  </si>
  <si>
    <t xml:space="preserve">Cyber security spending</t>
  </si>
  <si>
    <t xml:space="preserve">Spesa media in cybersecurity per studio legale nella fascia indicata della classifica dei primi 50 studi britannici.</t>
  </si>
  <si>
    <t xml:space="preserve">Studi legali 11-25</t>
  </si>
  <si>
    <t xml:space="preserve">+42,6% sull'anno precedente</t>
  </si>
  <si>
    <t xml:space="preserve">Dedotta. Indagine presso gli studi legali sulla propria spesa in cybersecurity.</t>
  </si>
  <si>
    <t xml:space="preserve">Indagine annuale PwC sui primi 100 studi legali del Regno Unito per fatturato, medie per fascia di classifica. Dettagli del campione non riportati nell'estratto.</t>
  </si>
  <si>
    <t xml:space="preserve">top 11-25, up 42.6% to £1.5m</t>
  </si>
  <si>
    <t xml:space="preserve">Settore studi legali. Fasce per fatturato. Anno di riferimento dedotto dall'edizione 2024 dell'indagine. Letto da estratto indicizzato della pagina.</t>
  </si>
  <si>
    <t xml:space="preserve">Studi legali 26-50</t>
  </si>
  <si>
    <t xml:space="preserve">+4,7% sull'anno precedente</t>
  </si>
  <si>
    <t xml:space="preserve">and top 26-50, up 4.7% to £1.1m.</t>
  </si>
  <si>
    <t xml:space="preserve">Top 10 studi legali</t>
  </si>
  <si>
    <t xml:space="preserve">+20,7% sull'anno precedente</t>
  </si>
  <si>
    <t xml:space="preserve">increase in cyber security spending across all bandings in the top 50: top 10, up 20.7% to £7.4m</t>
  </si>
  <si>
    <t xml:space="preserve">PWC-LAWFIRMS-2025</t>
  </si>
  <si>
    <t xml:space="preserve">Law Firms' Survey 2025</t>
  </si>
  <si>
    <t xml:space="preserve">https://www.pwc.co.uk/industries/law-firms/law-firms-survey-2025.pdf</t>
  </si>
  <si>
    <t xml:space="preserve">Cyber security spend by Top 10 firms</t>
  </si>
  <si>
    <t xml:space="preserve">Spesa media in cybersecurity dei primi 10 studi legali britannici per fatturato.</t>
  </si>
  <si>
    <t xml:space="preserve">+5% sull'anno precedente</t>
  </si>
  <si>
    <t xml:space="preserve">Top 10 firms continue to allocate significantly more to cyber security, with an average spend of £7.75m</t>
  </si>
  <si>
    <t xml:space="preserve">Settore studi legali. Anno di riferimento dedotto dall'edizione 2025. Letto da estratto indicizzato della pagina.</t>
  </si>
  <si>
    <t xml:space="preserve">Cyber security spend by Top 11-25 firms</t>
  </si>
  <si>
    <t xml:space="preserve">Spesa media in cybersecurity degli studi legali britannici dall'11° al 25° posto per fatturato.</t>
  </si>
  <si>
    <t xml:space="preserve">+20% sull'anno precedente</t>
  </si>
  <si>
    <t xml:space="preserve">Firms outside the Top 10 are also boosting their investment in cyber security, with a notable 20% increase in Top 11-25 firms to £1.85m.</t>
  </si>
  <si>
    <t xml:space="preserve">UK, cybersecurity market revenue 2016-2029 (statistica Market Insights)</t>
  </si>
  <si>
    <t xml:space="preserve">05/11/2024</t>
  </si>
  <si>
    <t xml:space="preserve">https://www.statista.com/forecasts/1499043/revenue-cybersecurity-cybersecurity-market-united-kingdom</t>
  </si>
  <si>
    <t xml:space="preserve">Revenue of the cybersecurity market in the United Kingdom</t>
  </si>
  <si>
    <t xml:space="preserve">Ricavi previsti del mercato cybersecurity del Regno Unito nel 2029, in sterline, aggiornamento Statista di novembre 2024.</t>
  </si>
  <si>
    <t xml:space="preserve">+circa 3 miliardi di sterline tra 2024 e 2029</t>
  </si>
  <si>
    <t xml:space="preserve">Cyber solutions e security services</t>
  </si>
  <si>
    <t xml:space="preserve">Dedotta. Statista Market Insights dichiara che i valori sono ricavi dei vendor primari a prezzi di produttore senza IVA.</t>
  </si>
  <si>
    <t xml:space="preserve">Stime modellate di Statista Market Insights sui ricavi dei vendor primari, spesa di imprese e consumatori.</t>
  </si>
  <si>
    <t xml:space="preserve">After the thirteenth consecutive increasing year, the indicator is estimated to reach nearly 12 billion British pounds and therefore a new peak in 2029.</t>
  </si>
  <si>
    <t xml:space="preserve">Valore approssimato dalla fonte (nearly 12). Edizione 2024 di Statista Market Insights, i valori puntuali sono riservati agli abbonati. Letto da estratto indicizzato della pagina.</t>
  </si>
  <si>
    <t xml:space="preserve">Cybersecurity, market data and analysis (Statista Market Insights report)</t>
  </si>
  <si>
    <t xml:space="preserve">24/02/2025</t>
  </si>
  <si>
    <t xml:space="preserve">https://www.statista.com/study/124902/cybersecurity-report/</t>
  </si>
  <si>
    <t xml:space="preserve">Cybersecurity revenue</t>
  </si>
  <si>
    <t xml:space="preserve">Ricavi del mercato cybersecurity del Regno Unito nel 2023 secondo Statista Market Insights, terzo paese al mondo.</t>
  </si>
  <si>
    <t xml:space="preserve">Dedotta. Le pagine Statista Market Insights dichiarano che i valori sono ricavi dei vendor primari a prezzi di produttore senza IVA.</t>
  </si>
  <si>
    <t xml:space="preserve">Ricavi dei vendor primari, diretti o tramite canale, a prezzi di produttore senza IVA, spesa di imprese e consumatori. Dati modellati a tassi di cambio correnti.</t>
  </si>
  <si>
    <t xml:space="preserve">The second place is China with a revenue of US$13.04 billion, followed by the United Kingdom with about US$10 billion.</t>
  </si>
  <si>
    <t xml:space="preserve">Valore arrotondato dalla fonte (about). La pagina outlook paese mostra i valori oscurati. Metodologia generica Statista curata dalla traccia A. Letto da estratto indicizzato della pagina. Verifica finale 08/10/2026, valore confermato sulla fonte. Valore 2023 del Regno Unito confermato.</t>
  </si>
  <si>
    <t xml:space="preserve">6WRESEARCH-CYBEREUR-2026</t>
  </si>
  <si>
    <t xml:space="preserve">Europa</t>
  </si>
  <si>
    <t xml:space="preserve">Europe Cyber Security Market (2026-2032)</t>
  </si>
  <si>
    <t xml:space="preserve">https://www.6wresearch.com/industry-report/europe-cyber-security-market</t>
  </si>
  <si>
    <t xml:space="preserve">Europe Cyber Security Market value</t>
  </si>
  <si>
    <t xml:space="preserve">Valore del mercato europeo della cybersecurity nel 2025 secondo 6Wresearch.</t>
  </si>
  <si>
    <t xml:space="preserve">Dedotta. La metodologia generica dell'editore non specifica il lato della stima.</t>
  </si>
  <si>
    <t xml:space="preserve">Metodologia generica 6Wresearch. Base dati interna, dati commerciali e di trade, interviste a esperti e sondaggi, modelli previsionali proprietari (regressione, serie storiche, top-down e bottom-up).</t>
  </si>
  <si>
    <t xml:space="preserve">the Europe Cyber Security Market was accounted at nearly USD 46 billion in 2025 and is projected to reach nearly USD 80 billion by 2032</t>
  </si>
  <si>
    <t xml:space="preserve">Letto da estratto indicizzato della pagina. Pubblicato come quasi 46 miliardi. Verifica finale 08/10/2026, valore confermato sulla fonte. Valore 2025 confermato, cifra arrotondata da database interno dell'editore.</t>
  </si>
  <si>
    <t xml:space="preserve">Valore previsto del mercato europeo della cybersecurity nel 2032 secondo 6Wresearch, crescita composta circa 8,5%.</t>
  </si>
  <si>
    <t xml:space="preserve">CAGR 2026-2032 circa 8,5%</t>
  </si>
  <si>
    <t xml:space="preserve">projected to reach nearly USD 80 billion by 2032, exhibiting a compound annual growth rate (CAGR) of around 8.5% during the forecast period (2026-2032).</t>
  </si>
  <si>
    <t xml:space="preserve">BDO-CYBEREUR-2026</t>
  </si>
  <si>
    <t xml:space="preserve">BDO Nederland (Deal Advisory, BDO Centers)</t>
  </si>
  <si>
    <t xml:space="preserve">Global and European Cybersecurity Industry</t>
  </si>
  <si>
    <t xml:space="preserve">BDO Centers analysis (altri grafici del rapporto citano Statista)</t>
  </si>
  <si>
    <t xml:space="preserve">Cybersecurity market size, Europe (€bn)</t>
  </si>
  <si>
    <t xml:space="preserve">Dimensione del mercato europeo della cybersecurity nel 2022 secondo l'analisi BDO, soluzioni e servizi.</t>
  </si>
  <si>
    <t xml:space="preserve">security solutions e security services</t>
  </si>
  <si>
    <t xml:space="preserve">Dedotta. Il grafico cita solo BDO Centers analysis senza descrivere il metodo; la serie europea è molto vicina ai valori Statista.</t>
  </si>
  <si>
    <t xml:space="preserve">Non dichiarata. Grafico attribuito a BDO Centers analysis, valori 2022-2030 in euro con ripartizione soluzioni e servizi.</t>
  </si>
  <si>
    <t xml:space="preserve">Cybersecurity market size and dynamics, €bn ... Europe 35.0 38.4 42.1 45.7 49.2 52.3 55.4 58.6 61.6 +7.3%</t>
  </si>
  <si>
    <t xml:space="preserve">Letto da estratto indicizzato della pagina. Serie letta dal grafico, abbinamento anni 2022-2030 dall'ordine delle etichette. Verifica finale 08/10/2026, valore confermato sulla fonte. Report BDO di luglio 2026, anno 2022 senza suffisso E o F. Fonte indicata solo come BDO Centers analysis, lato Non determinabile coerente.</t>
  </si>
  <si>
    <t xml:space="preserve">Dimensione del mercato europeo della cybersecurity nel 2023 secondo l'analisi BDO, soluzioni e servizi.</t>
  </si>
  <si>
    <t xml:space="preserve">Letto da estratto indicizzato della pagina. Serie letta dal grafico, abbinamento anni 2022-2030 dall'ordine delle etichette. Verifica finale 08/10/2026, valore confermato sulla fonte. Report BDO di luglio 2026, anno 2023 senza suffisso E o F. Fonte indicata solo come BDO Centers analysis, lato Non determinabile coerente.</t>
  </si>
  <si>
    <t xml:space="preserve">Dimensione del mercato europeo della cybersecurity nel 2024 secondo l'analisi BDO, soluzioni e servizi.</t>
  </si>
  <si>
    <t xml:space="preserve">Letto da estratto indicizzato della pagina. Serie letta dal grafico, abbinamento anni 2022-2030 dall'ordine delle etichette. Valore quasi identico a Statista (42,37 miliardi nel 2024), probabile origine Statista non dichiarata. Verifica finale 08/10/2026, valore confermato sulla fonte. Report BDO di luglio 2026, anno 2024 senza suffisso E o F. Fonte indicata solo come BDO Centers analysis, lato Non determinabile coerente.</t>
  </si>
  <si>
    <t xml:space="preserve">Dimensione del mercato europeo della cybersecurity nel 2025 secondo l'analisi BDO, soluzioni e servizi.</t>
  </si>
  <si>
    <t xml:space="preserve">Letto da estratto indicizzato della pagina. Serie letta dal grafico, abbinamento anni 2022-2030 dall'ordine delle etichette. Indicato come stima (2025E) per un anno già chiuso alla pubblicazione. Verifica finale 08/10/2026, valore confermato sulla fonte. Nel grafico il 2025 è marcato 2025E. Il report è di luglio 2026, quindi è la stima di un anno chiuso più che dell'anno in corso.</t>
  </si>
  <si>
    <t xml:space="preserve">Dimensione del mercato europeo della cybersecurity nel 2026 secondo l'analisi BDO, soluzioni e servizi.</t>
  </si>
  <si>
    <t xml:space="preserve">Letto da estratto indicizzato della pagina. Serie letta dal grafico, abbinamento anni 2022-2030 dall'ordine delle etichette. Verifica finale 08/10/2026, valore confermato sulla fonte. Nel grafico il 2026 è marcato 2026F. Report di luglio 2026, la natura di stima dell'anno in corso resta accettabile.</t>
  </si>
  <si>
    <t xml:space="preserve">Europe share of the global cybersecurity market</t>
  </si>
  <si>
    <t xml:space="preserve">Quota dell'Europa sul mercato mondiale della cybersecurity nel 2026 secondo BDO.</t>
  </si>
  <si>
    <t xml:space="preserve">Europe is the second-largest cybersecurity market after the Americas and is estimated to account for 24.9% of the global market in 2026.</t>
  </si>
  <si>
    <t xml:space="preserve">Letto da estratto indicizzato della pagina. Verifica finale 08/10/2026, valore confermato sulla fonte. Coerente con 49,2 su 197,4 miliardi di euro del grafico 2026F. Fonte indicata solo come BDO Centers analysis.</t>
  </si>
  <si>
    <t xml:space="preserve">Dimensione del mercato europeo della cybersecurity nel 2027 secondo l'analisi BDO, soluzioni e servizi.</t>
  </si>
  <si>
    <t xml:space="preserve">Letto da estratto indicizzato della pagina. Serie letta dal grafico, abbinamento anni 2022-2030 dall'ordine delle etichette. Verifica finale 08/10/2026, valore confermato sulla fonte. Anno marcato F nel grafico, natura Previsione coerente. Fonte indicata solo come BDO Centers analysis.</t>
  </si>
  <si>
    <t xml:space="preserve">Dimensione del mercato europeo della cybersecurity nel 2028 secondo l'analisi BDO, soluzioni e servizi.</t>
  </si>
  <si>
    <t xml:space="preserve">Dimensione del mercato europeo della cybersecurity nel 2029 secondo l'analisi BDO, soluzioni e servizi.</t>
  </si>
  <si>
    <t xml:space="preserve">Dimensione del mercato europeo della cybersecurity nel 2030 secondo l'analisi BDO, soluzioni e servizi.</t>
  </si>
  <si>
    <t xml:space="preserve">CAGR 2022-2030 7,3%</t>
  </si>
  <si>
    <t xml:space="preserve">Letto da estratto indicizzato della pagina. Serie letta dal grafico, abbinamento anni 2022-2030 dall'ordine delle etichette. Verifica finale 08/10/2026, valore confermato sulla fonte. Valore confermato anche dal testo del report. Natura Previsione coerente.</t>
  </si>
  <si>
    <t xml:space="preserve">Bitkom e.V. (su dati IDC)</t>
  </si>
  <si>
    <t xml:space="preserve">Cybersicherheit, Deutscher Markt erstmals über 10-Milliarden-Marke (comunicato stampa)</t>
  </si>
  <si>
    <t xml:space="preserve">IDC Worldwide ICT Spending Guide Enterprise and SMB by Industry (febbraio 2024) e IDC Semiannual Services Tracker, Security Segmentation 2023 H1</t>
  </si>
  <si>
    <t xml:space="preserve">IT-Sicherheitsmarkt im Rest Europas</t>
  </si>
  <si>
    <t xml:space="preserve">Mercato della sicurezza IT nel resto d'Europa (Germania esclusa) previsto per il 2024 da Bitkom su dati IDC, in crescita del 12,3%.</t>
  </si>
  <si>
    <t xml:space="preserve">Variazione 2024 su 2023 12,3%</t>
  </si>
  <si>
    <t xml:space="preserve">hardware, software e servizi di IT-Sicherheit</t>
  </si>
  <si>
    <t xml:space="preserve">Dedotta. Basato su IDC Spending Guide e Services Tracker, che misurano ricavi dei fornitori.</t>
  </si>
  <si>
    <t xml:space="preserve">Prognosi Bitkom su dati IDC (ICT Spending Guide e Services Tracker con segmentazione sicurezza). Metodo IDC non descritto nel comunicato.</t>
  </si>
  <si>
    <t xml:space="preserve">Damit wächst der IT-Sicherheitsmarkt hierzulande stärker als im Rest Europas (plus 12,3 Prozent auf 46,0 Milliarden Euro)</t>
  </si>
  <si>
    <t xml:space="preserve">Letto da estratto indicizzato della pagina. Perimetro Europa esclusa la Germania. Stima per l'anno di pubblicazione. Il totale europeo con la Germania non è pubblicato nel comunicato. Verifica finale 08/10/2026, valore confermato sulla fonte. Comunicato del 14 febbraio 2024 su dati IDC, riferito all'anno in corso. Valore relativo all'Europa esclusa la Germania. Metodo non descritto, lato non contestato.</t>
  </si>
  <si>
    <t xml:space="preserve">Bitkom e.V. (su dati PAC)</t>
  </si>
  <si>
    <t xml:space="preserve">Deutscher Markt für IT-Sicherheit wächst zweistellig (comunicato stampa 2025)</t>
  </si>
  <si>
    <t xml:space="preserve">https://www.bitkom.org/print/pdf/node/25332</t>
  </si>
  <si>
    <t xml:space="preserve">PAC (teknowlogy group), dati di mercato IT-Sicherheit 2025</t>
  </si>
  <si>
    <t xml:space="preserve">Ausgabenwachstum der anderen europäischen Länder</t>
  </si>
  <si>
    <t xml:space="preserve">Crescita media prevista nel 2025 della spesa in sicurezza IT degli altri paesi europei (Germania esclusa) secondo Bitkom su dati PAC.</t>
  </si>
  <si>
    <t xml:space="preserve">Dedotta. Dal 2025 Bitkom usa dati PAC, la cui segmentazione SITSI esclude l'hardware di sicurezza; il lato non è dichiarato nel comunicato.</t>
  </si>
  <si>
    <t xml:space="preserve">Prognosi Bitkom su dati PAC. Metodo PAC non descritto nel comunicato.</t>
  </si>
  <si>
    <t xml:space="preserve">Auch die anderen europäischen Länder steigern ihre Ausgaben durchschnittlich um 10,9 Prozent, der Rest der Welt sogar um 11,4 Prozent.</t>
  </si>
  <si>
    <t xml:space="preserve">Letto da estratto indicizzato della pagina. Perimetro Europa esclusa la Germania. Verifica finale 08/10/2026, valore confermato sulla fonte. Crescita 2025 dei paesi europei esclusa la Germania, anno in corso nel comunicato di ottobre 2025. Metodo non descritto.</t>
  </si>
  <si>
    <t xml:space="preserve">Marktanteil des restlichen Europas am globalen IT-Sicherheitsmarkt</t>
  </si>
  <si>
    <t xml:space="preserve">Quota del resto d'Europa (Germania esclusa) sul mercato mondiale della sicurezza IT nel 2025 secondo Bitkom su dati PAC, su un totale di 212,2 miliardi.</t>
  </si>
  <si>
    <t xml:space="preserve">Aktuell beträgt der deutsche Marktanteil am globalen IT-Sicherheitsmarkt 5,3 Prozent. Das restliche Europa kommt auf 20,5 Prozent.</t>
  </si>
  <si>
    <t xml:space="preserve">Letto da estratto indicizzato della pagina. Perimetro Europa esclusa la Germania. Il valore assoluto non è pubblicato. Cambio di fonte da IDC (2024) a PAC (2025), serie non omogenea. Verifica finale 08/10/2026, valore confermato sulla fonte. Quota dell'Europa esclusa la Germania sul mercato globale 2025 di 212,2 miliardi di euro. Metodo non descritto nel comunicato.</t>
  </si>
  <si>
    <t xml:space="preserve">Non indicata per il totale europeo; Statista per i valori paese</t>
  </si>
  <si>
    <t xml:space="preserve">European cybersecurity market</t>
  </si>
  <si>
    <t xml:space="preserve">Mercato europeo della cybersecurity nel 2025 secondo CBI, in crescita del 12,4% sull'anno precedente.</t>
  </si>
  <si>
    <t xml:space="preserve">Variazione 2025 su 2024 12,4%</t>
  </si>
  <si>
    <t xml:space="preserve">Dedotta. La pagina non indica la fonte né il metodo del valore europeo.</t>
  </si>
  <si>
    <t xml:space="preserve">In 2025, the European cybersecurity market will probably reach €67 billion. This is an increase of 12.4% compared to the previous year.</t>
  </si>
  <si>
    <t xml:space="preserve">Letto da estratto indicizzato della pagina. Verifica finale 08/10/2026, valore confermato sulla fonte. Valore, valuta e anno coincidono nella pagina CBI.</t>
  </si>
  <si>
    <t xml:space="preserve">Mercato europeo della cybersecurity previsto per il 2033 secondo CBI, crescita composta 12,4%.</t>
  </si>
  <si>
    <t xml:space="preserve">CAGR 12,4%</t>
  </si>
  <si>
    <t xml:space="preserve">The market is expected to grow to €172 billion by 2033. This means a compound annual growth rate (CAGR) of 12.4%.</t>
  </si>
  <si>
    <t xml:space="preserve">COGNITIVE-CYBER-2025</t>
  </si>
  <si>
    <t xml:space="preserve">Cognitive Market Research</t>
  </si>
  <si>
    <t xml:space="preserve">Cybersecurity Market Report (tabella regionale Europa)</t>
  </si>
  <si>
    <t xml:space="preserve">10/07/2025</t>
  </si>
  <si>
    <t xml:space="preserve">https://www.cognitivemarketresearch.com/cybersecurity-market-report</t>
  </si>
  <si>
    <t xml:space="preserve">Europe Cybersecurity Market Sales Revenue</t>
  </si>
  <si>
    <t xml:space="preserve">Ricavi del mercato europeo della cybersecurity nel 2021 secondo Cognitive Market Research.</t>
  </si>
  <si>
    <t xml:space="preserve">Dedotta. Metodologia non reperita.</t>
  </si>
  <si>
    <t xml:space="preserve">Non dichiarata. Anno base 2024, storico 2021-2024, stima 2025, previsione 2025-2033.</t>
  </si>
  <si>
    <t xml:space="preserve">Europe Cybersecurity Market Sales Revenue $ 29.37 Billion $ 43.994 Billion $ 100.19 Billion 10.835%</t>
  </si>
  <si>
    <t xml:space="preserve">Letto da estratto indicizzato della pagina. Colonne 2021, 2025 e 2033 della tabella regionale. Verifica finale 08/10/2026, valore confermato sulla fonte. Valore della colonna 2021 confermato.</t>
  </si>
  <si>
    <t xml:space="preserve">Ricavi del mercato europeo della cybersecurity nel 2025 secondo Cognitive Market Research.</t>
  </si>
  <si>
    <t xml:space="preserve">Letto da estratto indicizzato della pagina. Colonne 2021, 2025 e 2033 della tabella regionale. La stima 2025 è indicata come anno stimato. Verifica finale 08/10/2026, valore confermato sulla fonte. Valore della colonna 2025 confermato.</t>
  </si>
  <si>
    <t xml:space="preserve">Ricavi del mercato europeo della cybersecurity nel 2033 secondo Cognitive Market Research.</t>
  </si>
  <si>
    <t xml:space="preserve">CAGR 2025-2033 10,835%</t>
  </si>
  <si>
    <t xml:space="preserve">Letto da estratto indicizzato della pagina. Colonne 2021, 2025 e 2033 della tabella regionale.</t>
  </si>
  <si>
    <t xml:space="preserve">COGNITIVE-CYBERSOFT-2026</t>
  </si>
  <si>
    <t xml:space="preserve">Cybersecurity Software Market Analysis 2026 (sezione Europa)</t>
  </si>
  <si>
    <t xml:space="preserve">https://www.cognitivemarketresearch.com/cybersecurity-software-market-report</t>
  </si>
  <si>
    <t xml:space="preserve">Europe Cybersecurity Software Market Sales Revenue</t>
  </si>
  <si>
    <t xml:space="preserve">Ricavi del mercato europeo del software di cybersecurity nel 2021 secondo Cognitive Market Research.</t>
  </si>
  <si>
    <t xml:space="preserve">Software di cybersecurity</t>
  </si>
  <si>
    <t xml:space="preserve">The Europe Cybersecurity Software industry grew from 24.493 Billion USD in 2021 to 40.071 Billion USD in 2025</t>
  </si>
  <si>
    <t xml:space="preserve">Letto da estratto indicizzato della pagina. Il solo software (40,1 miliardi nel 2025) è vicino al totale del mercato stimato dallo stesso editore in un altro rapporto (44,0 miliardi), incongruenza interna.</t>
  </si>
  <si>
    <t xml:space="preserve">Ricavi del mercato europeo del software di cybersecurity nel 2025 secondo Cognitive Market Research.</t>
  </si>
  <si>
    <t xml:space="preserve">Ricavi del mercato europeo del software di cybersecurity nel 2033 secondo Cognitive Market Research.</t>
  </si>
  <si>
    <t xml:space="preserve">CAGR 2025-2033 12,867%</t>
  </si>
  <si>
    <t xml:space="preserve">In coming future this industry will reach 105.526 Billion by 2033 with a 12.867% CAGR.</t>
  </si>
  <si>
    <t xml:space="preserve">Non indicata nell'estratto (nota 14 dello studio)</t>
  </si>
  <si>
    <t xml:space="preserve">European cybersecurity market value</t>
  </si>
  <si>
    <t xml:space="preserve">Valore approssimativo del mercato europeo della cybersecurity citato nello studio sulle capacità digitali critiche, con il 53% degli investimenti di origine pubblica.</t>
  </si>
  <si>
    <t xml:space="preserve">Dedotta. Lo studio riprende il valore da una fonte non leggibile nell'estratto.</t>
  </si>
  <si>
    <t xml:space="preserve">European cybersecurity market is valued at roughly €57 bn,14 with about 53% of investments coming from public sources</t>
  </si>
  <si>
    <t xml:space="preserve">Letto da estratto indicizzato della pagina. Anno di riferimento non dichiarato nell'estratto, 2025 dedotto dalla data di redazione dello studio. Fonte primaria nella nota 14 non leggibile. Verifica finale 08/10/2026, valore confermato sulla fonte. Anno di riferimento non esplicitato nell'estratto, valore ripreso da fonte in nota 14.</t>
  </si>
  <si>
    <t xml:space="preserve">Share of cybersecurity investments coming from public sources, Europe</t>
  </si>
  <si>
    <t xml:space="preserve">Quota degli investimenti in cybersecurity in Europa provenienti da fonti pubbliche secondo lo studio sulle capacità digitali critiche.</t>
  </si>
  <si>
    <t xml:space="preserve">Fonti pubbliche</t>
  </si>
  <si>
    <t xml:space="preserve">with about 53% of investments coming from public sources, in contrast to other ecosystems such as the United States</t>
  </si>
  <si>
    <t xml:space="preserve">Letto da estratto indicizzato della pagina. Anno non dichiarato. Non chiaro se si tratti di quota della domanda pubblica o di finanziamenti pubblici.</t>
  </si>
  <si>
    <t xml:space="preserve">DIMENSION-CYBEREUR-2026</t>
  </si>
  <si>
    <t xml:space="preserve">Dimension Market Research</t>
  </si>
  <si>
    <t xml:space="preserve">Europe Cybersecurity Market Size, Share, &amp; Growth Forecast 2035</t>
  </si>
  <si>
    <t xml:space="preserve">22/04/2026</t>
  </si>
  <si>
    <t xml:space="preserve">https://dimensionmarketresearch.com/report/europe-cybersecurity-market/</t>
  </si>
  <si>
    <t xml:space="preserve">Europe Cybersecurity Market size, 2026</t>
  </si>
  <si>
    <t xml:space="preserve">Dimensione stimata del mercato europeo della cybersecurity nel 2026 secondo Dimension Market Research.</t>
  </si>
  <si>
    <t xml:space="preserve">The Europe Cybersecurity Market size is projected to reach USD 62.6 billion in 2026 and grow at a compound annual growth rate of 8.7%</t>
  </si>
  <si>
    <t xml:space="preserve">Europe Cybersecurity Market size, 2035</t>
  </si>
  <si>
    <t xml:space="preserve">Dimensione prevista del mercato europeo della cybersecurity nel 2035 secondo Dimension Market Research, crescita composta 8,7%.</t>
  </si>
  <si>
    <t xml:space="preserve">CAGR 2026-2035 8,7%</t>
  </si>
  <si>
    <t xml:space="preserve">grow at a compound annual growth rate of 8.7% to reach a value of USD 132.8 billion in 2035.</t>
  </si>
  <si>
    <t xml:space="preserve">ECSO-SRIA-2017</t>
  </si>
  <si>
    <t xml:space="preserve">ECSO Strategic Research and Innovation Agenda</t>
  </si>
  <si>
    <t xml:space="preserve">https://ecs-org.eu/ecso-uploads/2022/10/59e615c9dd8f1.pdf</t>
  </si>
  <si>
    <t xml:space="preserve">Total European cybersecurity market, ECSO community estimate</t>
  </si>
  <si>
    <t xml:space="preserve">Mercato europeo della cybersecurity previsto per il 2020 dalla comunità ECSO, crescita composta vicina al 10% nel 2016-2020.</t>
  </si>
  <si>
    <t xml:space="preserve">CAGR 2016-2020 circa 10%</t>
  </si>
  <si>
    <t xml:space="preserve">Dedotta. Stima della comunità ECSO senza descrizione del metodo.</t>
  </si>
  <si>
    <t xml:space="preserve">Non dichiarata. Stima della comunità ECSO.</t>
  </si>
  <si>
    <t xml:space="preserve">Estimate the total European cybersecurity market to reach almost 40 B€ in 2020, with a CAGR of nearly 10% for the period 2016-2020</t>
  </si>
  <si>
    <t xml:space="preserve">Letto da estratto indicizzato della pagina. Pubblicato come quasi 40 miliardi. Data di pubblicazione dedotta (documento caricato nel 2022 sul sito, edizione originale 2017).</t>
  </si>
  <si>
    <t xml:space="preserve">ECSO-TECHPAPER-2018</t>
  </si>
  <si>
    <t xml:space="preserve">ECSO Technical paper (stima ECSO 2018)</t>
  </si>
  <si>
    <t xml:space="preserve">https://ecs-org.eu/ecso-uploads/2022/10/61dbf641ebada.pdf</t>
  </si>
  <si>
    <t xml:space="preserve">European domestic market (cyber security)</t>
  </si>
  <si>
    <t xml:space="preserve">Mercato domestico europeo della cybersecurity stimato da ECSO nel 2018, con circa 12000 imprese di cui 74% micro e PMI.</t>
  </si>
  <si>
    <t xml:space="preserve">Dedotta. Stima ECSO senza descrizione del metodo.</t>
  </si>
  <si>
    <t xml:space="preserve">Non dichiarata. Stima ECSO 2018.</t>
  </si>
  <si>
    <t xml:space="preserve">With a domestic market valued at EUR 25 billion and a very diverse industry landscape, made of 12 000 companies</t>
  </si>
  <si>
    <t xml:space="preserve">Letto da estratto indicizzato della pagina. Anno 2018 dedotto dalla dicitura source 2018 ECSO Estimation. Data di pubblicazione del documento non dichiarata. Verifica finale 08/10/2026, valore confermato sulla fonte. La fonte cita una stima ECSO 2018.</t>
  </si>
  <si>
    <t xml:space="preserve">ENISA-CSSREVIEW-2017</t>
  </si>
  <si>
    <t xml:space="preserve">Principles and opportunities for a renewed EU cybersecurity strategy, contributo ENISA</t>
  </si>
  <si>
    <t xml:space="preserve">13/07/2017</t>
  </si>
  <si>
    <t xml:space="preserve">https://www.enisa.europa.eu/sites/default/files/all_files/2017-07-13%20ENISA%20contrib%20to%20EU%20CSS%20review%20V%20B%20final.pdf</t>
  </si>
  <si>
    <t xml:space="preserve">Cybersecurity market size in Europe</t>
  </si>
  <si>
    <t xml:space="preserve">Mercato europeo della cybersecurity stimato in 20,1 miliardi, oltre un quarto del mercato mondiale, con crescita annua del 6%.</t>
  </si>
  <si>
    <t xml:space="preserve">CAGR 6% fino al 2018</t>
  </si>
  <si>
    <t xml:space="preserve">Dedotta. Il documento riporta il valore senza descriverne la costruzione.</t>
  </si>
  <si>
    <t xml:space="preserve">The cybersecurity market size in Europe in 2014 was estimated to grow from EUR 20.1 billion (out of EUR 71.7 billion worldwide estimation for 2015)</t>
  </si>
  <si>
    <t xml:space="preserve">Letto da estratto indicizzato della pagina. Anno incoerente nello stesso documento (2014, 2015 e 2016 per lo stesso valore). Registrato 2015 in base al riferimento al dato mondiale. Verifica finale 08/10/2026, valore confermato sulla fonte. Valore confermato, ma il documento lo riferisce in punti diversi al 2014, al 2015 e al 2016.</t>
  </si>
  <si>
    <t xml:space="preserve">Cybersecurity market size in Europe, forecast 2018</t>
  </si>
  <si>
    <t xml:space="preserve">Mercato europeo della cybersecurity previsto per il 2018 da ENISA con crescita annua composta del 6%.</t>
  </si>
  <si>
    <t xml:space="preserve">CAGR 6%</t>
  </si>
  <si>
    <t xml:space="preserve">with 6 % Compound Annual Growth Rate (CAGR) to EUR 24.4 billion in 2018, maintaining a share above one quarter of the worldwide cybersecurity market.</t>
  </si>
  <si>
    <t xml:space="preserve">Letto da estratto indicizzato della pagina. Il testo principale arrotonda a circa 25 miliardi.</t>
  </si>
  <si>
    <t xml:space="preserve">Gartner, Forecast Information Security and Risk Management, Worldwide, 2021-2027, 2Q23 Update, citato da ENISA</t>
  </si>
  <si>
    <t xml:space="preserve">Spending on information security and risk management, Europe</t>
  </si>
  <si>
    <t xml:space="preserve">Spesa in sicurezza informatica e gestione del rischio in Europa prevista per il 2023 secondo Gartner, citata da ENISA.</t>
  </si>
  <si>
    <t xml:space="preserve">Variazione 2023 su 2022 13,7%</t>
  </si>
  <si>
    <t xml:space="preserve">Information security and risk management (perimetro Gartner)</t>
  </si>
  <si>
    <t xml:space="preserve">Dedotta. La metodologia generica Gartner dichiara di basarsi sull'analisi delle vendite di oltre mille vendor.</t>
  </si>
  <si>
    <t xml:space="preserve">Ripreso da previsione Gartner citata da ENISA. Metodologia non descritta nel rapporto ENISA, metodologia generica Gartner basata sulle vendite dei vendor.</t>
  </si>
  <si>
    <t xml:space="preserve">In Europe, spending on information security and risk management is expected to grow to 44 billion Euros in 2023, with a growth rate of 13.7%.</t>
  </si>
  <si>
    <t xml:space="preserve">Letto da estratto indicizzato della pagina. Valore stimato nel 2023, anno di pubblicazione. Perimetro geografico Europa secondo Gartner, non definito. Gartner pubblica in USD, la conversione in EUR è di ENISA o Gartner e non è documentata. Verifica finale 08/10/2026, valore confermato sulla fonte. Valore 2023 confermato, l'estratto non descrive il metodo quindi il lato resta invariato.</t>
  </si>
  <si>
    <t xml:space="preserve">Spending on information security and risk management, Europe, growth rate</t>
  </si>
  <si>
    <t xml:space="preserve">Tasso di crescita annuo della spesa europea in sicurezza informatica previsto per il 2023 secondo Gartner.</t>
  </si>
  <si>
    <t xml:space="preserve">Spesa in sicurezza informatica e gestione del rischio in Europa prevista per il 2027 secondo Gartner, citata da ENISA.</t>
  </si>
  <si>
    <t xml:space="preserve">CAGR 2022-2027 10,9%</t>
  </si>
  <si>
    <t xml:space="preserve">By 2027, this spending will reach 71 billion Euros, with an average annual growth rate of 10.9% from 2022 to 2027.</t>
  </si>
  <si>
    <t xml:space="preserve">Letto da estratto indicizzato della pagina. Perimetro geografico Europa secondo Gartner, non definito.</t>
  </si>
  <si>
    <t xml:space="preserve">FORTUNE-CYBER-2024</t>
  </si>
  <si>
    <t xml:space="preserve">Cybersecurity Market Size, Share, Analysis, Global Report 2032 (edizione precedente, sezione Europa)</t>
  </si>
  <si>
    <t xml:space="preserve">01/11/2024</t>
  </si>
  <si>
    <t xml:space="preserve">https://www.fortunebusinessinsights.com/industry-reports/cyber-security-market-101165?key5sk1=f54b506722f3f6b72e6b2c2e1aaac2cc1e2a057d&amp;af=7639</t>
  </si>
  <si>
    <t xml:space="preserve">Europe cybersecurity market value, 2025 (previous edition)</t>
  </si>
  <si>
    <t xml:space="preserve">Valore previsto del mercato europeo della cybersecurity nel 2025 nell'edizione 2024, con crescita composta 13,68% nel 2025-2032.</t>
  </si>
  <si>
    <t xml:space="preserve">CAGR 2025-2032 13,68%</t>
  </si>
  <si>
    <t xml:space="preserve">Metodologia generica Fortune Business Insights. Interviste primarie a stakeholder lato domanda e offerta, ricerca documentale (bilanci, associazioni, banche dati come Factiva, Bloomberg e Statista), approccio bottom-up per segmento (attività per penetrazione per prezzo) triangolato con stime top-down.</t>
  </si>
  <si>
    <t xml:space="preserve">second largest market anticipated to grow with a value of USD 55.98 billion in 2025, exhibiting a CAGR of 13.68% during the forecast period (2025-2032).</t>
  </si>
  <si>
    <t xml:space="preserve">Letto da estratto indicizzato della pagina. URL con parametri di tracciamento che restituisce l'edizione precedente della pagina. Verifica finale 08/10/2026, valore confermato sulla fonte. Edizione precedente della pagina, stesso URL con parametri.</t>
  </si>
  <si>
    <t xml:space="preserve">FORTUNE-CYBER-2026</t>
  </si>
  <si>
    <t xml:space="preserve">Cybersecurity Market Size, Share &amp; Forecast Report, 2034 (sezione Europa)</t>
  </si>
  <si>
    <t xml:space="preserve">Europe cybersecurity market value</t>
  </si>
  <si>
    <t xml:space="preserve">Valore del mercato europeo della cybersecurity nel 2025, pari al 25,60% della domanda mondiale secondo Fortune Business Insights.</t>
  </si>
  <si>
    <t xml:space="preserve">Europe represented 25.60% of global demand in 2025, with a market value of USD 55.98 billion, rising to USD 63.11 billion in 2026.</t>
  </si>
  <si>
    <t xml:space="preserve">Letto da estratto indicizzato della pagina. Verifica finale 08/10/2026, valore confermato sulla fonte. L'estratto non descrive il metodo, classificazione non contestata.</t>
  </si>
  <si>
    <t xml:space="preserve">Valore stimato del mercato europeo della cybersecurity nel 2026 secondo Fortune Business Insights.</t>
  </si>
  <si>
    <t xml:space="preserve">FROST-MSSEUR-2017</t>
  </si>
  <si>
    <t xml:space="preserve">Frost &amp; Sullivan</t>
  </si>
  <si>
    <t xml:space="preserve">Best Practices Award, Fortinet (European Managed Security Services)</t>
  </si>
  <si>
    <t xml:space="preserve">https://www.frost.com/files/7214/9324/1278/Fortinet_Award_Write_Up.pdf</t>
  </si>
  <si>
    <t xml:space="preserve">European Managed Security Services (MSS) market</t>
  </si>
  <si>
    <t xml:space="preserve">Mercato europeo dei servizi gestiti di sicurezza nel 2015 secondo Frost &amp; Sullivan, in crescita del 13,5%.</t>
  </si>
  <si>
    <t xml:space="preserve">Variazione 2015 su 2014 13,5%</t>
  </si>
  <si>
    <t xml:space="preserve">Dedotta. Il documento non descrive la costruzione del valore.</t>
  </si>
  <si>
    <t xml:space="preserve">the European Managed Security Services (MSS) market showed stable year-on-year growth rate of 13.5% in 2015 to reach US$3.63 billion.</t>
  </si>
  <si>
    <t xml:space="preserve">Letto da estratto indicizzato della pagina. Data di pubblicazione non dichiarata, dedotta 2017.</t>
  </si>
  <si>
    <t xml:space="preserve">GARTNER-ISSPEND-2024</t>
  </si>
  <si>
    <t xml:space="preserve">Gartner</t>
  </si>
  <si>
    <t xml:space="preserve">Information Security Spending Through 2028 (articolo)</t>
  </si>
  <si>
    <t xml:space="preserve">https://www.gartner.com/en/articles/information-security</t>
  </si>
  <si>
    <t xml:space="preserve">Information system security market growth rate, Europe (constant currency)</t>
  </si>
  <si>
    <t xml:space="preserve">Tasso di crescita annuo composto previsto della spesa europea in sicurezza informatica secondo Gartner, a valuta costante.</t>
  </si>
  <si>
    <t xml:space="preserve">Information security (perimetro Gartner)</t>
  </si>
  <si>
    <t xml:space="preserve">Metodologia generica Gartner. Analisi delle vendite di oltre mille vendor di prodotti e servizi IT, ricerca primaria e fonti secondarie per una base dati di dimensione del mercato. Nessun dettaglio specifico per la sicurezza in Europa.</t>
  </si>
  <si>
    <t xml:space="preserve">Europe: 12.3% (unadjusted) to 10.7% (adjusted)</t>
  </si>
  <si>
    <t xml:space="preserve">Letto da estratto indicizzato della pagina. Periodo 2023-2028 dedotto dal CAGR mondiale dello stesso articolo.</t>
  </si>
  <si>
    <t xml:space="preserve">Information system security market growth rate, Europe (unadjusted)</t>
  </si>
  <si>
    <t xml:space="preserve">Tasso di crescita annuo composto previsto della spesa europea in sicurezza informatica secondo Gartner, a valuta corrente.</t>
  </si>
  <si>
    <t xml:space="preserve">CAGR 2023-2028 12,3% (periodo dedotto dal CAGR mondiale 2023-2028 dello stesso articolo)</t>
  </si>
  <si>
    <t xml:space="preserve">More mature information system security markets such as North America and Europe will exhibit more modest growth rates (11.9% and 12.3% respectively).</t>
  </si>
  <si>
    <t xml:space="preserve">GARTNER-PRESSEUR-2024</t>
  </si>
  <si>
    <t xml:space="preserve">Gartner Forecasts IT Spending in Europe to Grow 8.7% in 2025 (comunicato stampa)</t>
  </si>
  <si>
    <t xml:space="preserve">07/11/2024</t>
  </si>
  <si>
    <t xml:space="preserve">https://www.gartner.com/en/newsroom/press-releases/2024-11-07-gartner-forecasts--it-sending-in-europe-to-grow-9-percent-in-2025</t>
  </si>
  <si>
    <t xml:space="preserve">Security spending in Europe</t>
  </si>
  <si>
    <t xml:space="preserve">Spesa in sicurezza in Europa nel 2024 secondo la previsione Gartner sulla spesa IT europea.</t>
  </si>
  <si>
    <t xml:space="preserve">grow their security spending, projected to reach $47 billion in 2024.</t>
  </si>
  <si>
    <t xml:space="preserve">Letto da estratto indicizzato della pagina. Stima per l'anno di pubblicazione. Perimetro geografico Europa secondo Gartner, non definito. Verifica finale 08/10/2026, valore confermato sulla fonte. Valore 2024 per l'Europa confermato.</t>
  </si>
  <si>
    <t xml:space="preserve">GRANDVIEW-CYBEREUR-2026</t>
  </si>
  <si>
    <t xml:space="preserve">Europe Cybersecurity Market Size, Industry Report 2033</t>
  </si>
  <si>
    <t xml:space="preserve">10/04/2026</t>
  </si>
  <si>
    <t xml:space="preserve">https://www.grandviewresearch.com/industry-analysis/europe-cyber-security-market-report</t>
  </si>
  <si>
    <t xml:space="preserve">Europe cybersecurity market size</t>
  </si>
  <si>
    <t xml:space="preserve">Dimensione stimata del mercato europeo della cybersecurity nel 2025 secondo Grand View Research.</t>
  </si>
  <si>
    <t xml:space="preserve">hardware, software, servizi</t>
  </si>
  <si>
    <t xml:space="preserve">Metodologia generica Grand View Research. Banche dati a pagamento, base dati proprietaria, interviste a esperti, fonti secondarie; approcci bottom-up, top-down e combinati, stime lato offerta (ricavi delle imprese) e lato domanda (mercati padre e penetrazione), validazione a più livelli.</t>
  </si>
  <si>
    <t xml:space="preserve">The Europe cybersecurity market size was estimated at USD 71.34 billion in 2025 and is projected to reach USD 160.74 billion by 2033</t>
  </si>
  <si>
    <t xml:space="preserve">Letto da estratto indicizzato della pagina. Presentato come stima del 2025. Verifica finale 08/10/2026, valore confermato sulla fonte. Valore 2025 confermato.</t>
  </si>
  <si>
    <t xml:space="preserve">Hardware segment revenue share, Europe cybersecurity market</t>
  </si>
  <si>
    <t xml:space="preserve">Quota dell'hardware sui ricavi del mercato europeo della cybersecurity nel 2025 secondo il rapporto principale Grand View Research.</t>
  </si>
  <si>
    <t xml:space="preserve">Metodologia generica Grand View Research. Banche dati, base dati proprietaria, interviste a esperti; approcci bottom-up, top-down e combinati con stime lato offerta e lato domanda.</t>
  </si>
  <si>
    <t xml:space="preserve">By offering, the hardware segment accounted for the largest revenue share of 50.6% in 2025.</t>
  </si>
  <si>
    <t xml:space="preserve">Letto da estratto indicizzato della pagina. Diverso dal 55,18% indicato da Grand View Horizon per lo stesso anno. Verifica finale 08/10/2026, valore confermato sulla fonte. Quota del segmento hardware sul mercato europeo 2025. Metodo non descritto nell'estratto, lato non contestato.</t>
  </si>
  <si>
    <t xml:space="preserve">Europe cybersecurity market size, 2026</t>
  </si>
  <si>
    <t xml:space="preserve">Dimensione stimata del mercato europeo della cybersecurity nel 2026 secondo Grand View Research.</t>
  </si>
  <si>
    <t xml:space="preserve">The Europe cybersecurity market size was estimated at USD 71.34 billion in 2025 and is expected to reach USD 78.46 billion in 2026.</t>
  </si>
  <si>
    <t xml:space="preserve">Letto da estratto indicizzato della pagina. Verifica finale 08/10/2026, valore confermato sulla fonte. Pagina aggiornata ad aprile 2026. Metodo non descritto nell'estratto, lato non contestato.</t>
  </si>
  <si>
    <t xml:space="preserve">Dimensione prevista del mercato europeo della cybersecurity nel 2033 secondo Grand View Research, crescita composta 10,8%.</t>
  </si>
  <si>
    <t xml:space="preserve">CAGR 2026-2033 10,8%</t>
  </si>
  <si>
    <t xml:space="preserve">projected to reach USD 160.74 billion by 2033, growing at a CAGR of 10.8% from 2026 to 2033.</t>
  </si>
  <si>
    <t xml:space="preserve">GRANDVIEW-HORIZONEUR-2025</t>
  </si>
  <si>
    <t xml:space="preserve">Europe Cyber Security Market Size &amp; Outlook, 2026-2033 (Horizon Databook)</t>
  </si>
  <si>
    <t xml:space="preserve">https://www.grandviewresearch.com/horizon/outlook/cyber-security-market/europe</t>
  </si>
  <si>
    <t xml:space="preserve">Europe cyber security market revenue</t>
  </si>
  <si>
    <t xml:space="preserve">Ricavi del mercato europeo della cybersecurity nel 2025 secondo Grand View Research Horizon.</t>
  </si>
  <si>
    <t xml:space="preserve">The Europe cyber security market generated a revenue of USD 72,049.5 million in 2025.</t>
  </si>
  <si>
    <t xml:space="preserve">Letto da estratto indicizzato della pagina. Pubblicato come 72049,5 milioni. Leggermente diverso da 71,34 miliardi del rapporto principale dello stesso editore. Verifica finale 08/10/2026, valore confermato sulla fonte. Pagina Horizon outlook Europa.</t>
  </si>
  <si>
    <t xml:space="preserve">Hardware revenue share, Europe cyber security market</t>
  </si>
  <si>
    <t xml:space="preserve">Quota dell'hardware sui ricavi del mercato europeo della cybersecurity nel 2025 secondo Grand View Research Horizon.</t>
  </si>
  <si>
    <t xml:space="preserve">Hardware was the largest segment with a revenue share of 55.18% in 2025.</t>
  </si>
  <si>
    <t xml:space="preserve">Letto da estratto indicizzato della pagina. Quota molto diversa da quella di altri editori (per esempio servizi oltre il 54% per IMARC). Verifica finale 08/10/2026, valore confermato sulla fonte. Quota hardware nella pagina Horizon outlook.</t>
  </si>
  <si>
    <t xml:space="preserve">Europe cyber security market projected revenue</t>
  </si>
  <si>
    <t xml:space="preserve">Ricavi previsti del mercato europeo della cybersecurity nel 2033 secondo Grand View Research Horizon, crescita composta 11%.</t>
  </si>
  <si>
    <t xml:space="preserve">CAGR 2026-2033 11%</t>
  </si>
  <si>
    <t xml:space="preserve">The cyber security market in Europe is expected to reach a projected revenue of US$ 165,145.8 million by 2033.</t>
  </si>
  <si>
    <t xml:space="preserve">IDC-BLOGCEE-2022</t>
  </si>
  <si>
    <t xml:space="preserve">IDC Resource Center, articolo blog area Central and Eastern Europe</t>
  </si>
  <si>
    <t xml:space="preserve">https://www.idc.com/resource-center/blog/resource-region/3_223/page/28/</t>
  </si>
  <si>
    <t xml:space="preserve">European organizations spending on security technologies</t>
  </si>
  <si>
    <t xml:space="preserve">Spesa delle organizzazioni europee in tecnologie di sicurezza nel 2021 secondo la Security Spending Guide IDC.</t>
  </si>
  <si>
    <t xml:space="preserve">IDC's Security Spending Guide reveals that European organizations spent more than $42 billion on security technologies in 2021.</t>
  </si>
  <si>
    <t xml:space="preserve">Letto da estratto indicizzato della pagina. Pubblicato come oltre 42 miliardi. Data dell'articolo non dichiarata, dedotta 2022. Verifica finale 08/10/2026, valore confermato sulla fonte. Valore 2021 confermato nella pagina IDC indicata.</t>
  </si>
  <si>
    <t xml:space="preserve">European security spending growth expected in 2022</t>
  </si>
  <si>
    <t xml:space="preserve">Crescita attesa della spesa europea in tecnologie di sicurezza nel 2022 secondo IDC.</t>
  </si>
  <si>
    <t xml:space="preserve">A nearly 11% increase is expected in 2022.</t>
  </si>
  <si>
    <t xml:space="preserve">Letto da estratto indicizzato della pagina. Pubblicato come quasi 11%.</t>
  </si>
  <si>
    <t xml:space="preserve">IDC-PRESSEUR-2019</t>
  </si>
  <si>
    <t xml:space="preserve">Cybersecurity, this is how firms are spending their budget this year (ZDNet su dati IDC)</t>
  </si>
  <si>
    <t xml:space="preserve">02/04/2019</t>
  </si>
  <si>
    <t xml:space="preserve">https://www.zdnet.com/article/cybersecurity-this-is-how-firms-are-spending-their-budget-this-year/</t>
  </si>
  <si>
    <t xml:space="preserve">IDC, Worldwide Semiannual Security Spending Guide 2019 (comunicato non reperito su idc.com)</t>
  </si>
  <si>
    <t xml:space="preserve">2019 security spending in Europe by technology group</t>
  </si>
  <si>
    <t xml:space="preserve">Spesa in sicurezza in Europa nel 2019 per la componente hardware secondo IDC.</t>
  </si>
  <si>
    <t xml:space="preserve">followed by software - $8.6bn - and hardware - $3.9bn.</t>
  </si>
  <si>
    <t xml:space="preserve">Spesa in sicurezza in Europa nel 2019 per la componente servizi secondo IDC.</t>
  </si>
  <si>
    <t xml:space="preserve">More than half of 2019 security spending in Europe will go on services - $14.8bn</t>
  </si>
  <si>
    <t xml:space="preserve">Spesa in sicurezza in Europa nel 2019 per la componente software secondo IDC.</t>
  </si>
  <si>
    <t xml:space="preserve">Security services spending in Europe by service type</t>
  </si>
  <si>
    <t xml:space="preserve">Spesa in sicurezza in Europa nel 2019 per servizi di integrazione secondo IDC.</t>
  </si>
  <si>
    <t xml:space="preserve">Servizi di integrazione</t>
  </si>
  <si>
    <t xml:space="preserve">Managed security services - $5.8bn - and integration services - $5.4bn - will account for the majority of services spending.</t>
  </si>
  <si>
    <t xml:space="preserve">Spesa in sicurezza in Europa nel 2019 per servizi gestiti di sicurezza secondo IDC.</t>
  </si>
  <si>
    <t xml:space="preserve">Spending on security hardware, software, and services in Europe</t>
  </si>
  <si>
    <t xml:space="preserve">Spesa in hardware, software e servizi di sicurezza in Europa nel 2019 secondo IDC, ripresa da ZDNet.</t>
  </si>
  <si>
    <t xml:space="preserve">Spending on security hardware, software, and services in Europe could reach $27.3bn this year</t>
  </si>
  <si>
    <t xml:space="preserve">Letto da estratto indicizzato della pagina. Stima per l'anno di pubblicazione. Verifica finale 08/10/2026, riverifica non riuscita (non rileggibile). Tre ricerche sul dominio zdnet.com non hanno restituito estratti della pagina indicata. Valore letto in fase di raccolta, da ricontrollare sulla fonte.</t>
  </si>
  <si>
    <t xml:space="preserve">Spending on security technology in Europe</t>
  </si>
  <si>
    <t xml:space="preserve">Spesa in tecnologie di sicurezza in Europa prevista per il 2022 secondo IDC (release 2019).</t>
  </si>
  <si>
    <t xml:space="preserve">Spending on security technology is likely to keep the same pace over the next few years to reach a total of $33.6bn by 2022</t>
  </si>
  <si>
    <t xml:space="preserve">Letto da estratto indicizzato della pagina. Verifica finale 08/10/2026, riverifica non riuscita (non rileggibile). Tre ricerche sul dominio zdnet.com non hanno restituito estratti della pagina indicata. Valore letto in fase di raccolta, da ricontrollare sulla fonte.</t>
  </si>
  <si>
    <t xml:space="preserve">IDC-PRESSEUR-2022</t>
  </si>
  <si>
    <t xml:space="preserve">European IT security spending to continue to rise at sustained pace, says IDC (ripreso da The Fast Mode)</t>
  </si>
  <si>
    <t xml:space="preserve">23/08/2022</t>
  </si>
  <si>
    <t xml:space="preserve">https://www.thefastmode.com/technology-and-solution-trends/27038-european-it-security-spending-to-continue-to-rise-at-sustained-pace-says-idc</t>
  </si>
  <si>
    <t xml:space="preserve">IDC, comunicato stampa luglio 2022 sulla Worldwide Security Spending Guide (non reperito su idc.com)</t>
  </si>
  <si>
    <t xml:space="preserve">European IT security spending</t>
  </si>
  <si>
    <t xml:space="preserve">Spesa europea in sicurezza IT nel 2022 secondo IDC, in crescita del 10,8% sul 2021.</t>
  </si>
  <si>
    <t xml:space="preserve">Variazione 2022 su 2021 10,8%</t>
  </si>
  <si>
    <t xml:space="preserve">IDC's new Worldwide Security Spending Guide highlights that European IT security spending will reach almost $47 billion in 2022.</t>
  </si>
  <si>
    <t xml:space="preserve">Letto da estratto indicizzato della pagina. Pubblicato come quasi 47 miliardi. Stima per l'anno di pubblicazione. Verifica finale 08/10/2026, valore confermato sulla fonte. Valore 2022 confermato.</t>
  </si>
  <si>
    <t xml:space="preserve">European IT security spending by industry</t>
  </si>
  <si>
    <t xml:space="preserve">Spesa europea in sicurezza IT nel 2022 del settore banche, tra i maggiori spenditori secondo IDC.</t>
  </si>
  <si>
    <t xml:space="preserve">Banking is the biggest European industry for IT security spending in 2022, at more than $6 billion.</t>
  </si>
  <si>
    <t xml:space="preserve">Letto da estratto indicizzato della pagina. Valore soglia (oltre). Verifica finale 08/10/2026, valore confermato sulla fonte. Valore del settore bancario confermato.</t>
  </si>
  <si>
    <t xml:space="preserve">Spesa europea in sicurezza IT nel 2022 del settore manifattura discreta, tra i maggiori spenditori secondo IDC.</t>
  </si>
  <si>
    <t xml:space="preserve">Manifattura discreta</t>
  </si>
  <si>
    <t xml:space="preserve">professional services are forecast to be the second and third top spenders on security in 2022 (with respectively more than $5 billion and $4 billion</t>
  </si>
  <si>
    <t xml:space="preserve">Letto da estratto indicizzato della pagina. Valore soglia (oltre).</t>
  </si>
  <si>
    <t xml:space="preserve">Spesa europea in sicurezza IT nel 2022 del settore servizi professionali, tra i maggiori spenditori secondo IDC.</t>
  </si>
  <si>
    <t xml:space="preserve">Spesa europea in sicurezza IT prevista oltre 66 miliardi nel 2026, crescita composta 9,4% 2021-2026.</t>
  </si>
  <si>
    <t xml:space="preserve">CAGR 2021-2026 9,4%</t>
  </si>
  <si>
    <t xml:space="preserve">The forecast five-year (2021-2026) compound annual growth rate (CAGR) is 9.4%, surpassing $66 billion in 2026.</t>
  </si>
  <si>
    <t xml:space="preserve">Letto da estratto indicizzato della pagina. Valore soglia (oltre 66 miliardi).</t>
  </si>
  <si>
    <t xml:space="preserve">European security spending growth</t>
  </si>
  <si>
    <t xml:space="preserve">Crescita annua prevista della spesa in sicurezza in Europa nel 2024 secondo IDC.</t>
  </si>
  <si>
    <t xml:space="preserve">European security spending will grow by 12.3% in 2024, marking another year of strong momentum with double-digit growth.</t>
  </si>
  <si>
    <t xml:space="preserve">Letto da estratto indicizzato della pagina. Verifica finale 08/10/2026, valore confermato sulla fonte. Tasso di crescita 2024 confermato nel comunicato IDC del 25 marzo 2024.</t>
  </si>
  <si>
    <t xml:space="preserve">Fastest growing industries in 2024, European security spending</t>
  </si>
  <si>
    <t xml:space="preserve">Crescita annua prevista della spesa in sicurezza in Europa nel 2024 per il settore aerospazio e difesa.</t>
  </si>
  <si>
    <t xml:space="preserve">Aerospazio e difesa</t>
  </si>
  <si>
    <t xml:space="preserve">The fastest growing industries in 2024 will be banking (14.2% year-on-year growth), media and entertainment (14.0%), and aerospace and defense (13.8%).</t>
  </si>
  <si>
    <t xml:space="preserve">Crescita annua prevista della spesa in sicurezza in Europa nel 2024 per il settore banche.</t>
  </si>
  <si>
    <t xml:space="preserve">Crescita annua prevista della spesa in sicurezza in Europa nel 2024 per il settore media e intrattenimento.</t>
  </si>
  <si>
    <t xml:space="preserve">Media e intrattenimento</t>
  </si>
  <si>
    <t xml:space="preserve">European security spending</t>
  </si>
  <si>
    <t xml:space="preserve">Spesa in sicurezza in Europa prevista per il 2027 secondo IDC.</t>
  </si>
  <si>
    <t xml:space="preserve">Spending in the region is expected to increase at a steady pace throughout the whole 2022-2027 forecast period, reaching $84 billion in 2027.</t>
  </si>
  <si>
    <t xml:space="preserve">European security spending growth by industry</t>
  </si>
  <si>
    <t xml:space="preserve">Crescita annua prevista della spesa in sicurezza in Europa nel 2025 per il settore aerospazio e difesa.</t>
  </si>
  <si>
    <t xml:space="preserve">Aerospace and Defense and Banking are projected to lead the European growth of security spending in 2025, each with a 13.5% year-on-year growth rate</t>
  </si>
  <si>
    <t xml:space="preserve">Crescita annua prevista della spesa in sicurezza in Europa nel 2025 per il settore banche.</t>
  </si>
  <si>
    <t xml:space="preserve">Letto da estratto indicizzato della pagina. Verifica finale 08/10/2026, valore confermato sulla fonte. Crescita prevista 2025 per settore.</t>
  </si>
  <si>
    <t xml:space="preserve">Crescita annua prevista della spesa in sicurezza in Europa nel 2025 per il settore mercati dei capitali.</t>
  </si>
  <si>
    <t xml:space="preserve">Mercati dei capitali</t>
  </si>
  <si>
    <t xml:space="preserve">followed closely by Capital Markets in third place with 13.3% growth.</t>
  </si>
  <si>
    <t xml:space="preserve">European security spending, year-on-year growth</t>
  </si>
  <si>
    <t xml:space="preserve">Crescita annua prevista della spesa in sicurezza in Europa nel 2025 secondo la Security Spending Guide IDC.</t>
  </si>
  <si>
    <t xml:space="preserve">European security spending is projected to grow by 11.8% year on year in 2025.</t>
  </si>
  <si>
    <t xml:space="preserve">Spesa in sicurezza in Europa prevista per il 2028 secondo IDC, con crescita sostenuta nel periodo 2023-2028.</t>
  </si>
  <si>
    <t xml:space="preserve">Security spending is expected to remain robust throughout the 2023-2028 forecast period, reaching nearly $97 billion by 2028.</t>
  </si>
  <si>
    <t xml:space="preserve">Letto da estratto indicizzato della pagina. Pubblicato come quasi 97 miliardi. Perimetro Europa IDC (Europa occidentale e centro-orientale).</t>
  </si>
  <si>
    <t xml:space="preserve">IDC-SECFORUM-2023</t>
  </si>
  <si>
    <t xml:space="preserve">IDC Security Forum (pagina evento)</t>
  </si>
  <si>
    <t xml:space="preserve">https://my.idc.com/eu/events/71329-idc-security-forum?g_clang=ENG</t>
  </si>
  <si>
    <t xml:space="preserve">IDC Worldwide Security Spending Guide (release 2023)</t>
  </si>
  <si>
    <t xml:space="preserve">Total European security spending growth</t>
  </si>
  <si>
    <t xml:space="preserve">Crescita prevista della spesa totale in sicurezza in Europa nel 2023 secondo la Security Spending Guide IDC.</t>
  </si>
  <si>
    <t xml:space="preserve">According to IDC's Worldwide Security Spending Guide, total European spending will grow by 10.6% in 2023.</t>
  </si>
  <si>
    <t xml:space="preserve">Letto da estratto indicizzato della pagina. Data di pubblicazione della pagina evento non dichiarata, dedotta 2023. Verifica finale 08/10/2026, valore confermato sulla fonte.</t>
  </si>
  <si>
    <t xml:space="preserve">Total European security spending</t>
  </si>
  <si>
    <t xml:space="preserve">Spesa totale in sicurezza in Europa prevista per il 2026 secondo IDC (release 2023).</t>
  </si>
  <si>
    <t xml:space="preserve">Spending in the region will continue to see almost double-digit growth over the forecast period, with total spending reaching $71 billion in 2026.</t>
  </si>
  <si>
    <t xml:space="preserve">IDC-SECSUMMIT-2026</t>
  </si>
  <si>
    <t xml:space="preserve">IT Security Summit UK 2026 (pagina evento)</t>
  </si>
  <si>
    <t xml:space="preserve">https://event.idc.com/event/it-security-summit-uk/</t>
  </si>
  <si>
    <t xml:space="preserve">Spesa in sicurezza in Europa prevista per il 2028 secondo la ricerca IDC citata nella pagina dell'evento, crescita composta 9,4% 2025-2029.</t>
  </si>
  <si>
    <t xml:space="preserve">CAGR 2025-2029 circa 9,4%</t>
  </si>
  <si>
    <t xml:space="preserve">spending in Europe is forecast to reach nearly $60 billion by 2028, growing at a compound annual growth rate of around 9.4% from 2025 to</t>
  </si>
  <si>
    <t xml:space="preserve">Letto da estratto indicizzato della pagina. Pubblicato come quasi 60 miliardi. Incongruente con 97 miliardi al 2028 del comunicato IDC di aprile 2025, probabile perimetro diverso (per esempio solo Europa occidentale o tassonomia ristretta) non dichiarato.</t>
  </si>
  <si>
    <t xml:space="preserve">Security spending in Europe, CAGR 2025-2029</t>
  </si>
  <si>
    <t xml:space="preserve">Tasso di crescita annuo composto previsto della spesa in sicurezza in Europa tra 2025 e 2029 secondo IDC.</t>
  </si>
  <si>
    <t xml:space="preserve">growing at a compound annual growth rate of around 9.4% from 2025 to 2029.</t>
  </si>
  <si>
    <t xml:space="preserve">IMARC-CYBEREUR-2026</t>
  </si>
  <si>
    <t xml:space="preserve">Europe cybersecurity market, 2020</t>
  </si>
  <si>
    <t xml:space="preserve">Dimensione del mercato europeo della cybersecurity nel 2020 secondo IMARC.</t>
  </si>
  <si>
    <t xml:space="preserve">soluzioni (IAM, sicurezza infrastrutture, GRC, gestione vulnerabilità, dati e privacy) e servizi (professionali e gestiti)</t>
  </si>
  <si>
    <t xml:space="preserve">Dedotta. Il modello dichiarato moltiplica il budget di sicurezza IT delle imprese per la spesa IT per paese e settore, cioè costruisce il valore dal lato degli acquirenti.</t>
  </si>
  <si>
    <t xml:space="preserve">Interviste a fornitori, integratori e responsabili sicurezza di imprese utenti nel 2025, fonti secondarie. Previsioni con modello di spesa per settore utente, budget di sicurezza IT per paese e settore moltiplicato per la spesa IT, con premio di conformità normativa.</t>
  </si>
  <si>
    <t xml:space="preserve">Europe cybersecurity market expanded from USD 55.27 Billion in 2020 to USD 81.81 Billion in 2025</t>
  </si>
  <si>
    <t xml:space="preserve">Letto da estratto indicizzato della pagina. Verifica finale 08/10/2026, valore confermato sulla fonte. Valore, unità, valuta e anno coincidono nella pagina IMARC.</t>
  </si>
  <si>
    <t xml:space="preserve">Europe cybersecurity market, 2025</t>
  </si>
  <si>
    <t xml:space="preserve">Dimensione del mercato europeo della cybersecurity nel 2025 secondo IMARC.</t>
  </si>
  <si>
    <t xml:space="preserve">The Europe cybersecurity market grew from USD 81.81 Billion in 2025 to USD 88.48 Billion in 2026</t>
  </si>
  <si>
    <t xml:space="preserve">Letto da estratto indicizzato della pagina. Verifica finale 08/10/2026, valore confermato sulla fonte. Valore 2025 confermato nella pagina IMARC.</t>
  </si>
  <si>
    <t xml:space="preserve">Market share by segment, 2025</t>
  </si>
  <si>
    <t xml:space="preserve">Quota della voce banche, servizi finanziari e assicurazioni sul mercato europeo della cybersecurity nel 2025 secondo IMARC.</t>
  </si>
  <si>
    <t xml:space="preserve">Banche, servizi finanziari e assicurazioni</t>
  </si>
  <si>
    <t xml:space="preserve">Industry Vertical BFSI 24.15% 2025</t>
  </si>
  <si>
    <t xml:space="preserve">Quota della voce grandi imprese sul mercato europeo della cybersecurity nel 2025 secondo IMARC.</t>
  </si>
  <si>
    <t xml:space="preserve">User Type Large Enterprises 70.1% 2025</t>
  </si>
  <si>
    <t xml:space="preserve">Quota della voce servizi sul mercato europeo della cybersecurity nel 2025 secondo IMARC.</t>
  </si>
  <si>
    <t xml:space="preserve">Dominant Component Services (54.08%, 2025)</t>
  </si>
  <si>
    <t xml:space="preserve">Letto da estratto indicizzato della pagina. Verifica finale 08/10/2026, valore confermato sulla fonte. Quota dei servizi 2025 confermata.</t>
  </si>
  <si>
    <t xml:space="preserve">Europe cybersecurity market, 2026</t>
  </si>
  <si>
    <t xml:space="preserve">Dimensione stimata del mercato europeo della cybersecurity nel 2026 secondo IMARC.</t>
  </si>
  <si>
    <t xml:space="preserve">Letto da estratto indicizzato della pagina. Verifica finale 08/10/2026, valore confermato sulla fonte. Valore 2026 indicato come stima, coerente con la natura della riga.</t>
  </si>
  <si>
    <t xml:space="preserve">Europe cybersecurity market, 2030</t>
  </si>
  <si>
    <t xml:space="preserve">Dimensione prevista del mercato europeo della cybersecurity nel 2030 secondo IMARC.</t>
  </si>
  <si>
    <t xml:space="preserve">anchored at USD 121.10 Billion in 2030, and forecast to reach USD 165.73 Billion by 2034</t>
  </si>
  <si>
    <t xml:space="preserve">Europe cybersecurity market, 2034</t>
  </si>
  <si>
    <t xml:space="preserve">Dimensione prevista del mercato europeo della cybersecurity nel 2034 secondo IMARC, crescita composta 8,16% nel 2026-2034.</t>
  </si>
  <si>
    <t xml:space="preserve">CAGR 2026-2034 8,16%</t>
  </si>
  <si>
    <t xml:space="preserve">projected to reach USD 165.73 Billion by 2034, growing at a CAGR of 8.16% during 2026-2034.</t>
  </si>
  <si>
    <t xml:space="preserve">KENRESEARCH-CYBEREUR-2019</t>
  </si>
  <si>
    <t xml:space="preserve">Europe Cyber Security Industry Outlook to 2023</t>
  </si>
  <si>
    <t xml:space="preserve">09/08/2019</t>
  </si>
  <si>
    <t xml:space="preserve">https://www.kenresearch.com/industry-reports/europe-cyber-security-industry</t>
  </si>
  <si>
    <t xml:space="preserve">Europe cyber security market 5 year CAGR till 2023</t>
  </si>
  <si>
    <t xml:space="preserve">Crescita annua composta prevista del mercato europeo della cybersecurity nei cinque anni fino al 2023 secondo Ken Research.</t>
  </si>
  <si>
    <t xml:space="preserve">servizi e soluzioni di cybersecurity, prodotti importati e domestici</t>
  </si>
  <si>
    <t xml:space="preserve">The Cyber security market is expected to grow at a single digit 5 year CAGR of around 9% till 2023</t>
  </si>
  <si>
    <t xml:space="preserve">Letto da estratto indicizzato della pagina. Pubblicato come circa 9%. Valore del mercato non leggibile nell'estratto. Verifica finale 08/10/2026, valore confermato sulla fonte.</t>
  </si>
  <si>
    <t xml:space="preserve">MARKETDATAFORECAST-CYBEREUR-2026</t>
  </si>
  <si>
    <t xml:space="preserve">Market Data Forecast</t>
  </si>
  <si>
    <t xml:space="preserve">Europe Cybersecurity Market Size, Share &amp; Growth, 2034</t>
  </si>
  <si>
    <t xml:space="preserve">01/06/2026</t>
  </si>
  <si>
    <t xml:space="preserve">https://www.marketdataforecast.com/market-reports/europe-cyber-security-market</t>
  </si>
  <si>
    <t xml:space="preserve">Services segment share, European cybersecurity market</t>
  </si>
  <si>
    <t xml:space="preserve">Quota dei servizi sul mercato europeo della cybersecurity nel 2024 secondo Market Data Forecast.</t>
  </si>
  <si>
    <t xml:space="preserve">By component, the services segment dominated the European cybersecurity market, capturing 58.3% of the market share in 2024.</t>
  </si>
  <si>
    <t xml:space="preserve">European cybersecurity market value, 2025</t>
  </si>
  <si>
    <t xml:space="preserve">Valore del mercato europeo della cybersecurity nel 2025 secondo Market Data Forecast.</t>
  </si>
  <si>
    <t xml:space="preserve">The European cybersecurity market was valued at USD 76.21 billion in 2025 and is projected to grow to USD 85.68 billion in 2026</t>
  </si>
  <si>
    <t xml:space="preserve">European cybersecurity market value, 2026</t>
  </si>
  <si>
    <t xml:space="preserve">Valore stimato del mercato europeo della cybersecurity nel 2026 secondo Market Data Forecast.</t>
  </si>
  <si>
    <t xml:space="preserve">projected to grow to USD 85.68 billion in 2026 and further to USD 218.58 billion by 2034</t>
  </si>
  <si>
    <t xml:space="preserve">European cybersecurity market value, 2034</t>
  </si>
  <si>
    <t xml:space="preserve">Valore previsto del mercato europeo della cybersecurity nel 2034 secondo Market Data Forecast, crescita composta 12,42%.</t>
  </si>
  <si>
    <t xml:space="preserve">CAGR 2026-2034 12,42%</t>
  </si>
  <si>
    <t xml:space="preserve">further to USD 218.58 billion by 2034, expanding at a CAGR of 12.42% from 2026 to 2034.</t>
  </si>
  <si>
    <t xml:space="preserve">MARKETSANDMARKETS-CYBEREUR-2025</t>
  </si>
  <si>
    <t xml:space="preserve">Europe Cybersecurity Market Report 2025-2030, by Security Type, Services, Tech</t>
  </si>
  <si>
    <t xml:space="preserve">https://www.marketsandmarkets.com/Market-Reports/europe-cybersecurity-market-156644743.html</t>
  </si>
  <si>
    <t xml:space="preserve">Europe cybersecurity market size, 2024 (base year)</t>
  </si>
  <si>
    <t xml:space="preserve">Dimensione del mercato europeo della cybersecurity nell'anno base 2024 secondo MarketsandMarkets.</t>
  </si>
  <si>
    <t xml:space="preserve">soluzioni e servizi di cybersecurity</t>
  </si>
  <si>
    <t xml:space="preserve">Metodologia generica MarketsandMarkets. Ricerca secondaria, interviste primarie lato domanda e offerta, approcci top-down e bottom-up, quote dei principali operatori da bilanci, triangolazione dei dati dai lati domanda e offerta.</t>
  </si>
  <si>
    <t xml:space="preserve">Market Size, 2024 (Value) USD 50.22 Billion</t>
  </si>
  <si>
    <t xml:space="preserve">Letto da estratto indicizzato della pagina. Anno base del rapporto. Verifica finale 08/10/2026, valore confermato sulla fonte. Valore 2024 confermato nella tabella del rapporto.</t>
  </si>
  <si>
    <t xml:space="preserve">Dimensione del mercato europeo della cybersecurity nel 2025 secondo MarketsandMarkets.</t>
  </si>
  <si>
    <t xml:space="preserve">The Europe cybersecurity market size is projected to grow from USD 54.77 billion in 2025 to USD 83.14 billion by 2030</t>
  </si>
  <si>
    <t xml:space="preserve">Dimensione prevista del mercato europeo della cybersecurity nel 2030 secondo MarketsandMarkets, crescita composta 8,7%.</t>
  </si>
  <si>
    <t xml:space="preserve">CAGR 2025-2030 8,7%</t>
  </si>
  <si>
    <t xml:space="preserve">market size is projected to grow from USD 54.77 billion in 2025 to USD 83.14 billion by 2030, at a compound annual growth rate of</t>
  </si>
  <si>
    <t xml:space="preserve">MARKETSANDMARKETS-CYBEREURGEO-2025</t>
  </si>
  <si>
    <t xml:space="preserve">Europe Cybersecurity Market (2025-2030), pagina geografica</t>
  </si>
  <si>
    <t xml:space="preserve">https://www.marketsandmarkets.com/Market-Reports/geography/cyber-security-market/europe</t>
  </si>
  <si>
    <t xml:space="preserve">Europe Cybersecurity Market value</t>
  </si>
  <si>
    <t xml:space="preserve">Valore del mercato europeo della cybersecurity nel 2025 secondo la pagina geografica MarketsandMarkets.</t>
  </si>
  <si>
    <t xml:space="preserve">The Europe Cybersecurity Market was valued at $29830.8 Million in 2025 and projected to reach to $43999 Million by 2030</t>
  </si>
  <si>
    <t xml:space="preserve">Letto da estratto indicizzato della pagina. Pubblicato come 29830,8 milioni. Incongruente con 54,77 miliardi del rapporto europeo dello stesso editore per lo stesso anno.</t>
  </si>
  <si>
    <t xml:space="preserve">Valore previsto del mercato europeo della cybersecurity nel 2030 secondo la pagina geografica MarketsandMarkets, crescita composta 8,1%.</t>
  </si>
  <si>
    <t xml:space="preserve">CAGR 2025-2030 8,1%</t>
  </si>
  <si>
    <t xml:space="preserve">The Europe Cybersecurity Market was valued at $29830.8 Million in 2025 and projected to reach to $43999 Million by 2030, representing a compound annual growth</t>
  </si>
  <si>
    <t xml:space="preserve">Letto da estratto indicizzato della pagina. Pubblicato come 43999 milioni.</t>
  </si>
  <si>
    <t xml:space="preserve">MORDOR-CYBEREUR-2026</t>
  </si>
  <si>
    <t xml:space="preserve">Europe Cybersecurity Market Size, Share, Analysis, Trends (2026-2031)</t>
  </si>
  <si>
    <t xml:space="preserve">https://www.mordorintelligence.com/industry-reports/europe-cybersecurity-market</t>
  </si>
  <si>
    <t xml:space="preserve">BFSI share of the Europe cybersecurity market</t>
  </si>
  <si>
    <t xml:space="preserve">Quota del settore bancario e finanziario sul mercato europeo della cybersecurity nel 2025 secondo Mordor Intelligence.</t>
  </si>
  <si>
    <t xml:space="preserve">soluzioni e servizi di cybersecurity, hardware IT generico escluso</t>
  </si>
  <si>
    <t xml:space="preserve">Definizione ricavi in Europa da soluzioni e servizi di cybersecurity, esclusi hardware IT generico e outsourcing non di sicurezza. Stima top-down da segnali di spesa IT e di sicurezza ricondotti a un bacino di domanda, verificata bottom-up con ricavi di vendor e partner e prezzi per utente o dispositivo; interviste primarie.</t>
  </si>
  <si>
    <t xml:space="preserve">By end-user industry, BFSI led with 21.10% of the Europe cybersecurity market size in 2025</t>
  </si>
  <si>
    <t xml:space="preserve">Europe cybersecurity market size, 2025 (base year)</t>
  </si>
  <si>
    <t xml:space="preserve">Dimensione del mercato europeo della cybersecurity nell'anno base 2025 secondo Mordor Intelligence.</t>
  </si>
  <si>
    <t xml:space="preserve">Europe cybersecurity market size in 2026 is estimated at USD 69.82 billion, growing from 2025 value of USD 63.12 billion</t>
  </si>
  <si>
    <t xml:space="preserve">Letto da estratto indicizzato della pagina. Verifica finale 08/10/2026, valore confermato sulla fonte. Valore 2025 dell'anno base confermato nella pagina Mordor.</t>
  </si>
  <si>
    <t xml:space="preserve">Solutions share of the Europe cybersecurity market</t>
  </si>
  <si>
    <t xml:space="preserve">Quota delle soluzioni sul mercato europeo della cybersecurity nel 2025 secondo Mordor Intelligence.</t>
  </si>
  <si>
    <t xml:space="preserve">By offering, solutions held 67.25% of the Europe cybersecurity market share in 2025</t>
  </si>
  <si>
    <t xml:space="preserve">Dimensione stimata del mercato europeo della cybersecurity nel 2026 secondo Mordor Intelligence.</t>
  </si>
  <si>
    <t xml:space="preserve">Europe cybersecurity market size in 2026 is estimated at USD 69.82 billion</t>
  </si>
  <si>
    <t xml:space="preserve">Letto da estratto indicizzato della pagina. Verifica finale 08/10/2026, valore confermato sulla fonte. Stima 2026 confermata nella pagina Mordor.</t>
  </si>
  <si>
    <t xml:space="preserve">Europe cybersecurity market size, 2031</t>
  </si>
  <si>
    <t xml:space="preserve">Dimensione prevista del mercato europeo della cybersecurity nel 2031 secondo Mordor Intelligence, crescita composta 10,62%.</t>
  </si>
  <si>
    <t xml:space="preserve">CAGR 2026-2031 10,62%</t>
  </si>
  <si>
    <t xml:space="preserve">with 2031 projections showing USD 115.66 billion, growing at 10.62% CAGR over 2026-2031.</t>
  </si>
  <si>
    <t xml:space="preserve">Managed services CAGR to 2031</t>
  </si>
  <si>
    <t xml:space="preserve">Crescita annua composta prevista dei servizi gestiti di cybersecurity in Europa fino al 2031 secondo Mordor Intelligence.</t>
  </si>
  <si>
    <t xml:space="preserve">managed services recorded the fastest 13.56% CAGR to 2031.</t>
  </si>
  <si>
    <t xml:space="preserve">MORDOR-SECSERVEUR-2026</t>
  </si>
  <si>
    <t xml:space="preserve">Europe Security Services Market Size &amp; Share Analysis (2026-2031)</t>
  </si>
  <si>
    <t xml:space="preserve">https://www.mordorintelligence.com/industry-reports/europe-security-services-market</t>
  </si>
  <si>
    <t xml:space="preserve">Cyber security services share of Europe security services market</t>
  </si>
  <si>
    <t xml:space="preserve">Quota dei servizi di cybersecurity sul mercato europeo dei servizi di sicurezza nel 2025 secondo Mordor Intelligence.</t>
  </si>
  <si>
    <t xml:space="preserve">Servizi di sicurezza gestiti e professionali, cyber e fisici</t>
  </si>
  <si>
    <t xml:space="preserve">Metodologia proprietaria Mordor (stima top-down verificata bottom-up). Mercato dei servizi di sicurezza che include anche servizi di sicurezza fisica.</t>
  </si>
  <si>
    <t xml:space="preserve">By security domain, cyber security services accounted for 63.12% share of the Europe security services market size in 2025</t>
  </si>
  <si>
    <t xml:space="preserve">Europe security services market size, 2025</t>
  </si>
  <si>
    <t xml:space="preserve">Mercato europeo dei servizi di sicurezza nel 2025 secondo Mordor Intelligence, inclusi servizi di sicurezza fisica.</t>
  </si>
  <si>
    <t xml:space="preserve">Servizi di sicurezza (cyber e fisici)</t>
  </si>
  <si>
    <t xml:space="preserve">The Europe security services market size in 2026 is estimated at USD 19.95 billion, growing from 2025 value of USD 18.87 billion</t>
  </si>
  <si>
    <t xml:space="preserve">Letto da estratto indicizzato della pagina. Perimetro misto cyber e fisico. I servizi cyber valgono il 63,12% del totale. Verifica finale 08/10/2026, valore confermato sulla fonte. Valore 2025 confermato.</t>
  </si>
  <si>
    <t xml:space="preserve">Europe security services market size, 2031</t>
  </si>
  <si>
    <t xml:space="preserve">Mercato europeo dei servizi di sicurezza previsto per il 2031 secondo Mordor Intelligence, crescita composta 5,72%.</t>
  </si>
  <si>
    <t xml:space="preserve">CAGR 2026-2031 5,72%</t>
  </si>
  <si>
    <t xml:space="preserve">with 2031 projections showing USD 26.35 billion, growing at 5.72% CAGR over 2026-2031.</t>
  </si>
  <si>
    <t xml:space="preserve">PAC-CYBEREUR-2025</t>
  </si>
  <si>
    <t xml:space="preserve">PAC (teknowlogy group)</t>
  </si>
  <si>
    <t xml:space="preserve">Le marché européen de la cybersécurité, une croissance sans limite (blog SITSI)</t>
  </si>
  <si>
    <t xml:space="preserve">https://sitsi.pacanalyst.com/le-marche-europeen-de-la-cybersecurite-une-croissance-sans-limite/</t>
  </si>
  <si>
    <t xml:space="preserve">Croissance du marché européen de la cybersécurité, pic 2022</t>
  </si>
  <si>
    <t xml:space="preserve">Crescita del mercato europeo della cybersecurity nel 2022, picco dopo la pandemia secondo PAC.</t>
  </si>
  <si>
    <t xml:space="preserve">Software, piattaforme cloud e servizi di sicurezza, hardware escluso (segmentazione SITSI)</t>
  </si>
  <si>
    <t xml:space="preserve">Dedotta. Il blog non descrive come sono costruiti i valori.</t>
  </si>
  <si>
    <t xml:space="preserve">Non dichiarata nel blog. La segmentazione SITSI esclude l'hardware di sicurezza.</t>
  </si>
  <si>
    <t xml:space="preserve">les investissements ont rebondi avec une croissance encore plus forte, atteignant un pic de 14% en 2022.</t>
  </si>
  <si>
    <t xml:space="preserve">Dépenses en cybersécurité en % des dépenses informatiques globales en Europe</t>
  </si>
  <si>
    <t xml:space="preserve">Quota attuale della spesa in cybersecurity sulla spesa informatica complessiva in Europa secondo PAC.</t>
  </si>
  <si>
    <t xml:space="preserve">PAC estime que les dépenses en cybersécurité représentent environ 8 % des dépenses informatiques globales en Europe.</t>
  </si>
  <si>
    <t xml:space="preserve">Letto da estratto indicizzato della pagina. Pubblicato come circa 8%. Anno non dichiarato (attualmente), registrato l'anno di pubblicazione. Rapporto lato offerta, non confrontabile con le quote autodichiarate di ENISA.</t>
  </si>
  <si>
    <t xml:space="preserve">Taux de croissance moyen après 2025</t>
  </si>
  <si>
    <t xml:space="preserve">Crescita media annua prevista del mercato europeo della cybersecurity dopo il 2025 secondo PAC.</t>
  </si>
  <si>
    <t xml:space="preserve">PAC prévoit un taux de croissance moyen de 10 % après 2025</t>
  </si>
  <si>
    <t xml:space="preserve">Letto da estratto indicizzato della pagina. Periodo successivo al 2025 senza anno finale, registrato sul 2026.</t>
  </si>
  <si>
    <t xml:space="preserve">Dépenses en cybersécurité en % des dépenses informatiques en Europe, 2029</t>
  </si>
  <si>
    <t xml:space="preserve">Quota prevista della spesa in cybersecurity sulla spesa informatica in Europa al 2029 secondo PAC.</t>
  </si>
  <si>
    <t xml:space="preserve">Nous prévoyons que ce ratio augmentera à environ 10 % d'ici 2029.</t>
  </si>
  <si>
    <t xml:space="preserve">EPRS-ENISA-2017</t>
  </si>
  <si>
    <t xml:space="preserve">The European Union Agency for Network and Information Security (ENISA), briefing EPRS</t>
  </si>
  <si>
    <t xml:space="preserve">19/05/2017</t>
  </si>
  <si>
    <t xml:space="preserve">https://www.europarl.europa.eu/RegData/etudes/BRIE/2017/603231/EPRS_BRI(2017)603231_EN.pdf</t>
  </si>
  <si>
    <t xml:space="preserve">European cybersecurity market of products and services protecting organisations</t>
  </si>
  <si>
    <t xml:space="preserve">Mercato europeo dei prodotti e servizi di cybersecurity per le organizzazioni nel 2016, crescita attesa dell'8% annuo fino al 2018.</t>
  </si>
  <si>
    <t xml:space="preserve">Crescita annua 8% fino al 2018</t>
  </si>
  <si>
    <t xml:space="preserve">Prodotti e servizi che proteggono le organizzazioni</t>
  </si>
  <si>
    <t xml:space="preserve">Dedotta. Il briefing riprende stime di terzi senza descriverne la costruzione.</t>
  </si>
  <si>
    <t xml:space="preserve">cybersecurity market of products and services protecting organisations was worth US$22 billion in 2016 and is expected to grow at 8 % per annum</t>
  </si>
  <si>
    <t xml:space="preserve">Letto da estratto indicizzato della pagina. Probabilmente coincide con la stima PwC per l'Europa occidentale (21,5 miliardi USD). Verifica finale 08/10/2026, valore confermato sulla fonte. Valore 2016 confermato.</t>
  </si>
  <si>
    <t xml:space="preserve">ENISA, Annual Activity Report 2015</t>
  </si>
  <si>
    <t xml:space="preserve">Mercato europeo della cybersecurity previsto per il 2018 secondo il rapporto annuale ENISA 2015, citato da EPRS.</t>
  </si>
  <si>
    <t xml:space="preserve">The cybersecurity market size in Europe was estimated to grow from €20.1 billion to €24.4 billion in 2018.</t>
  </si>
  <si>
    <t xml:space="preserve">Letto da estratto indicizzato della pagina. Coincide con la stima ENISA del 2017.</t>
  </si>
  <si>
    <t xml:space="preserve">Market size of Europe (revised figures)</t>
  </si>
  <si>
    <t xml:space="preserve">Dimensione rivista del mercato europeo della cybersecurity fornita da Micro Market Monitor agli autori dello studio EPRS, crescita 7,9% nel 2016-2021.</t>
  </si>
  <si>
    <t xml:space="preserve">CAGR 2016-2021 7,9%</t>
  </si>
  <si>
    <t xml:space="preserve">revised set of figures were provided for the market size of Europe of US$24.75 billion, which will grow by 7.9 % during 2016 to 2021</t>
  </si>
  <si>
    <t xml:space="preserve">Letto da estratto indicizzato della pagina. Anno base 2016 dedotto dal periodo di crescita. La stessa fonte prevedeva in origine 37,38 miliardi USD di spesa privata UE al 2020. Verifica finale 08/10/2026, valore confermato sulla fonte. Nota 48 dello studio EPRS, dato Micro Market Monitor rivisto, crescita riferita al periodo 2016 2021.</t>
  </si>
  <si>
    <t xml:space="preserve">EPRS-STOA-2017</t>
  </si>
  <si>
    <t xml:space="preserve">Parlamento europeo, EPRS (STOA)</t>
  </si>
  <si>
    <t xml:space="preserve">Achieving a sovereign and trustworthy ICT industry in the EU, studio STOA</t>
  </si>
  <si>
    <t xml:space="preserve">https://www.europarl.europa.eu/RegData/etudes/STUD/2017/614531/EPRS_STU(2017)614531_EN.pdf</t>
  </si>
  <si>
    <t xml:space="preserve">ECSO 2016 (documento sul partenariato pubblico-privato contrattuale)</t>
  </si>
  <si>
    <t xml:space="preserve">Mercato europeo della cybersecurity nel 2014 stimato da ECSO, pari a circa il 26% della spesa mondiale, citato da EPRS.</t>
  </si>
  <si>
    <t xml:space="preserve">Prodotti e servizi di sicurezza delle reti e dell'informazione</t>
  </si>
  <si>
    <t xml:space="preserve">Dedotta. Lo studio riprende stime di ECSO e PwC senza descriverne la costruzione.</t>
  </si>
  <si>
    <t xml:space="preserve">The European cybersecurity market, specifically, was estimated at 18.8 billion euro in 2014, accounting for around 26 per cent of worldwide cybersecurity spending.</t>
  </si>
  <si>
    <t xml:space="preserve">Letto da estratto indicizzato della pagina. Perimetro geografico Europa non definito. Verifica finale 08/10/2026, valore confermato sulla fonte. Dato ECSO 2016 citato nello studio STOA.</t>
  </si>
  <si>
    <t xml:space="preserve">European cybersecurity market projection</t>
  </si>
  <si>
    <t xml:space="preserve">Valore previsto del mercato europeo della cybersecurity al 2033 citato nello studio per la commissione ITRE.</t>
  </si>
  <si>
    <t xml:space="preserve">cybersecurity - around EUR 135 billion by 2033 5</t>
  </si>
  <si>
    <t xml:space="preserve">Letto da estratto indicizzato della pagina. Fonte primaria nella nota 5, non leggibile. Verifica finale 08/10/2026, valore confermato sulla fonte. Proiezione europea al 2033 confermata.</t>
  </si>
  <si>
    <t xml:space="preserve">RESEARCHANDMARKETS-CYBEREUR-2026</t>
  </si>
  <si>
    <t xml:space="preserve">Europe Cybersecurity Market Size, Share &amp; Trends Analysis Report, 2026-2033 (rapporto Grand View Research rivenduto)</t>
  </si>
  <si>
    <t xml:space="preserve">https://www.researchandmarkets.com/reports/6241221/europe-cybersecurity-market-size-share-and-trends</t>
  </si>
  <si>
    <t xml:space="preserve">Grand View Research, Europe Cybersecurity Market Report</t>
  </si>
  <si>
    <t xml:space="preserve">Forecasted Market Value (USD) by 2033</t>
  </si>
  <si>
    <t xml:space="preserve">Valore previsto del mercato europeo della cybersecurity al 2033 nella scheda Research and Markets, coincidente con Grand View Research.</t>
  </si>
  <si>
    <t xml:space="preserve">CAGR 10,8%</t>
  </si>
  <si>
    <t xml:space="preserve">Forecasted Market Value (USD) by 2033 $ 160.74 Billion</t>
  </si>
  <si>
    <t xml:space="preserve">Letto da estratto indicizzato della pagina. Duplicato del valore Grand View Research, non è una stima indipendente.</t>
  </si>
  <si>
    <t xml:space="preserve">RESEARCHANDMARKETS-CYBEREUROUTLOOK-2024</t>
  </si>
  <si>
    <t xml:space="preserve">Europe Cyber Security Market Outlook, 2029</t>
  </si>
  <si>
    <t xml:space="preserve">https://www.researchandmarkets.com/reports/5978459/europe-cyber-security-market-outlook</t>
  </si>
  <si>
    <t xml:space="preserve">European cybersecurity market, additional value 2024-2029</t>
  </si>
  <si>
    <t xml:space="preserve">Incremento previsto del mercato europeo della cybersecurity tra 2024 e 2029, oltre 65 miliardi secondo la scheda Research and Markets.</t>
  </si>
  <si>
    <t xml:space="preserve">Dedotta. La scheda non descrive la metodologia.</t>
  </si>
  <si>
    <t xml:space="preserve">Non dichiarata. Anno base 2023, stima 2024, previsione 2029.</t>
  </si>
  <si>
    <t xml:space="preserve">the European cybersecurity market is projected to add more than USD 65 Billion from 2024 to 2029.</t>
  </si>
  <si>
    <t xml:space="preserve">Letto da estratto indicizzato della pagina. Incremento cumulato, non livello. Valore soglia (oltre 65 miliardi). Editore originale non indicato nell'estratto.</t>
  </si>
  <si>
    <t xml:space="preserve">Topic EU Cyber Resilience Act, key insights (Statista Market Insights, aggiornamento 2024)</t>
  </si>
  <si>
    <t xml:space="preserve">https://www.statista.com/topics/12973/eu-cyber-resilience-act/</t>
  </si>
  <si>
    <t xml:space="preserve">Cybersecurity market revenue in Europe 2024</t>
  </si>
  <si>
    <t xml:space="preserve">Ricavi del mercato della cybersecurity in Europa nel 2024 secondo Statista Market Insights, aggiornamento 2024.</t>
  </si>
  <si>
    <t xml:space="preserve">cyber solutions (software e hardware di sicurezza), security services (servizi professionali e gestiti)</t>
  </si>
  <si>
    <t xml:space="preserve">Dedotta. Statista definisce il mercato come ricavi dei vendor primari e lo stima da bilanci delle imprese leader e indicatori macro.</t>
  </si>
  <si>
    <t xml:space="preserve">Statista Market Insights. Ricavi dei vendor primari a prezzi del produttore IVA esclusa, B2C, B2B e B2G. Approccio combinato top-down e bottom-up da bilanci, associazioni e statistiche nazionali; previsioni con ARIMA e lisciamento esponenziale.</t>
  </si>
  <si>
    <t xml:space="preserve">Cybersecurity market revenue in Europe 2024 - 42.37bn EUR</t>
  </si>
  <si>
    <t xml:space="preserve">Letto da estratto indicizzato della pagina. Aggiornamento Statista consultato del 2024 (ID STATISTA-CYBER-2024). Stima per l'anno di pubblicazione. Include B2C, perimetro più ampio dei mercati solo B2B. Verifica finale 08/10/2026, valore confermato sulla fonte. Valore 2024 confermato nella pagina topic di Statista.</t>
  </si>
  <si>
    <t xml:space="preserve">Europe, cybersecurity market revenue 2016-2029 (statistica Statista Market Insights)</t>
  </si>
  <si>
    <t xml:space="preserve">https://www.statista.com/forecasts/1498506/europe-cybersecurity-market-revenue</t>
  </si>
  <si>
    <t xml:space="preserve">Revenue in the cybersecurity market in Europe 2029</t>
  </si>
  <si>
    <t xml:space="preserve">Ricavi del mercato della cybersecurity in Europa previsti oltre 61 miliardi nel 2029, circa 20 miliardi in più rispetto al 2024.</t>
  </si>
  <si>
    <t xml:space="preserve">After the thirteenth consecutive increasing year, the indicator is estimated to exceed 61 billion Euros and therefore a new peak in 2029.</t>
  </si>
  <si>
    <t xml:space="preserve">Letto da estratto indicizzato della pagina. Valore soglia (oltre 61 miliardi). Aggiornamento 2024. Verifica finale 08/10/2026, valore confermato sulla fonte. Valore indicato come soglia minima.</t>
  </si>
  <si>
    <t xml:space="preserve">TECHNAVIO-CYBEREUR-2025</t>
  </si>
  <si>
    <t xml:space="preserve">Technavio</t>
  </si>
  <si>
    <t xml:space="preserve">Cyber Security Market in Europe Growth Analysis, Size and Forecast 2025-2029</t>
  </si>
  <si>
    <t xml:space="preserve">07/08/2025</t>
  </si>
  <si>
    <t xml:space="preserve">https://www.technavio.com/report/europe-cyber-security-market-industry-analysis</t>
  </si>
  <si>
    <t xml:space="preserve">YoY growth 2024-2025 (%)</t>
  </si>
  <si>
    <t xml:space="preserve">Crescita annua del mercato europeo della cybersecurity tra 2024 e 2025 secondo Technavio.</t>
  </si>
  <si>
    <t xml:space="preserve">Dedotta. La metodologia generica indica come fonti primarie produttori, fornitori e canali e come fonti secondarie i bilanci degli operatori.</t>
  </si>
  <si>
    <t xml:space="preserve">Metodologia generica Technavio. Fonti primarie (produttori, fornitori, partner di canale, esperti) e secondarie (riviste, dati pubblici, bilanci), sintesi e triangolazione con modelli e banche dati proprietarie.</t>
  </si>
  <si>
    <t xml:space="preserve">YoY growth 2024-2025(%) 9.4</t>
  </si>
  <si>
    <t xml:space="preserve">Market growth 2025-2029 (incremental)</t>
  </si>
  <si>
    <t xml:space="preserve">Incremento previsto del mercato europeo della cybersecurity tra 2025 e 2029 secondo Technavio, crescita composta 10%.</t>
  </si>
  <si>
    <t xml:space="preserve">CAGR 2024-2029 10%</t>
  </si>
  <si>
    <t xml:space="preserve">Cyber Security market growth will increase by $ 33892.5 mn during 2025-2029.</t>
  </si>
  <si>
    <t xml:space="preserve">Letto da estratto indicizzato della pagina. Incremento cumulato, non livello del mercato. Pubblicato come 33892,5 milioni.</t>
  </si>
  <si>
    <t xml:space="preserve">VOICE-ITAGENDA-2022</t>
  </si>
  <si>
    <t xml:space="preserve">VOICE e.V. (Bundesverband der IT-Anwender) con Metrics</t>
  </si>
  <si>
    <t xml:space="preserve">Trendstudie IT-Agenda 2022 mit Schwerpunktthema IT-Security</t>
  </si>
  <si>
    <t xml:space="preserve">https://www.voice-ev.org/wp-content/uploads/2022/02/VOICE-Metrics-Trendstudie-IT-Agenda-2022-DE-v1-1.pdf</t>
  </si>
  <si>
    <t xml:space="preserve">Anteil von IT-Security-Maßnahmen am gesamten IT-Budget</t>
  </si>
  <si>
    <t xml:space="preserve">Quota media stimata della spesa in IT-Security sul budget IT nel 2022 secondo i decisori IT intervistati da VOICE e Metrics.</t>
  </si>
  <si>
    <t xml:space="preserve">Misure di IT-Security (non specificate)</t>
  </si>
  <si>
    <t xml:space="preserve">Survey online a 186 decisori europei di business e IT (CIO, responsabili IT, acquisti) di 13 settori, 50% imprese da 500 a 5000 addetti, 33% oltre 5000, 18% sotto 500. Quota stimata dai rispondenti, media semplice, nessun riporto all'universo.</t>
  </si>
  <si>
    <t xml:space="preserve">Der Anteil von IT-Security-Maßnahmen am gesamten IT-Budget beträgt 9,6 Prozent.</t>
  </si>
  <si>
    <t xml:space="preserve">Letto da estratto indicizzato della pagina. Quota autodichiarata. La fonte avverte che il valore è un riferimento indicativo che non consente confronti qualificati. Il campione è descritto come europeo (associazione tedesca degli utenti IT); la traccia B lo classifica DACH, ma nell'estratto non compare una limitazione all'area DACH, quindi registrato come EUR. Verifica finale 08/10/2026, valore confermato sulla fonte. Campione dichiarato europeo (186 decisori europei, comunicato VOICE che rinvia al PDF), non limitato a DACH. Nessuna ripartizione per paese negli estratti. Lato Domanda coerente.</t>
  </si>
  <si>
    <t xml:space="preserve">Entwicklung der IT-Security-Budgets 2022 (Durchschnitt)</t>
  </si>
  <si>
    <t xml:space="preserve">Crescita media del budget di IT-Security nel 2022 indicata dai rispondenti, dopo un aumento di circa il 20% anche nel 2021.</t>
  </si>
  <si>
    <t xml:space="preserve">Das Budget für IT-Security ist zum zweiten Mal in Folge um rund 20 Prozent gestiegen. ... Ø +19,9% 2021 2022 Ø +20,9%</t>
  </si>
  <si>
    <t xml:space="preserve">Letto da estratto indicizzato della pagina. Abbinamento di 20,9% al 2022 e di 19,9% al 2021 dedotto dall'ordine dei valori nel grafico; il comunicato parla di un aumento atteso di quasi 21%. Verifica finale 08/10/2026, valore confermato sulla fonte. Crescita media 2021 su 2022 dichiarata dai rispondenti. Campione dichiarato europeo (186 decisori europei, comunicato VOICE), non limitato a DACH, senza ripartizione per paese.</t>
  </si>
  <si>
    <t xml:space="preserve">WEU</t>
  </si>
  <si>
    <t xml:space="preserve">Europa occidentale</t>
  </si>
  <si>
    <t xml:space="preserve">Sub-regione europea</t>
  </si>
  <si>
    <t xml:space="preserve">The security market is still growing (Securex.pl su dati IDC)</t>
  </si>
  <si>
    <t xml:space="preserve">https://securex.pl/en/news/the-security-market-is-still-growing/</t>
  </si>
  <si>
    <t xml:space="preserve">European IT security market 2019, Western Europe</t>
  </si>
  <si>
    <t xml:space="preserve">Spesa in sicurezza IT dell'Europa occidentale nel 2019, oltre il 90% del mercato europeo secondo IDC.</t>
  </si>
  <si>
    <t xml:space="preserve">Over 90% of the European IT security market in 2019 will be spent in Western Europe (USD 24.7 billion)</t>
  </si>
  <si>
    <t xml:space="preserve">Letto da estratto indicizzato della pagina. Data di pubblicazione dell'articolo non dichiarata, dedotta 2019. Verifica finale 08/10/2026, valore confermato sulla fonte. Valore Europa occidentale confermato.</t>
  </si>
  <si>
    <t xml:space="preserve">PwC 2017</t>
  </si>
  <si>
    <t xml:space="preserve">Cybersecurity spending in Western Europe</t>
  </si>
  <si>
    <t xml:space="preserve">Spesa in cybersecurity in Europa occidentale stimata da PwC e citata da EPRS, anno base 2016.</t>
  </si>
  <si>
    <t xml:space="preserve">More recently, PWC estimated cybersecurity spending in Western Europe to be 21.5 billion U.S. dollar (PWC, 2017).</t>
  </si>
  <si>
    <t xml:space="preserve">Letto da estratto indicizzato della pagina. Anno 2016 dedotto dal periodo di crescita 2016-2018 indicato dalla fonte. Verifica finale 08/10/2026, valore confermato sulla fonte. Anno 2016 coerente con la crescita indicata per il periodo 2016 2018.</t>
  </si>
  <si>
    <t xml:space="preserve">Western Europe cybersecurity market, share of services</t>
  </si>
  <si>
    <t xml:space="preserve">Quota dei servizi sul mercato della cybersecurity in Europa occidentale secondo PwC, citata da EPRS.</t>
  </si>
  <si>
    <t xml:space="preserve">The Western Europe cybersecurity market is led by services, which account for 71.1 per cent of the total market.</t>
  </si>
  <si>
    <t xml:space="preserve">Letto da estratto indicizzato della pagina. Anno non dichiarato, associato al 2016. Verifica finale 08/10/2026, valore confermato sulla fonte. Anno non esplicitato, coerente con il dato PWC 2016.</t>
  </si>
  <si>
    <t xml:space="preserve">Cybersecurity spending in Western Europe, forecast</t>
  </si>
  <si>
    <t xml:space="preserve">Spesa in cybersecurity in Europa occidentale prevista per il 2018 da PwC, crescita annua dell'8% nel periodo 2016-2018.</t>
  </si>
  <si>
    <t xml:space="preserve">CAGR 2016-2018 8%</t>
  </si>
  <si>
    <t xml:space="preserve">cybersecurity spending in Western Europe is expected to grow to 25.3 billion U.S. dollar in 2018, at an 8 per cent annual growth rate</t>
  </si>
  <si>
    <t xml:space="preserve">Letto da estratto indicizzato della pagina. Verifica finale 08/10/2026, valore confermato sulla fonte. Previsione PWC citata nello studio.</t>
  </si>
  <si>
    <t xml:space="preserve">DELOITTE-FUTURECYBERDACH-2024</t>
  </si>
  <si>
    <t xml:space="preserve">DACH</t>
  </si>
  <si>
    <t xml:space="preserve">Deloitte (Germania, Austria, Svizzera)</t>
  </si>
  <si>
    <t xml:space="preserve">Global Future of Cyber Survey 2024, analisi DACH</t>
  </si>
  <si>
    <t xml:space="preserve">https://image.marketing.deloitte.de/lib/fe31117075640474771d75/m/1/b1ee40e7-86b3-4de0-9900-dd20c86f2195.pdf</t>
  </si>
  <si>
    <t xml:space="preserve">Anteil Cyber Security am IT-Budget (DACH)</t>
  </si>
  <si>
    <t xml:space="preserve">Quota del budget IT delle grandi imprese DACH destinata alla cybersecurity nel 2024, uguale alla media globale.</t>
  </si>
  <si>
    <t xml:space="preserve">Survey globale a circa 1200 dirigenti di grandi imprese, di cui 101 nell'area DACH. Quote medie del budget IT dedicate alla cybersecurity dichiarate dai rispondenti, nessun riporto all'universo.</t>
  </si>
  <si>
    <t xml:space="preserve">Im Schnitt betragen die IT-Budgets im DACH-Raum jährlich 171 Mio. bis 267 Mio. USD ... Davon werden lokal wie global 19 Prozent für Cyber Security</t>
  </si>
  <si>
    <t xml:space="preserve">Letto da estratto indicizzato della pagina. Quota autodichiarata di grandi imprese (budget IT medi tra 171 e 267 milioni USD), più del doppio di ENISA e VOICE; perimetro del budget cyber non definito. DACH include la Svizzera. Verifica finale 08/10/2026, valore confermato sulla fonte. Survey Deloitte su 101 dirigenti DACH di imprese con oltre 1000 addetti e 500 milioni USD di ricavi. Lato Domanda coerente.</t>
  </si>
  <si>
    <t xml:space="preserve">Erwarteter Zuwachs der Cyberbudgets (DACH)</t>
  </si>
  <si>
    <t xml:space="preserve">Crescita attesa del budget cyber delle grandi imprese DACH secondo la survey Deloitte 2024, superiore al 3% globale.</t>
  </si>
  <si>
    <t xml:space="preserve">Beim Umfang des erwarteten Zuwachses der Cyberbudgets liegen DACH-Unternehmen mit 5 Prozent aber erneut vor den globalen Peers (3 Prozent).</t>
  </si>
  <si>
    <t xml:space="preserve">Letto da estratto indicizzato della pagina. Anno della crescita attesa non dichiarato, registrato 2025. Verifica finale 08/10/2026, valore confermato sulla fonte. Orizzonte del Zuwachs non esplicitato nell'estratto, anno 2025 plausibile per una survey 2024. Stesso campione di 101 dirigenti DACH, lato Domanda coerente.</t>
  </si>
  <si>
    <t xml:space="preserve">IDC-BLOGDACH-2023</t>
  </si>
  <si>
    <t xml:space="preserve">IDC Resource Center, articolo blog sulla spesa ICT nella regione DACH</t>
  </si>
  <si>
    <t xml:space="preserve">https://www.idc.com/resource-center/blog/resource-region/3_223/page/24/</t>
  </si>
  <si>
    <t xml:space="preserve">Annual spending on security in DACH</t>
  </si>
  <si>
    <t xml:space="preserve">Spesa annua in sicurezza nella regione DACH prevista oltre 18,5 miliardi nel 2026, in crescita più rapida della media europea.</t>
  </si>
  <si>
    <t xml:space="preserve">Annual spending on security in DACH is growing faster than the European average and is expected to exceed $18.5 billion in 2026.</t>
  </si>
  <si>
    <t xml:space="preserve">Letto da estratto indicizzato della pagina. Valore soglia (oltre 18,5 miliardi). DACH include la Svizzera, extra UE. Data dedotta dal riferimento a fonti IDC di gennaio 2023.</t>
  </si>
  <si>
    <t xml:space="preserve">KENSAI-CYBERDACH-2026</t>
  </si>
  <si>
    <t xml:space="preserve">KENSAI Cybersecurity</t>
  </si>
  <si>
    <t xml:space="preserve">The DACH Cybersecurity Market in 2026 (blog)</t>
  </si>
  <si>
    <t xml:space="preserve">27/02/2026</t>
  </si>
  <si>
    <t xml:space="preserve">https://gokensai.com/blog/dach-cybersecurity-market-overview-2026/</t>
  </si>
  <si>
    <t xml:space="preserve">Combined DACH cybersecurity market</t>
  </si>
  <si>
    <t xml:space="preserve">Mercato della cybersecurity dell'area DACH previsto nel 2026 secondo il blog di un fornitore, in crescita del 14,2%.</t>
  </si>
  <si>
    <t xml:space="preserve">Variazione 2026 su 2025 14,2%</t>
  </si>
  <si>
    <t xml:space="preserve">Dedotta. Il blog non indica fonte né metodo.</t>
  </si>
  <si>
    <t xml:space="preserve">In 2026, the combined DACH cybersecurity market is projected to reach €18.7 billion, representing a 14.2% year-over-year growth.</t>
  </si>
  <si>
    <t xml:space="preserve">Letto da estratto indicizzato della pagina. Blog commerciale di un fornitore, fonte primaria non indicata. Il valore per la Germania (13,8 miliardi) è superiore a quasi tutte le altre stime. DACH include la Svizzera. Verifica finale 08/10/2026, valore confermato sulla fonte. Valore confermato. L'aggregato DACH include la Svizzera per 3,2 miliardi.</t>
  </si>
  <si>
    <t xml:space="preserve">MARKWIDE-CYBERNORDICS-2026</t>
  </si>
  <si>
    <t xml:space="preserve">NORDICS</t>
  </si>
  <si>
    <t xml:space="preserve">Paesi nordici</t>
  </si>
  <si>
    <t xml:space="preserve">Nordics Cybersecurity Market Size, Share, and Industry Trends</t>
  </si>
  <si>
    <t xml:space="preserve">https://markwideresearch.com/nordics-cybersecurity-market</t>
  </si>
  <si>
    <t xml:space="preserve">Nordics Cybersecurity Market value, 2026</t>
  </si>
  <si>
    <t xml:space="preserve">Valore del mercato della cybersecurity nei paesi nordici nel 2026 secondo MarkWide Research, molto inferiore alle altre stime.</t>
  </si>
  <si>
    <t xml:space="preserve">CAGR 2026-2035 11,40%</t>
  </si>
  <si>
    <t xml:space="preserve">The Nordics Cybersecurity Market valued at $8.7 Billion in 2026 is projected to expand to $22.99 Billion by 2035 advancing at a 11.40% CAGR</t>
  </si>
  <si>
    <t xml:space="preserve">Letto da estratto indicizzato della pagina. Valore circa 40% inferiore a Mordor (14,92 miliardi) per lo stesso anno. Perimetro Nordics con Norvegia e Islanda, extra UE. Verifica finale 08/10/2026, valore confermato sulla fonte. Valore confermato, ma le stesse cifre compaiono nel sito per un mercato non correlato, affidabilità dubbia.</t>
  </si>
  <si>
    <t xml:space="preserve">MORDOR-CYBERNORDICS-2025</t>
  </si>
  <si>
    <t xml:space="preserve">Nordics Cybersecurity Market Size (edizione 2024-2029)</t>
  </si>
  <si>
    <t xml:space="preserve">https://www.mordorintelligence.com/industry-reports/nordics-cybersecurity-market/market-size</t>
  </si>
  <si>
    <t xml:space="preserve">Nordics Cybersecurity Market size, 2024</t>
  </si>
  <si>
    <t xml:space="preserve">Dimensione stimata del mercato della cybersecurity nei paesi nordici nel 2024 nell'edizione precedente Mordor Intelligence.</t>
  </si>
  <si>
    <t xml:space="preserve">Metodologia proprietaria Mordor Intelligence. Stima top-down da segnali di spesa IT e di sicurezza ricondotti a un bacino di domanda, verificata bottom-up con ricavi di vendor e prezzi per volumi; interviste primarie.</t>
  </si>
  <si>
    <t xml:space="preserve">The Nordics Cybersecurity Market size is estimated at USD 12.70 billion in 2024, and is expected to reach USD 19.06 billion by 2029</t>
  </si>
  <si>
    <t xml:space="preserve">Letto da estratto indicizzato della pagina. Edizione con anno base 2023. Perimetro Nordics con Norvegia e Islanda, extra UE. Verifica finale 08/10/2026, valore confermato sulla fonte. Pagina market size Mordor, edizione con orizzonte 2024 2029.</t>
  </si>
  <si>
    <t xml:space="preserve">Nordics Cybersecurity Market size, 2029</t>
  </si>
  <si>
    <t xml:space="preserve">Dimensione prevista del mercato della cybersecurity nei paesi nordici nel 2029 nell'edizione precedente Mordor Intelligence.</t>
  </si>
  <si>
    <t xml:space="preserve">CAGR 2024-2029 8,46%</t>
  </si>
  <si>
    <t xml:space="preserve">expected to reach USD 19.06 billion by 2029, growing at a CAGR of 8.46% during the forecast period (2024-2029).</t>
  </si>
  <si>
    <t xml:space="preserve">Letto da estratto indicizzato della pagina. Perimetro Nordics con Norvegia e Islanda, extra UE. Verifica finale 08/10/2026, valore confermato sulla fonte. Previsione 2029 nella stessa pagina.</t>
  </si>
  <si>
    <t xml:space="preserve">Nordics Cybersecurity Market Size &amp; Share Analysis (2026-2031)</t>
  </si>
  <si>
    <t xml:space="preserve">BFSI share, Nordics cybersecurity market</t>
  </si>
  <si>
    <t xml:space="preserve">Quota del settore bancario e finanziario sul mercato della cybersecurity nei paesi nordici nel 2025 secondo Mordor Intelligence.</t>
  </si>
  <si>
    <t xml:space="preserve">software, servizi e strumenti di sicurezza</t>
  </si>
  <si>
    <t xml:space="preserve">By end-user vertical, BFSI captured 23.10% share of the Nordics cybersecurity market size in 2025</t>
  </si>
  <si>
    <t xml:space="preserve">Letto da estratto indicizzato della pagina. Perimetro Nordics con Norvegia e Islanda, extra UE. Verifica finale 08/10/2026, valore confermato sulla fonte. Quota BFSI confermata.</t>
  </si>
  <si>
    <t xml:space="preserve">Large enterprises share, Nordics cybersecurity market</t>
  </si>
  <si>
    <t xml:space="preserve">Quota delle grandi imprese sul mercato della cybersecurity nei paesi nordici nel 2025 secondo Mordor Intelligence.</t>
  </si>
  <si>
    <t xml:space="preserve">By organisation size, large enterprises held 70.20% of Nordics cybersecurity market share in 2025</t>
  </si>
  <si>
    <t xml:space="preserve">Letto da estratto indicizzato della pagina. Perimetro Nordics con Norvegia e Islanda, extra UE.</t>
  </si>
  <si>
    <t xml:space="preserve">Nordics cybersecurity market size, base year 2025</t>
  </si>
  <si>
    <t xml:space="preserve">Dimensione del mercato della cybersecurity nei paesi nordici nel 2025 secondo Mordor Intelligence.</t>
  </si>
  <si>
    <t xml:space="preserve">Nordics cybersecurity market size in 2026 is estimated at USD 14.92 billion, growing from 2025 value of USD 13.77 billion</t>
  </si>
  <si>
    <t xml:space="preserve">Letto da estratto indicizzato della pagina. Perimetro Nordics con Norvegia e Islanda, extra UE. Verifica finale 08/10/2026, valore confermato sulla fonte. Valore 2025 confermato.</t>
  </si>
  <si>
    <t xml:space="preserve">Nordics cybersecurity market size, 2026</t>
  </si>
  <si>
    <t xml:space="preserve">Dimensione stimata del mercato della cybersecurity nei paesi nordici nel 2026 secondo Mordor Intelligence.</t>
  </si>
  <si>
    <t xml:space="preserve">Nordics cybersecurity market size in 2026 is estimated at USD 14.92 billion</t>
  </si>
  <si>
    <t xml:space="preserve">Letto da estratto indicizzato della pagina. Perimetro Nordics con Norvegia e Islanda, extra UE. Verifica finale 08/10/2026, valore confermato sulla fonte. Valore 2026 confermato.</t>
  </si>
  <si>
    <t xml:space="preserve">Nordics cybersecurity market size, 2031</t>
  </si>
  <si>
    <t xml:space="preserve">Dimensione prevista del mercato della cybersecurity nei paesi nordici nel 2031 secondo Mordor Intelligence, crescita composta 8,36%.</t>
  </si>
  <si>
    <t xml:space="preserve">with 2031 projections showing USD 22.25 billion, growing at 8.36% CAGR over 2026-2031.</t>
  </si>
  <si>
    <t xml:space="preserve">MORGANREED-CYBERNORDICS-2026</t>
  </si>
  <si>
    <t xml:space="preserve">Morgan Reed Insights</t>
  </si>
  <si>
    <t xml:space="preserve">Nordic Cybersecurity Market Size, Share, Growth &amp; Forecast</t>
  </si>
  <si>
    <t xml:space="preserve">https://www.morganreedinsights.com/nordic-cybersecurity-market/</t>
  </si>
  <si>
    <t xml:space="preserve">Nordic Cybersecurity market value, 2026</t>
  </si>
  <si>
    <t xml:space="preserve">Valore del mercato della cybersecurity nei paesi nordici nel 2026 secondo Morgan Reed Insights.</t>
  </si>
  <si>
    <t xml:space="preserve">The Nordic Cybersecurity, valued at $12.8 Billion in 2026, is expected to reach $33.82 Billion by 2035, growing at a CAGR of 11.40%.</t>
  </si>
  <si>
    <t xml:space="preserve">Letto da estratto indicizzato della pagina. Stesso CAGR di MarkWide con base diversa. Perimetro Nordics con Norvegia e Islanda, extra UE. Verifica finale 08/10/2026, valore confermato sulla fonte. Aggregato nordico che include paesi extra UE come la Norvegia.</t>
  </si>
  <si>
    <t xml:space="preserve">VERIFIED-CYBERNORDICS-2025</t>
  </si>
  <si>
    <t xml:space="preserve">Nordics Cybersecurity Market Size And Forecast</t>
  </si>
  <si>
    <t xml:space="preserve">https://www.verifiedmarketresearch.com/product/nordics-cybersecurity-market/</t>
  </si>
  <si>
    <t xml:space="preserve">Dimensione del mercato della cybersecurity nei paesi nordici nel 2024 secondo Verified Market Research.</t>
  </si>
  <si>
    <t xml:space="preserve">Non dichiarata. Anno base 2024, previsione 2026-2032.</t>
  </si>
  <si>
    <t xml:space="preserve">Nordics Cybersecurity Market size was valued at USD 13.2 Billion in 2024 and is expected to reach USD 25.54 Billion by 2032</t>
  </si>
  <si>
    <t xml:space="preserve">Letto da estratto indicizzato della pagina. Perimetro Nordics con Norvegia e Islanda, extra UE. Verifica finale 08/10/2026, valore confermato sulla fonte. Pagina Verified Market Research.</t>
  </si>
  <si>
    <t xml:space="preserve">Nordics Cybersecurity Market size, 2032</t>
  </si>
  <si>
    <t xml:space="preserve">Dimensione prevista del mercato della cybersecurity nei paesi nordici nel 2032 secondo Verified Market Research, crescita composta 8,6%.</t>
  </si>
  <si>
    <t xml:space="preserve">CAGR 2026-2032 8,6%</t>
  </si>
  <si>
    <t xml:space="preserve">expected to reach USD 25.54 Billion by 2032, growing at a CAGR of 8.6% from 2026 to 2032.</t>
  </si>
  <si>
    <t xml:space="preserve">MORDOR-CYBERBENELUX-2025</t>
  </si>
  <si>
    <t xml:space="preserve">BENELUX</t>
  </si>
  <si>
    <t xml:space="preserve">Benelux</t>
  </si>
  <si>
    <t xml:space="preserve">Benelux Cybersecurity Market Size (edizione 2024-2029)</t>
  </si>
  <si>
    <t xml:space="preserve">https://www.mordorintelligence.com/industry-reports/benelux-cybersecurity-market/market-size</t>
  </si>
  <si>
    <t xml:space="preserve">Benelux Cybersecurity Market size, 2024</t>
  </si>
  <si>
    <t xml:space="preserve">Dimensione stimata del mercato della cybersecurity nel Benelux nel 2024 nell'edizione precedente Mordor Intelligence.</t>
  </si>
  <si>
    <t xml:space="preserve">The Benelux Cybersecurity Market size is estimated at USD 4.04 billion in 2024, and is expected to reach USD 5.90 billion by 2029</t>
  </si>
  <si>
    <t xml:space="preserve">Letto da estratto indicizzato della pagina. Verifica finale 08/10/2026, valore confermato sulla fonte. Una versione più recente della stessa pagina riporta 4,36 miliardi USD nel 2025.</t>
  </si>
  <si>
    <t xml:space="preserve">Benelux Cybersecurity Market size, 2029</t>
  </si>
  <si>
    <t xml:space="preserve">Dimensione prevista del mercato della cybersecurity nel Benelux nel 2029 nell'edizione precedente Mordor Intelligence.</t>
  </si>
  <si>
    <t xml:space="preserve">CAGR 2024-2029 7,90%</t>
  </si>
  <si>
    <t xml:space="preserve">expected to reach USD 5.90 billion by 2029, growing at a CAGR of 7.90% during the forecast period (2024-2029).</t>
  </si>
  <si>
    <t xml:space="preserve">Letto da estratto indicizzato della pagina. Verifica finale 08/10/2026, valore confermato sulla fonte. Una versione più recente della stessa pagina riporta 6,38 miliardi USD al 2030.</t>
  </si>
  <si>
    <t xml:space="preserve">MORDOR-CYBERBENELUX-2026</t>
  </si>
  <si>
    <t xml:space="preserve">Benelux Cybersecurity Market Share &amp; Size 2031 Outlook</t>
  </si>
  <si>
    <t xml:space="preserve">https://www.mordorintelligence.com/industry-reports/benelux-cybersecurity-market</t>
  </si>
  <si>
    <t xml:space="preserve">Benelux cybersecurity market size, 2025</t>
  </si>
  <si>
    <t xml:space="preserve">Dimensione del mercato della cybersecurity nel Benelux nel 2025 secondo Mordor Intelligence.</t>
  </si>
  <si>
    <t xml:space="preserve">The Benelux cybersecurity market size is expected to grow from USD 4.36 billion in 2025 to USD 4.68 billion in 2026</t>
  </si>
  <si>
    <t xml:space="preserve">Letto da estratto indicizzato della pagina. Verifica finale 08/10/2026, valore confermato sulla fonte. Valore 2025 confermato, anche come Base Year Market Size.</t>
  </si>
  <si>
    <t xml:space="preserve">BFSI share, Benelux cybersecurity market</t>
  </si>
  <si>
    <t xml:space="preserve">Quota del settore bancario e finanziario sul mercato della cybersecurity nel Benelux nel 2025 secondo Mordor Intelligence.</t>
  </si>
  <si>
    <t xml:space="preserve">By end-use industry, BFSI led with 24.82% of the Benelux cybersecurity market share in 2025</t>
  </si>
  <si>
    <t xml:space="preserve">Large organizations share, Benelux cybersecurity market</t>
  </si>
  <si>
    <t xml:space="preserve">Quota delle grandi organizzazioni sul mercato della cybersecurity nel Benelux nel 2025 secondo Mordor Intelligence.</t>
  </si>
  <si>
    <t xml:space="preserve">By enterprise size, large organizations accounted for 68.43% of the Benelux cybersecurity market size in 2025</t>
  </si>
  <si>
    <t xml:space="preserve">Solutions share, Benelux cybersecurity market</t>
  </si>
  <si>
    <t xml:space="preserve">Quota delle soluzioni sul mercato della cybersecurity nel Benelux nel 2025 secondo Mordor Intelligence.</t>
  </si>
  <si>
    <t xml:space="preserve">By offering, solutions commanded 68.38% of the Benelux cybersecurity market share in 2025</t>
  </si>
  <si>
    <t xml:space="preserve">Benelux cybersecurity market size, 2026</t>
  </si>
  <si>
    <t xml:space="preserve">Dimensione stimata del mercato della cybersecurity nel Benelux nel 2026 secondo Mordor Intelligence.</t>
  </si>
  <si>
    <t xml:space="preserve">Benelux cybersecurity market size, 2031</t>
  </si>
  <si>
    <t xml:space="preserve">Dimensione prevista del mercato della cybersecurity nel Benelux nel 2031 secondo Mordor Intelligence, crescita composta 7,47%.</t>
  </si>
  <si>
    <t xml:space="preserve">CAGR 2026-2031 7,47%</t>
  </si>
  <si>
    <t xml:space="preserve">is forecast to reach USD 6.71 billion by 2031 at 7.47% CAGR over 2026-2031.</t>
  </si>
  <si>
    <t xml:space="preserve">CEE</t>
  </si>
  <si>
    <t xml:space="preserve">Europa centro-orientale</t>
  </si>
  <si>
    <t xml:space="preserve">European IT security market 2019, Central and Eastern Europe</t>
  </si>
  <si>
    <t xml:space="preserve">Spesa in sicurezza IT dell'Europa centro-orientale nel 2019, meno del 10% del mercato europeo secondo IDC.</t>
  </si>
  <si>
    <t xml:space="preserve">less than 10% will be generated by Central and Eastern European countries (USD 2.6 billion).</t>
  </si>
  <si>
    <t xml:space="preserve">Letto da estratto indicizzato della pagina. CEE IDC include paesi extra UE (per esempio Russia e Turchia). Verifica finale 08/10/2026, valore confermato sulla fonte. Valore Europa centro orientale confermato.</t>
  </si>
  <si>
    <t xml:space="preserve">CANALYS-CYBERQ2-2023</t>
  </si>
  <si>
    <t xml:space="preserve">EMEA</t>
  </si>
  <si>
    <t xml:space="preserve">Canalys</t>
  </si>
  <si>
    <t xml:space="preserve">Heightened threat levels drive cybersecurity spending to US$19 billion in Q2 2023 (comunicato)</t>
  </si>
  <si>
    <t xml:space="preserve">https://canalys.com/newsroom/cybersecurity-market-Q2-2023</t>
  </si>
  <si>
    <t xml:space="preserve">EMEA cybersecurity spending growth, Q2 2023</t>
  </si>
  <si>
    <t xml:space="preserve">Crescita annua della spesa in tecnologie di cybersecurity in area EMEA nel secondo trimestre 2023 secondo Canalys.</t>
  </si>
  <si>
    <t xml:space="preserve">Tecnologie di cybersecurity (hardware e software), servizi esclusi</t>
  </si>
  <si>
    <t xml:space="preserve">Dedotta. Canalys misura la spesa con il tracciamento trimestrale dei ricavi dei vendor (Cybersecurity Ecosystems service).</t>
  </si>
  <si>
    <t xml:space="preserve">Stime trimestrali Canalys della spesa in tecnologie di cybersecurity, basate sul tracciamento dei ricavi dei vendor, diretti e tramite canale. Servizi esclusi.</t>
  </si>
  <si>
    <t xml:space="preserve">regional basis, spending remained resilient in North America (+12.6%), which is the next destination of the Canalys Channel Forums (13 to 15 November), EMEA (+11.1%)</t>
  </si>
  <si>
    <t xml:space="preserve">Letto da estratto indicizzato della pagina. Variazione trimestrale su base annua.</t>
  </si>
  <si>
    <t xml:space="preserve">CANALYS-CYBERQ3-2022</t>
  </si>
  <si>
    <t xml:space="preserve">Cybersecurity market grows 16% despite deteriorating economic conditions (comunicato)</t>
  </si>
  <si>
    <t xml:space="preserve">12/12/2022</t>
  </si>
  <si>
    <t xml:space="preserve">https://www.canalys.com/newsroom/cybersecurity-market-share-Q3-2022</t>
  </si>
  <si>
    <t xml:space="preserve">EMEA cybersecurity sales, Q3 2022</t>
  </si>
  <si>
    <t xml:space="preserve">Vendite di tecnologie di cybersecurity in area EMEA nel terzo trimestre 2022 secondo Canalys.</t>
  </si>
  <si>
    <t xml:space="preserve">EMEA sales reached US$5.2 billion, APAC US$2.4 billion and Latin America US$0.6 billion.</t>
  </si>
  <si>
    <t xml:space="preserve">Letto da estratto indicizzato della pagina. Valore trimestrale (terzo trimestre), non annuale. Verifica finale 08/10/2026, valore confermato sulla fonte. Vendite EMEA del terzo trimestre 2022 confermate, valore trimestrale.</t>
  </si>
  <si>
    <t xml:space="preserve">CANALYS-CYBERQ4-2022</t>
  </si>
  <si>
    <t xml:space="preserve">Strong channel sales propel the cybersecurity market to US$20 billion in Q4 2022 (comunicato)</t>
  </si>
  <si>
    <t xml:space="preserve">https://canalys.com/newsroom/cybersecurity-market-2022</t>
  </si>
  <si>
    <t xml:space="preserve">EMEA cybersecurity spending, Q4 2022</t>
  </si>
  <si>
    <t xml:space="preserve">Spesa in tecnologie di cybersecurity in area EMEA nel quarto trimestre 2022, in crescita del 12,9%, secondo Canalys.</t>
  </si>
  <si>
    <t xml:space="preserve">Variazione Q4 2022 su Q4 2021 12,9%</t>
  </si>
  <si>
    <t xml:space="preserve">In Q4 2022 Europe, Middle East and Africa was the second-largest cybersecurity market where pending was up 12.9% to reach US$5.9 billion.</t>
  </si>
  <si>
    <t xml:space="preserve">Letto da estratto indicizzato della pagina. Valore trimestrale. Data di pubblicazione dedotta (inizio 2023). Verifica finale 08/10/2026, valore confermato sulla fonte. Valore del solo quarto trimestre 2022, non annuale.</t>
  </si>
  <si>
    <t xml:space="preserve">MSS market CAGR 2016-2021, EMEA</t>
  </si>
  <si>
    <t xml:space="preserve">Tasso di crescita annuo composto previsto dei servizi gestiti di sicurezza in area EMEA tra 2016 e 2021 secondo Frost &amp; Sullivan.</t>
  </si>
  <si>
    <t xml:space="preserve">and Europe, Middle East &amp; Africa (EMEA) regions alone, the 2016 - 2021 compound annual growth rates (CAGR) are expected to be 17.4% and 14.1%</t>
  </si>
  <si>
    <t xml:space="preserve">WITHSECURE-MSPGUIDE-2026</t>
  </si>
  <si>
    <t xml:space="preserve">WithSecure</t>
  </si>
  <si>
    <t xml:space="preserve">MSP Cybersecurity Buyer's Guide 2026</t>
  </si>
  <si>
    <t xml:space="preserve">https://www.withsecure.com/wp-content/uploads/2026/06/MSP_Buyers_Guide_2026.pdf</t>
  </si>
  <si>
    <t xml:space="preserve">Non indicata nell'estratto (nota 2 del documento)</t>
  </si>
  <si>
    <t xml:space="preserve">Managed security services market, EMEA</t>
  </si>
  <si>
    <t xml:space="preserve">Mercato dei servizi gestiti di sicurezza in area EMEA citato da WithSecure, con crescita del 13%.</t>
  </si>
  <si>
    <t xml:space="preserve">Crescita annua 13%</t>
  </si>
  <si>
    <t xml:space="preserve">Dedotta. Valore ripreso da fonte terza non leggibile.</t>
  </si>
  <si>
    <t xml:space="preserve">In EMEA, the market stands at €7.6 billion with 13% growth2.</t>
  </si>
  <si>
    <t xml:space="preserve">Letto da estratto indicizzato della pagina. Anno non dichiarato, registrato l'anno di pubblicazione. Documento di un vendor. Verifica finale 08/10/2026, corretto Anno di riferimento da 2026 a 2024. Il valore è attribuito a Gartner 2024, non al 2026. La guida lo chiama mercato dei servizi cyber EMEA.</t>
  </si>
  <si>
    <t xml:space="preserve">Titolo</t>
  </si>
  <si>
    <t xml:space="preserve">Edizione</t>
  </si>
  <si>
    <t xml:space="preserve">URL documento</t>
  </si>
  <si>
    <t xml:space="preserve">URL nota metodologica</t>
  </si>
  <si>
    <t xml:space="preserve">Paesi coperti</t>
  </si>
  <si>
    <t xml:space="preserve">Metodologia estesa</t>
  </si>
  <si>
    <t xml:space="preserve">Campione</t>
  </si>
  <si>
    <t xml:space="preserve">Universo</t>
  </si>
  <si>
    <t xml:space="preserve">Definizione di cybersecurity adottata</t>
  </si>
  <si>
    <t xml:space="preserve">Base prezzi</t>
  </si>
  <si>
    <t xml:space="preserve">N. righe in Dati</t>
  </si>
  <si>
    <t xml:space="preserve">Pagine paese sui segmenti della cybersecurity nella Repubblica Ceca</t>
  </si>
  <si>
    <t xml:space="preserve">https://www.6wresearch.com/industry-report/czech-republic-cybersecurity-market</t>
  </si>
  <si>
    <t xml:space="preserve">Pagine prodotto per segmento con valore 2025, previsione 2032 e CAGR. La pagina del mercato totale non mostra valori nell'estratto. Nessuna metodologia.</t>
  </si>
  <si>
    <t xml:space="preserve">Germany Cyber Security Market (2020-2026)</t>
  </si>
  <si>
    <t xml:space="preserve">aggiornamento giugno 2026</t>
  </si>
  <si>
    <t xml:space="preserve">Pagina gratuita; dichiara stime basate su un approccio previsionale proprio validato con dataset di settore a giugno 2026.</t>
  </si>
  <si>
    <t xml:space="preserve">https://www.6wresearch.com/faqs</t>
  </si>
  <si>
    <t xml:space="preserve">Europa (per paese)</t>
  </si>
  <si>
    <t xml:space="preserve">Metodologia generica 6Wresearch. Base dati interna e intelligence commerciale (dati di trade e manifest), ricerca primaria con interviste a esperti, panel e sondaggi, banche dati di bilanci; modelli previsionali proprietari (regressione, ARIMA, curve di adozione, dinamica dei sistemi), dimensionamento bottom-up e top-down, triangolazione delle fonti.</t>
  </si>
  <si>
    <t xml:space="preserve">Non applicabile</t>
  </si>
  <si>
    <t xml:space="preserve">Dollari USA correnti</t>
  </si>
  <si>
    <t xml:space="preserve">Hungary Cyber Security Market e pagine di segmento</t>
  </si>
  <si>
    <t xml:space="preserve">Pagina prodotto con valore di base, previsione e CAGR. Nessuna metodologia nell'estratto.</t>
  </si>
  <si>
    <t xml:space="preserve">Pagina prodotto con valore 2025, previsione 2032 e CAGR. Nessuna metodologia nell'estratto.</t>
  </si>
  <si>
    <t xml:space="preserve">Romania Cybersecurity Market e pagine di segmento</t>
  </si>
  <si>
    <t xml:space="preserve">La pagina cita la banca dati interna dell'editore e approfondimenti di settore, senza altri dettagli.</t>
  </si>
  <si>
    <t xml:space="preserve">Slovakia Cyber Security Market e pagine di segmento</t>
  </si>
  <si>
    <t xml:space="preserve">Pagine prodotto con valore 2025, previsione 2032 e CAGR. Nessuna metodologia.</t>
  </si>
  <si>
    <t xml:space="preserve">6WRESEARCH-METODOLOGIA-2026</t>
  </si>
  <si>
    <t xml:space="preserve">FAQ e Research &amp; Intelligence Methodology</t>
  </si>
  <si>
    <t xml:space="preserve">https://www.6wresearch.com/proprietary-intelligence</t>
  </si>
  <si>
    <t xml:space="preserve">Tutti i paesi coperti dall'editore</t>
  </si>
  <si>
    <t xml:space="preserve">Alliance pour la Confiance Numérique (ACN), con DECISION Etudes &amp; Conseil</t>
  </si>
  <si>
    <t xml:space="preserve">Observatoire de la filière de la Confiance Numérique</t>
  </si>
  <si>
    <t xml:space="preserve">2019 (dati 2018)</t>
  </si>
  <si>
    <t xml:space="preserve">FR (con fatturato mondiale delle imprese francesi)</t>
  </si>
  <si>
    <t xml:space="preserve">Osservatorio annuale dell'associazione ACN realizzato da DECISION Etudes &amp; Conseil dal 2017. Definisce il perimetro della filiera della confiance numérique (cybersecurity prodotti e servizi, sicurezza digitale con identità e sistemi elettronici di fiducia, dal 2025 IA di fiducia) e ne misura il peso economico in Francia e nel mondo, fatturato, valore aggiunto, occupati, export. Dati da una base di imprese della filiera e da questionari ai membri; il fatturato cyber è una quota del totale.</t>
  </si>
  <si>
    <t xml:space="preserve">Base dati di circa 765-2.100 imprese della filiera; questionari ai membri ACN (circa 5% del fatturato nel 2022)</t>
  </si>
  <si>
    <t xml:space="preserve">Circa 2.100 imprese della filiera francese della confiance numérique</t>
  </si>
  <si>
    <t xml:space="preserve">Cybersecurity (prodotti, software e servizi) e sicurezza digitale; dal 2025 IA di fiducia</t>
  </si>
  <si>
    <t xml:space="preserve">Prezzi correnti</t>
  </si>
  <si>
    <t xml:space="preserve">2020 (dati 2019)</t>
  </si>
  <si>
    <t xml:space="preserve">2021 (dati 2020)</t>
  </si>
  <si>
    <t xml:space="preserve">2022 (dati 2021)</t>
  </si>
  <si>
    <t xml:space="preserve">2023 (dati 2022)</t>
  </si>
  <si>
    <t xml:space="preserve">2024 (dati 2023)</t>
  </si>
  <si>
    <t xml:space="preserve">2025 (dati 2024)</t>
  </si>
  <si>
    <t xml:space="preserve">2026 (dati 2025)</t>
  </si>
  <si>
    <t xml:space="preserve">Agoria</t>
  </si>
  <si>
    <t xml:space="preserve">Comunicato di presentazione dell'aggiornamento 2025 dello studio socio-economico Agoria sul settore cyber.</t>
  </si>
  <si>
    <t xml:space="preserve">Agoria, con Ministero della Difesa e CCB</t>
  </si>
  <si>
    <t xml:space="preserve">Socio-economic study on the cybersecurity sector in Belgium (prima edizione), sintesi Agoria</t>
  </si>
  <si>
    <t xml:space="preserve">Prima mappatura socio-economica del settore cyber belga, 441 imprese attive in cybersecurity, fatturato cyber, valore aggiunto, FTE, export, posti vacanti e attese di crescita delle imprese.</t>
  </si>
  <si>
    <t xml:space="preserve">Imprese attive in cybersecurity con sede in Belgio</t>
  </si>
  <si>
    <t xml:space="preserve">Attività di cybersecurity delle imprese censite</t>
  </si>
  <si>
    <t xml:space="preserve">Socio-economic study on the cybersecurity sector in Belgium (aggiornamento)</t>
  </si>
  <si>
    <t xml:space="preserve">Aggiornamento dello studio socio-economico con fatturato, valore aggiunto e FTE 2021-2024 del settore cyber belga (732 imprese e organizzazioni) e proiezione 2025-2030 ottenuta dal centro studi Agoria applicando previsioni Statista, Gartner e IDC.</t>
  </si>
  <si>
    <t xml:space="preserve">Imprese e organizzazioni attive in cybersecurity in Belgio</t>
  </si>
  <si>
    <t xml:space="preserve">Pagina congiunturale Agoria sul settore ICT con stima del mercato cyber belga da cifre Statista, Gartner e IDC e calcoli del centro studi.</t>
  </si>
  <si>
    <t xml:space="preserve">AI Board</t>
  </si>
  <si>
    <t xml:space="preserve">Studio a pagamento con valore 2025, crescita storica 2018-2025 e previsione al 2030 per la Romania. La pagina prodotto non descrive il metodo.</t>
  </si>
  <si>
    <t xml:space="preserve">2019-2029</t>
  </si>
  <si>
    <t xml:space="preserve">Nota metodologica generica del rapporto Il Digitale in Italia. Analisi primaria con interviste trimestrali dirette e telefoniche, condotte da NetConsulting cube con questionario approvato da Anitec-Assinform, a un panel di almeno 400 fornitori ICT classificati per segmento, e interviste ad almeno 5.000 aziende utenti (circa 1.000 grandi e 4.000 minori) rivolte ai responsabili SI e CIO per verificare strategie. Analisi secondaria su fonti bibliografiche. Il mercato è misurato come spesa dell'utente finale. Nessun dettaglio specifico per il mercato cybersecurity.</t>
  </si>
  <si>
    <t xml:space="preserve">Panel di almeno 400 fornitori ICT e almeno 5.000 aziende utenti</t>
  </si>
  <si>
    <t xml:space="preserve">Mercato digitale italiano, settori di utenza privati e pubblici</t>
  </si>
  <si>
    <t xml:space="preserve">Security hardware, security software, servizi MSS e cloud security, consulenza, altri servizi (system integration, risk assessment, penetration test, formazione)</t>
  </si>
  <si>
    <t xml:space="preserve">Prezzi correnti, spesa dell'utente finale (dichiarato per il mercato digitale)</t>
  </si>
  <si>
    <t xml:space="preserve">APPSEC (indagine Ipsos)</t>
  </si>
  <si>
    <t xml:space="preserve">Indagine Ipsos per APPSEC sui budget di cybersecurity delle imprese ceche</t>
  </si>
  <si>
    <t xml:space="preserve">Comunicato di un fornitore di sicurezza su un'indagine Ipsos presso responsabili IT. Riporta la distribuzione delle imprese per classe di budget annuo di cybersecurity e per regione.</t>
  </si>
  <si>
    <t xml:space="preserve">Responsabili IT di imprese ceche, numerosità non letta</t>
  </si>
  <si>
    <t xml:space="preserve">1050 rispondenti con ruolo decisionale o consultivo IT</t>
  </si>
  <si>
    <t xml:space="preserve">https://www.bancaditalia.it/statistiche/basi-dati/bird/imprese-industriali-e-servizi/questionario-indagine-imprese/documenti/2016/Quest_16_ind_50ol.pdf</t>
  </si>
  <si>
    <t xml:space="preserve">Imprese del campione Invind 2016</t>
  </si>
  <si>
    <t xml:space="preserve">Imprese dell'industria in senso stretto e dei servizi privati non finanziari con almeno 20 addetti</t>
  </si>
  <si>
    <t xml:space="preserve">Spesa per tutelarsi dal rischio di attacchi informatici, incluse retribuzioni del personale interno preposto, consulenti esterni e outsourcing</t>
  </si>
  <si>
    <t xml:space="preserve">BDO Nederland, Deal Advisory</t>
  </si>
  <si>
    <t xml:space="preserve">Luglio 2026</t>
  </si>
  <si>
    <t xml:space="preserve">Mondo, Europa; focus DE, NL, BE</t>
  </si>
  <si>
    <t xml:space="preserve">Studio di mercato e M&amp;A di BDO Deal Advisory. Serie del mercato globale (142,5-248,5 miliardi di euro 2022-2030) ed europeo (35,0-61,6 miliardi, CAGR 7,3%) con quote soluzioni e servizi, attribuita a BDO Centers analysis; altri grafici citano Statista, IDC con KPMG, PwC e ITU. Riprende anche il dato ECSO sulle 7000 imprese cyber UE. Metodologia di stima non descritta.</t>
  </si>
  <si>
    <t xml:space="preserve">Security solutions e security services</t>
  </si>
  <si>
    <t xml:space="preserve">Euro correnti</t>
  </si>
  <si>
    <t xml:space="preserve">BDO (Paesi Bassi)</t>
  </si>
  <si>
    <t xml:space="preserve">luglio 2026</t>
  </si>
  <si>
    <t xml:space="preserve">Mondo, Europa, DE, NL, BE</t>
  </si>
  <si>
    <t xml:space="preserve">Rapporto di market research di BDO con dimensione del mercato globale, europeo e di Germania, Paesi Bassi e Belgio 2022-2030, ripartita tra servizi e soluzioni di sicurezza, e analisi di operatori e operazioni M&amp;A. Metodologia non descritta nell'estratto.</t>
  </si>
  <si>
    <t xml:space="preserve">Security services e security solutions (protezione infrastrutture, applicazioni, dati, cloud, altro software incluso IAM)</t>
  </si>
  <si>
    <t xml:space="preserve">Bitkom e.V. (dati IDC)</t>
  </si>
  <si>
    <t xml:space="preserve">Digitalbranche wächst - aber nicht überall</t>
  </si>
  <si>
    <t xml:space="preserve">Halbjahres-Konjunktur 2024</t>
  </si>
  <si>
    <t xml:space="preserve">Comunicati stampa congiunturali Bitkom sul mercato ITK tedesco, con dati elaborati da Bitkom Research con IDC. Il segmento Sicherheitssoftware rientra nel software di infrastruttura; Sicherheitstechnologien o Security Appliances nell'hardware IT. Metodologia di stima non dichiarata.</t>
  </si>
  <si>
    <t xml:space="preserve">Segmenti software di sicurezza e tecnologie di sicurezza del mercato IT</t>
  </si>
  <si>
    <t xml:space="preserve">Digitalbranche wächst um 4,6 Prozent</t>
  </si>
  <si>
    <t xml:space="preserve">Jahres-Pressekonferenz 2025</t>
  </si>
  <si>
    <t xml:space="preserve">Segmento software di sicurezza del mercato IT</t>
  </si>
  <si>
    <t xml:space="preserve">Rekordjahr im Markt für IT-Sicherheit</t>
  </si>
  <si>
    <t xml:space="preserve">it-sa 2019</t>
  </si>
  <si>
    <t xml:space="preserve">Comunicato stampa Bitkom diffuso all'apertura della fiera it-sa. Dichiara soltanto che i numeri si basano su calcoli e studi della società di analisi IDC. Nessun dettaglio su universo, clienti inclusi, prezzi o passaggi di stima.</t>
  </si>
  <si>
    <t xml:space="preserve">Hardware, software e servizi nel campo della sicurezza IT (Hardware, Software und Services im Bereich IT-Sicherheit).</t>
  </si>
  <si>
    <t xml:space="preserve">Markt für IT-Sicherheit auf Allzeithoch</t>
  </si>
  <si>
    <t xml:space="preserve">it-sa 2020</t>
  </si>
  <si>
    <t xml:space="preserve">Markt für IT-Sicherheit bricht erneut Umsatzrekord</t>
  </si>
  <si>
    <t xml:space="preserve">it-sa 2021</t>
  </si>
  <si>
    <t xml:space="preserve">7,8 Milliarden Euro: Markt für IT-Sicherheit wächst 2022 um 13 Prozent</t>
  </si>
  <si>
    <t xml:space="preserve">it-sa 2022</t>
  </si>
  <si>
    <t xml:space="preserve">Markt für IT-Sicherheit wächst auf mehr als 9 Milliarden Euro</t>
  </si>
  <si>
    <t xml:space="preserve">it-sa 2023</t>
  </si>
  <si>
    <t xml:space="preserve">Cybersicherheit, Deutscher Markt erstmals über 10-Milliarden-Marke (comunicato)</t>
  </si>
  <si>
    <t xml:space="preserve">Febbraio 2024</t>
  </si>
  <si>
    <t xml:space="preserve">DE, resto d'Europa, resto del mondo, DE (con totale mondiale)</t>
  </si>
  <si>
    <t xml:space="preserve">Prognosi Bitkom sul mercato della sicurezza IT in Germania, nel resto d'Europa e nel resto del mondo basata su dati IDC (Worldwide ICT Spending Guide Enterprise and SMB by Industry, febbraio 2024, e Semiannual Services Tracker con segmentazione sicurezza 2023 H1). Segmenti software, servizi e hardware di sicurezza.</t>
  </si>
  <si>
    <t xml:space="preserve">Spesa in sicurezza IT</t>
  </si>
  <si>
    <t xml:space="preserve">Hardware, software e servizi di sicurezza IT secondo IDC</t>
  </si>
  <si>
    <t xml:space="preserve">Deutscher Markt für IT-Sicherheit wächst zweistellig (comunicato)</t>
  </si>
  <si>
    <t xml:space="preserve">DE, resto d'Europa, resto del mondo, DE (con quote Europa senza Germania e resto del mondo)</t>
  </si>
  <si>
    <t xml:space="preserve">Prognosi Bitkom sul mercato della sicurezza IT 2025 basata su dati PAC. Mercato mondiale 212,2 miliardi di euro, quota tedesca 5,3%, resto d'Europa 20,5%, crescita del resto d'Europa 10,9%. Cambio di fonte rispetto all'edizione 2024 basata su IDC.</t>
  </si>
  <si>
    <t xml:space="preserve">Software, cloud platform e servizi di sicurezza secondo PAC</t>
  </si>
  <si>
    <t xml:space="preserve">Cybersicherheit: Deutscher Markt erstmals über 10-Milliarden-Marke</t>
  </si>
  <si>
    <t xml:space="preserve">Münchner Sicherheitskonferenz, febbraio 2024</t>
  </si>
  <si>
    <t xml:space="preserve">DE (con totali per resto d'Europa e resto del mondo)</t>
  </si>
  <si>
    <t xml:space="preserve">Comunicato Bitkom che dichiara come basi IDC Worldwide ICT Spending Guide Enterprise and SMB by Industry (febbraio 2024, V1) e IDC Semiannual Services Tracker Forecast Security Segmentation 2023 H1. Passaggi di stima e perimetro dei clienti non dichiarati.</t>
  </si>
  <si>
    <t xml:space="preserve">Software, servizi e hardware di sicurezza IT.</t>
  </si>
  <si>
    <t xml:space="preserve">Wirtschaftsschutz 2025</t>
  </si>
  <si>
    <t xml:space="preserve">Studio annuale Wirtschaftsschutz di Bitkom Research. Intervista telefonica CATI rappresentativa a dirigenti responsabili della sicurezza aziendale, soprattutto area IT. Domanda sulla quota stimata del budget per la sicurezza IT sul budget IT complessivo, con classi e media. Errore statistico +/- 3 punti sul campione totale.</t>
  </si>
  <si>
    <t xml:space="preserve">1.002 imprese (CATI), settimane 16-24 del 2025</t>
  </si>
  <si>
    <t xml:space="preserve">Imprese in Germania con almeno 10 addetti e fatturato annuo di almeno 1 milione di euro</t>
  </si>
  <si>
    <t xml:space="preserve">Budget per la sicurezza IT come quota del budget IT</t>
  </si>
  <si>
    <t xml:space="preserve">Non applicabile (quota)</t>
  </si>
  <si>
    <t xml:space="preserve">Wirtschaftsschutz 2026</t>
  </si>
  <si>
    <t xml:space="preserve">https://www.bitkom.org/Bitkom/Publikationen/Wirtschaftsschutz</t>
  </si>
  <si>
    <t xml:space="preserve">1.003 imprese (CATI), 2026</t>
  </si>
  <si>
    <t xml:space="preserve">Budget per la sicurezza IT (IT-Sicherheit) come quota del budget IT</t>
  </si>
  <si>
    <t xml:space="preserve">Assessment report spending reviews</t>
  </si>
  <si>
    <t xml:space="preserve">Rapporto di valutazione delle spending review completate; per la cybersecurity riporta scenari di spesa federale 2022-2027 a politica invariata e con strategia trasversale, derivati dal deep dive su sette organizzazioni.</t>
  </si>
  <si>
    <t xml:space="preserve">Amministrazione federale belga</t>
  </si>
  <si>
    <t xml:space="preserve">Spese di cybersecurity federali</t>
  </si>
  <si>
    <t xml:space="preserve">Spending review Cybersécurité, rapport DEFI-PUBLI</t>
  </si>
  <si>
    <t xml:space="preserve">Spending review federale decisa dal Consiglio dei ministri nel 2022. Fase 1, questionario a tutti gli enti federali sulle spese cyber 2022 e analisi di circa 18.000 righe di spesa FEDCOM del primo semestre 2022. Fase 2, approfondimento su sette organizzazioni con questionario quantitativo 2020-2026 per personale, funzionamento e investimento e questionario di maturità CyFun.</t>
  </si>
  <si>
    <t xml:space="preserve">Enti federali rispondenti; sette organizzazioni nel deep dive (cinque rispondenti)</t>
  </si>
  <si>
    <t xml:space="preserve">Spese di cybersecurity escluse sicurezza fisica, perimetrale e altra sicurezza</t>
  </si>
  <si>
    <t xml:space="preserve">pagina consultata 2026</t>
  </si>
  <si>
    <t xml:space="preserve">Scheda istituzionale dell'agenzia con il bilancio annuale. Nessuna nota metodologica.</t>
  </si>
  <si>
    <t xml:space="preserve">Bilancio dell'agenzia federale per la sicurezza informatica</t>
  </si>
  <si>
    <t xml:space="preserve">Jeder dritte Euro im Innenetat für die Bundespolizei</t>
  </si>
  <si>
    <t xml:space="preserve">Haushalt 2025, Einzelplan 06</t>
  </si>
  <si>
    <t xml:space="preserve">Resoconto parlamentare del progetto di bilancio 2025 del Ministero federale dell'Interno con le voci per agenzia, incluso il BSI. Dati di stanziamento.</t>
  </si>
  <si>
    <t xml:space="preserve">Spesa del BSI nel bilancio federale</t>
  </si>
  <si>
    <t xml:space="preserve">Bundestag genehmigt 15,76 Milliarden Euro für das Innenministerium</t>
  </si>
  <si>
    <t xml:space="preserve">Haushalt 2026, Einzelplan 06</t>
  </si>
  <si>
    <t xml:space="preserve">Resoconto parlamentare dell'approvazione del bilancio 2026 del Ministero federale dell'Interno, con la spesa prevista per il BSI nel progetto di bilancio.</t>
  </si>
  <si>
    <t xml:space="preserve">Appropriation Accounts 2023</t>
  </si>
  <si>
    <t xml:space="preserve">Appropriation Accounts 2025</t>
  </si>
  <si>
    <t xml:space="preserve">Canalys (ora Omdia)</t>
  </si>
  <si>
    <t xml:space="preserve">Heightened threat levels drive cybersecurity spending to US$19 billion in Q2 2023</t>
  </si>
  <si>
    <t xml:space="preserve">https://www.trendmicro.com/content/dam/trendmicro/global/en/core/docs/report/rpt-canalys-globalcybersecurity_matrix.pdf</t>
  </si>
  <si>
    <t xml:space="preserve">Mondo e regioni (EMEA)</t>
  </si>
  <si>
    <t xml:space="preserve">Stime trimestrali Canalys della spesa in tecnologie di cybersecurity (hardware e software), basate sui dati di tracciamento trimestrale dei ricavi dei vendor del servizio Cybersecurity Ecosystems, con distinzione tra vendite dirette e tramite canale e per regione. I servizi di sicurezza sono stimati separatamente.</t>
  </si>
  <si>
    <t xml:space="preserve">Vendor di cybersecurity tracciati</t>
  </si>
  <si>
    <t xml:space="preserve">Tecnologie di cybersecurity, servizi esclusi</t>
  </si>
  <si>
    <t xml:space="preserve">Cybersecurity market grows 16% despite deteriorating economic conditions</t>
  </si>
  <si>
    <t xml:space="preserve">Strong channel sales propel the cybersecurity market to US$20 billion in Q4 2022</t>
  </si>
  <si>
    <t xml:space="preserve">CARNET (NKS)</t>
  </si>
  <si>
    <t xml:space="preserve">Poziv za ulaganja u kibernetičku sigurnost MSP-ova</t>
  </si>
  <si>
    <t xml:space="preserve">Articolo sul bando in consultazione con dotazione, importi minimi e massimi e attività ammissibili.</t>
  </si>
  <si>
    <t xml:space="preserve">Prezzi correnti in EUR</t>
  </si>
  <si>
    <t xml:space="preserve">https://www.cbi.eu/sites/default/files/pdf/research/1876.pdf</t>
  </si>
  <si>
    <t xml:space="preserve">Europa; valori per UK, DE, FR, NL, SE, PL</t>
  </si>
  <si>
    <t xml:space="preserve">Studio di mercato per esportatori di paesi in via di sviluppo. Valore europeo (67 miliardi di euro nel 2025, 172 al 2033) senza fonte esplicita nell'estratto; tabella per sei paesi ripresa da statistiche Statista.</t>
  </si>
  <si>
    <t xml:space="preserve">CBN - Pannoff, Stoytcheff &amp; Co.</t>
  </si>
  <si>
    <t xml:space="preserve">ИТърг, база с данни за търговете за ИТ по ЗОП в България</t>
  </si>
  <si>
    <t xml:space="preserve">25a edizione, 2025</t>
  </si>
  <si>
    <t xml:space="preserve">Banca dati annuale degli appalti IT secondo la legge bulgara sugli appalti pubblici, con committenti, aggiudicatari, oggetto e valore dei contratti. Il dato cyber somma i contratti con oggetto diretto soluzioni di cybersecurity.</t>
  </si>
  <si>
    <t xml:space="preserve">Appalti pubblici IT in Bulgaria</t>
  </si>
  <si>
    <t xml:space="preserve">Prezzi correnti in BGN</t>
  </si>
  <si>
    <t xml:space="preserve">Publication 10 ans du CCB</t>
  </si>
  <si>
    <t xml:space="preserve">Pubblicazione istituzionale per il decennale del CCB con organico e bilancio di funzionamento.</t>
  </si>
  <si>
    <t xml:space="preserve">CESIN</t>
  </si>
  <si>
    <t xml:space="preserve">Baromètre de la cybersécurité des entreprises</t>
  </si>
  <si>
    <t xml:space="preserve">vague 11, gennaio 2026</t>
  </si>
  <si>
    <t xml:space="preserve">Survey annuale ai membri del CESIN (responsabili della sicurezza di grandi organizzazioni) su minacce, misure e budget; quota del budget IT dedicata alla sicurezza rilevata per classi.</t>
  </si>
  <si>
    <t xml:space="preserve">397 rispondenti (vague 11)</t>
  </si>
  <si>
    <t xml:space="preserve">Membri CESIN, responsabili della sicurezza delle informazioni di imprese francesi</t>
  </si>
  <si>
    <t xml:space="preserve">Quota del budget IT o digitale dedicata alla sicurezza</t>
  </si>
  <si>
    <t xml:space="preserve">22 gruppi bancari e 30 banche</t>
  </si>
  <si>
    <t xml:space="preserve">Gruppi bancari italiani, il campione rappresenta il 92% del totale attivo</t>
  </si>
  <si>
    <t xml:space="preserve">Cash out per la sicurezza IT</t>
  </si>
  <si>
    <t xml:space="preserve">https://www.cipa.it/rilevazioni/economiche/2024/index.html</t>
  </si>
  <si>
    <t xml:space="preserve">23 gruppi bancari e 32 banche</t>
  </si>
  <si>
    <t xml:space="preserve">Cash out per la sicurezza IT, incluse componenti stimate</t>
  </si>
  <si>
    <t xml:space="preserve">Non determinabile; Offerta (fornitori)</t>
  </si>
  <si>
    <t xml:space="preserve">Bottom-up; Ripreso da altra fonte</t>
  </si>
  <si>
    <t xml:space="preserve">Survey a 641 PMI con il supporto di IAPMEI per la domanda, ORBIS Europe per l'offerta</t>
  </si>
  <si>
    <t xml:space="preserve">Imprese attive nei CAE 62 e 63 (5.717), gruppo nucleare di 144 imprese cyber</t>
  </si>
  <si>
    <t xml:space="preserve">Imprese il cui fatturato deriva in larga misura da servizi di cybersecurity</t>
  </si>
  <si>
    <t xml:space="preserve">B; D</t>
  </si>
  <si>
    <t xml:space="preserve">Entità NIS del campione portoghese ENISA</t>
  </si>
  <si>
    <t xml:space="preserve">Spesa cyber delle organizzazioni secondo ENISA NIS Investments</t>
  </si>
  <si>
    <t xml:space="preserve">Conseil national de l'industrie, Comité stratégique de filière Industries de sécurité</t>
  </si>
  <si>
    <t xml:space="preserve">Contratto di filiera tra Stato e industria della sicurezza; riporta il peso della cybersecurity nel fatturato della filiera nel 2021. Fonte dei dati non indicata nell'estratto.</t>
  </si>
  <si>
    <t xml:space="preserve">Cybersecurity Market Report (tabelle regionali e paese)</t>
  </si>
  <si>
    <t xml:space="preserve">Mondo, Europa e paesi europei (UK, DE, FR, IT, ES, SE, DK, LU e altri)</t>
  </si>
  <si>
    <t xml:space="preserve">Scheda di rapporto con anno base 2024, storico 2021-2024, stima 2025 e previsione 2025-2033. Metodologia non reperita.</t>
  </si>
  <si>
    <t xml:space="preserve">Cybersecurity Software Market Analysis 2026</t>
  </si>
  <si>
    <t xml:space="preserve">Mondo, Europa e paesi europei</t>
  </si>
  <si>
    <t xml:space="preserve">Scheda di rapporto sul software di cybersecurity. Metodologia non reperita. Valori europei del solo software vicini al totale di mercato dello stesso editore.</t>
  </si>
  <si>
    <t xml:space="preserve">Domanda (end user); Misto</t>
  </si>
  <si>
    <t xml:space="preserve">1.500 PMI italiane</t>
  </si>
  <si>
    <t xml:space="preserve">Piccole e medie imprese italiane</t>
  </si>
  <si>
    <t xml:space="preserve">Pubblico; Solo citato da terzi</t>
  </si>
  <si>
    <t xml:space="preserve">Mondo, Europa, NL, BE, DE</t>
  </si>
  <si>
    <t xml:space="preserve">Articolo che sintetizza il rapporto BDO sul mercato globale ed europeo della cybersecurity con valori per Paesi Bassi, Belgio e Germania.</t>
  </si>
  <si>
    <t xml:space="preserve">Cyberbezpieczne Wodociągi, lista rankingowa e rozstrzygnięcie konkursu</t>
  </si>
  <si>
    <t xml:space="preserve">Esito del bando KPO C3.1.1 per gli operatori del servizio idrico. Riporta domande ricevute, progetti valutati positivamente, dotazione iniziale e finale del bando.</t>
  </si>
  <si>
    <t xml:space="preserve">Soggetti del sistema nazionale di cybersecurity del settore idrico e fognario</t>
  </si>
  <si>
    <t xml:space="preserve">Prezzi correnti in PLN</t>
  </si>
  <si>
    <t xml:space="preserve">Българска фондация за киберсигурност (CSF.BG)</t>
  </si>
  <si>
    <t xml:space="preserve">Заплати в киберсигурността в България</t>
  </si>
  <si>
    <t xml:space="preserve">https://csf.bg/zaplati</t>
  </si>
  <si>
    <t xml:space="preserve">Pagina della fondazione che riepiloga dimensione e previsione del mercato bulgaro senza indicare la fonte.</t>
  </si>
  <si>
    <t xml:space="preserve">632 imprese sull'isola, survey web con 76-82 risposte</t>
  </si>
  <si>
    <t xml:space="preserve">Imprese cyber attive in Irlanda e Irlanda del Nord</t>
  </si>
  <si>
    <t xml:space="preserve">Imprese che offrono prodotti, servizi o R&amp;S di cybersecurity</t>
  </si>
  <si>
    <t xml:space="preserve">Snapshot 2024</t>
  </si>
  <si>
    <t xml:space="preserve">535 imprese</t>
  </si>
  <si>
    <t xml:space="preserve">Settore cyber irlandese</t>
  </si>
  <si>
    <t xml:space="preserve">489 imprese</t>
  </si>
  <si>
    <t xml:space="preserve">Imprese che offrono prodotti o servizi di cybersecurity in Irlanda</t>
  </si>
  <si>
    <t xml:space="preserve">Imprese che offrono prodotti o servizi di cybersecurity o impiegano personale in operazioni cyber</t>
  </si>
  <si>
    <t xml:space="preserve">Rapporto associativo che riprende valori di mercato attribuiti a IDC senza indicare il documento IDC né il metodo.</t>
  </si>
  <si>
    <t xml:space="preserve">Държавна агенция Електронно управление</t>
  </si>
  <si>
    <t xml:space="preserve">Изграждане на елементи от национална система за киберсигурност</t>
  </si>
  <si>
    <t xml:space="preserve">Scheda di progetto con valore totale, fonti di finanziamento e durata.</t>
  </si>
  <si>
    <t xml:space="preserve">Пътна карта към Актуализирана Национална стратегия за киберсигурност</t>
  </si>
  <si>
    <t xml:space="preserve">Tabella di marcia della strategia nazionale con portafoglio di progetti per fase, istituzione responsabile e fabbisogno finanziario per fase.</t>
  </si>
  <si>
    <t xml:space="preserve">Pagina prodotto con valore 2024, previsione 2032 e CAGR, internamente incoerente.</t>
  </si>
  <si>
    <t xml:space="preserve">1.854 operatori di cybersecurity in Spagna (gennaio 2023)</t>
  </si>
  <si>
    <t xml:space="preserve">Vendite di software e hardware di sicurezza e ricavi da prestazione di servizi di cybersecurity in Spagna</t>
  </si>
  <si>
    <t xml:space="preserve">1.840 operatori di cybersecurity in Spagna (settembre 2024)</t>
  </si>
  <si>
    <t xml:space="preserve">Statistica ufficiale annuale. Survey telefonica casuale e rappresentativa alle imprese britanniche (esclusi lavoratori autonomi, agricoltura, silvicoltura e pesca) e agli enti benefici. Domanda sull'investimento in cybersecurity dell'ultimo esercizio, con risposte numeriche o per classi imputate, risultati ponderati. Medie e mediane per classe dimensionale. Le domande sulla spesa sono state eliminate dall'edizione 2020 per ampi margini di errore.</t>
  </si>
  <si>
    <t xml:space="preserve">1.008 imprese (812 con risposta sulla spesa)</t>
  </si>
  <si>
    <t xml:space="preserve">Imprese del Regno Unito</t>
  </si>
  <si>
    <t xml:space="preserve">Spesa per attività e progetti di prevenzione o identificazione di violazioni</t>
  </si>
  <si>
    <t xml:space="preserve">1.209 imprese nella tabella sulla spesa</t>
  </si>
  <si>
    <t xml:space="preserve">1.519 imprese e 569 enti benefici, 1.142 imprese nella tabella sulla spesa</t>
  </si>
  <si>
    <t xml:space="preserve">https://assets.publishing.service.gov.uk/media/5ff5c7278fa8f53b790e7363/Cyber_Security_Breaches_Survey_2019_-_Technical_Annex_V2.pdf</t>
  </si>
  <si>
    <t xml:space="preserve">1.272 imprese nella tabella sulla spesa</t>
  </si>
  <si>
    <t xml:space="preserve">Software, hardware, salari del personale, outsourcing, formazione per prevenire o identificare violazioni, esclusi ripristino e riparazione</t>
  </si>
  <si>
    <t xml:space="preserve">Edizione di base (dati 2015/16)</t>
  </si>
  <si>
    <t xml:space="preserve">Studio annuale commissionato dal governo (Ipsos con Perspective Economics, glass.ai e CSIT di Queen's University Belfast dal 2020, RSM nel 2018). Identificazione delle imprese con presenza registrata presso Companies House e attività commerciale attiva, tramite registri, web data e IA con revisione manuale. Ricavi cyber da bilanci delle imprese dedicate, quota cyber delle diversificate, survey annuale ai fornitori, ricavi per addetto per classe dimensionale dove mancano i dati. GVA da bilanci (profitti operativi più costo del lavoro) e stime per addetto. Solo ricavi attribuibili alla cybersecurity, export incluso. Esclusi enti benefici, università, reti e contrattisti individuali.</t>
  </si>
  <si>
    <t xml:space="preserve">846 imprese identificate</t>
  </si>
  <si>
    <t xml:space="preserve">Imprese che offrono prodotti o servizi di cybersecurity nel Regno Unito</t>
  </si>
  <si>
    <t xml:space="preserve">Imprese che offrono prodotti o servizi di cybersecurity al mercato, dedicate o diversificate, in assenza di un codice SIC specifico</t>
  </si>
  <si>
    <t xml:space="preserve">2020 (esercizio 2017/18)</t>
  </si>
  <si>
    <t xml:space="preserve">1.221 imprese</t>
  </si>
  <si>
    <t xml:space="preserve">Imprese cyber attive nel Regno Unito</t>
  </si>
  <si>
    <t xml:space="preserve">2021 (esercizio modale 2019/20)</t>
  </si>
  <si>
    <t xml:space="preserve">1.483 imprese, survey a 262 imprese maggio-luglio 2020</t>
  </si>
  <si>
    <t xml:space="preserve">2022 (esercizio modale 2020/21)</t>
  </si>
  <si>
    <t xml:space="preserve">1.838 imprese, survey a 248 imprese maggio-luglio 2021</t>
  </si>
  <si>
    <t xml:space="preserve">Annual Update 2023</t>
  </si>
  <si>
    <t xml:space="preserve">Cyber Security im Mittelstand</t>
  </si>
  <si>
    <t xml:space="preserve">Erfolgsfaktorenstudie 2020</t>
  </si>
  <si>
    <t xml:space="preserve">https://www.deloitte.com/de/de/services/deloitte-private/research/cyber-security-im-mittelstand-studie.html</t>
  </si>
  <si>
    <t xml:space="preserve">Survey Deloitte presso imprese del Mittelstand tedesco sulla spesa annua in cybersecurity, con classi di spesa e media del campione. Gli autori confrontano la media con un fabbisogno da 0,5 a 2 per mille del fatturato.</t>
  </si>
  <si>
    <t xml:space="preserve">Non riportato nell'estratto (n=353 secondo LBBW Research)</t>
  </si>
  <si>
    <t xml:space="preserve">Imprese del Mittelstand tedesco; fatturato medio del campione 387 milioni di euro</t>
  </si>
  <si>
    <t xml:space="preserve">Spesa annua per cyber security dichiarata dalle imprese</t>
  </si>
  <si>
    <t xml:space="preserve">Deloitte</t>
  </si>
  <si>
    <t xml:space="preserve">Global Future of Cyber Survey 2024, analisi per Germania, Austria e Svizzera</t>
  </si>
  <si>
    <t xml:space="preserve">4a edizione globale, analisi DACH</t>
  </si>
  <si>
    <t xml:space="preserve">https://www.presseportal.de/pm/60247/5892154</t>
  </si>
  <si>
    <t xml:space="preserve">DE, AT, CH</t>
  </si>
  <si>
    <t xml:space="preserve">Survey globale Deloitte a circa 1200 dirigenti, di cui 101 dell'area DACH, presso grandi imprese. L'analisi DACH riporta budget IT medi tra 171 e 267 milioni USD per impresa e una quota del 19% destinata alla cybersecurity, uguale al dato globale, e una crescita attesa del budget cyber del 5% contro il 3% globale.</t>
  </si>
  <si>
    <t xml:space="preserve">Circa 1200 dirigenti, 101 in DACH</t>
  </si>
  <si>
    <t xml:space="preserve">Budget cyber in rapporto al budget IT (definizione non specificata)</t>
  </si>
  <si>
    <t xml:space="preserve">Cybersécurité, étude sectorielle T3.2110.74</t>
  </si>
  <si>
    <t xml:space="preserve">Studio settoriale documentario che riprende i dati dell'Observatoire ACN per il 2020 con scomposizione prodotti e servizi.</t>
  </si>
  <si>
    <t xml:space="preserve">Direction générale des Entreprises (DGE)</t>
  </si>
  <si>
    <t xml:space="preserve">La cybersécurité</t>
  </si>
  <si>
    <t xml:space="preserve">pagina settoriale 2024</t>
  </si>
  <si>
    <t xml:space="preserve">Pagina istituzionale che riporta fatturato e occupati della filiera cyber 2023 con fonte Observatoire ACN 2024.</t>
  </si>
  <si>
    <t xml:space="preserve">Filiera cyber, prodotti e servizi</t>
  </si>
  <si>
    <t xml:space="preserve">Dialogic per il Ministerie van Economische Zaken en Klimaat</t>
  </si>
  <si>
    <t xml:space="preserve">De economische kansen van de cybersecuritysector</t>
  </si>
  <si>
    <t xml:space="preserve">https://dialogic.nl/projecten/de-economische-kansen-voor-de-cybersecuritysector/</t>
  </si>
  <si>
    <t xml:space="preserve">Studio commissionato dal Ministero dell'Economia sulle opportunità economiche del settore cybersecurity olandese. Stima serie 2015-2021 di fatturato, valore aggiunto, quota del PIL e occupati, in continuità con lo studio SEO 2016 (dati 2010 e 2014), con survey alle imprese. La sintesi riporta anche un valore di 26 miliardi per il 2020, incoerente con la tabella.</t>
  </si>
  <si>
    <t xml:space="preserve">Imprese del settore cybersecurity nei Paesi Bassi</t>
  </si>
  <si>
    <t xml:space="preserve">Settore cybersecurity (prodotti e servizi)</t>
  </si>
  <si>
    <t xml:space="preserve">Scheda di rapporto. Metodologia non reperita negli estratti.</t>
  </si>
  <si>
    <t xml:space="preserve">DNSC (dichiarazione riportata da AGERPRES)</t>
  </si>
  <si>
    <t xml:space="preserve">Dichiarazione del vicedirettore DNSC sulla dimensione del mercato cyber</t>
  </si>
  <si>
    <t xml:space="preserve">Dichiarazione orale senza metodo.</t>
  </si>
  <si>
    <t xml:space="preserve">DNSC</t>
  </si>
  <si>
    <t xml:space="preserve">Proiect PNRR Crearea de noi competențe de securitate cibernetică pentru societate și economie</t>
  </si>
  <si>
    <t xml:space="preserve">Scheda di progetto con valore totale, quota PNRR senza IVA, cambio applicato, obiettivi, gruppi destinatari e date.</t>
  </si>
  <si>
    <t xml:space="preserve">Prezzi correnti in RON</t>
  </si>
  <si>
    <t xml:space="preserve">Rapporto annuale dell'agenzia con esecuzione del bilancio 2025, integrazioni dal fondo di riserva e progetti finanziati da PNRR e fondi europei.</t>
  </si>
  <si>
    <t xml:space="preserve">Budget 2026</t>
  </si>
  <si>
    <t xml:space="preserve">NDP Review 2025</t>
  </si>
  <si>
    <t xml:space="preserve">Non dichiarata (cyber e, per la Spending Review 2021, anche IT legacy)</t>
  </si>
  <si>
    <t xml:space="preserve">2023 (esercizio modale 2021/22)</t>
  </si>
  <si>
    <t xml:space="preserve">1.979 imprese, survey estate 2022</t>
  </si>
  <si>
    <t xml:space="preserve">2024 (esercizio modale 2022/23)</t>
  </si>
  <si>
    <t xml:space="preserve">2.091 imprese</t>
  </si>
  <si>
    <t xml:space="preserve">2025 (esercizio modale 2023/24)</t>
  </si>
  <si>
    <t xml:space="preserve">2.165 imprese, survey dicembre 2024</t>
  </si>
  <si>
    <t xml:space="preserve">2026 (esercizio modale 2024/25)</t>
  </si>
  <si>
    <t xml:space="preserve">2.603 imprese</t>
  </si>
  <si>
    <t xml:space="preserve">Imprese cyber attive nel Regno Unito a dicembre 2025</t>
  </si>
  <si>
    <t xml:space="preserve">Proposta di regolamento Cybersecurity Act 2, COM(2026) 11, e valutazione d'impatto SWD(2026) 11</t>
  </si>
  <si>
    <t xml:space="preserve">https://data.consilium.europa.eu/doc/document/ST-5611-2026-ADD-4/en/pdf</t>
  </si>
  <si>
    <t xml:space="preserve">Proposta di revisione del Cybersecurity Act. La scheda finanziaria stima il bilancio di ENISA in 341 milioni per il 2028-2034 (49 milioni annui, più 81,5% rispetto al 2025). La valutazione d'impatto cita lo studio Frontier Economics sui costi NIS2 (31,2 miliardi annui) e stima risparmi di conformità fino a 14,6 miliardi.</t>
  </si>
  <si>
    <t xml:space="preserve">Bilancio ENISA e costi di conformità</t>
  </si>
  <si>
    <t xml:space="preserve">Comunicato stampa IP/23/2243 sul Cyber Solidarity Act</t>
  </si>
  <si>
    <t xml:space="preserve">https://www.europarl.europa.eu/legislative-train/theme-a-europe-fit-for-the-digital-age/file-cyber-solidarity-act</t>
  </si>
  <si>
    <t xml:space="preserve">Comunicato sulla proposta di regolamento. Bilancio complessivo delle azioni pari a 1,1 miliardi di euro, finanziato per circa due terzi dal programma Europa digitale. Il testo finale limita a 27 milioni la riserva di cybersecurity.</t>
  </si>
  <si>
    <t xml:space="preserve">European Cyber Shield, meccanismo di emergenza e riserva di cybersecurity</t>
  </si>
  <si>
    <t xml:space="preserve">Commissione europea, DG CNECT</t>
  </si>
  <si>
    <t xml:space="preserve">Digital Europe for a more competitive, autonomous and sustainable Europe (brochure)</t>
  </si>
  <si>
    <t xml:space="preserve">Brochure sulla proposta di bilancio del programma Europa digitale 2021-2027 (7,58 miliardi) con ripartizione per obiettivo.</t>
  </si>
  <si>
    <t xml:space="preserve">Obiettivo specifico cybersecurity del programma</t>
  </si>
  <si>
    <t xml:space="preserve">EU cybersecurity policies (pagina web)</t>
  </si>
  <si>
    <t xml:space="preserve">Aggiornamento 30/09/2026</t>
  </si>
  <si>
    <t xml:space="preserve">Pagina istituzionale che riporta la dotazione del programma Europa digitale per la cybersecurity nel periodo 2021-2027.</t>
  </si>
  <si>
    <t xml:space="preserve">Capacità di cybersecurity e diffusione di infrastrutture e strumenti</t>
  </si>
  <si>
    <t xml:space="preserve">Digital Europe Programme fuels digital transformation and skills development across Europe (notizia)</t>
  </si>
  <si>
    <t xml:space="preserve">Notizia di bilancio sull'attuazione del programma Europa digitale 2021-2024, con importi dedicati ai centri operativi di sicurezza.</t>
  </si>
  <si>
    <t xml:space="preserve">Centri operativi di sicurezza (Cyber Hubs)</t>
  </si>
  <si>
    <t xml:space="preserve">Report on the state of the Digital Decade 2024, Bulgaria (versione bulgara)</t>
  </si>
  <si>
    <t xml:space="preserve">Scheda paese della relazione sul decennio digitale con riferimenti a stanziamenti nazionali per la cybersecurity.</t>
  </si>
  <si>
    <t xml:space="preserve">State of the Digital Decade 2024, COM(2024) 260</t>
  </si>
  <si>
    <t xml:space="preserve">https://digital-strategy.ec.europa.eu/en/factpages/state-digital-decade-2024-report</t>
  </si>
  <si>
    <t xml:space="preserve">Prima relazione sulle roadmap nazionali del Decennio digitale. Le 1623 misure proposte valgono 251,9 miliardi di investimenti, di cui 168 miliardi pubblici. 414 misure riferite agli obiettivi generali includono 5,9 miliardi di bilancio pubblico per la cybersecurity.</t>
  </si>
  <si>
    <t xml:space="preserve">1623 misure nazionali</t>
  </si>
  <si>
    <t xml:space="preserve">Roadmap nazionali dei 27 Stati membri</t>
  </si>
  <si>
    <t xml:space="preserve">Misure riferite all'obiettivo generale cybersecurity</t>
  </si>
  <si>
    <t xml:space="preserve">https://digital-strategy.ec.europa.eu/en/library/state-digital-decade-2025-report</t>
  </si>
  <si>
    <t xml:space="preserve">Somma dei bilanci delle 38 misure cyber riportate dagli Stati membri nelle roadmap nazionali del Decennio digitale. Le misure dedicate esclusivamente alla cybersecurity valgono 0,8 miliardi, quelle di portata più ampia 6 miliardi. Il rapporto cita anche la quota mediana di spesa di sicurezza sul budget IT di ENISA (9%).</t>
  </si>
  <si>
    <t xml:space="preserve">38 misure nazionali</t>
  </si>
  <si>
    <t xml:space="preserve">Misure che contribuiscono alla cybersecurity</t>
  </si>
  <si>
    <t xml:space="preserve">https://cybersecurity-centre.europa.eu/funding-opportunities/calls-proposals/increased-cybersecurity-horizon-cl3-2025-02-cs-eccc_en</t>
  </si>
  <si>
    <t xml:space="preserve">EU27 e paesi associati</t>
  </si>
  <si>
    <t xml:space="preserve">Programma di lavoro Horizon Europe. La destinazione Increased Cybersecurity è affidata all'ECCC con un bando da 90,55 milioni sul bilancio 2025 (IA generativa per la cybersecurity, strumenti operativi, privacy, crittografia post-quantistica).</t>
  </si>
  <si>
    <t xml:space="preserve">Ricerca e innovazione in cybersecurity</t>
  </si>
  <si>
    <t xml:space="preserve">SWD(2017) 500 final, Impact assessment accompanying the Cybersecurity Act proposal (parti 4 e 5 di 6)</t>
  </si>
  <si>
    <t xml:space="preserve">EU28 e mondo</t>
  </si>
  <si>
    <t xml:space="preserve">La valutazione d'impatto riporta stime di mercato tratte da studi di supporto. La parte 4 indica un mercato europeo di privacy e cybersecurity di 12-19 miliardi di euro nel 2014, pari al 26% del mercato mondiale. La parte 5 include il secondo rapporto intermedio dello studio sulla certificazione ICT, che riprende i risultati preliminari dello studio CIMA di PwC e LSEC (157 miliardi di vendite UE nel 2016). Metodologia delle stime non descritta negli estratti.</t>
  </si>
  <si>
    <t xml:space="preserve">Mercato privacy and cybersecurity (PAC) nella parte 4, mercato cyber in senso ampio CIMA nella parte 5</t>
  </si>
  <si>
    <t xml:space="preserve">SWD(2020) 345 final, Impact assessment report accompanying the NIS2 proposal (parti 2 e allegati)</t>
  </si>
  <si>
    <t xml:space="preserve">https://eur-lex.europa.eu/legal-content/EN/TXT/HTML/?uri=CELEX:52020SC0345</t>
  </si>
  <si>
    <t xml:space="preserve">Per stimare l'impatto sulle imprese la valutazione d'impatto determina la copertura dei soggetti nei settori NIS, stima la spesa media di sicurezza ICT in percentuale della spesa ICT e del fatturato per settore e la sua evoluzione, poi costi e benefici per organizzazione. Sulla base delle previsioni Gartner 2012-2020 e di dati settoriali Gartner si assume una spesa di sicurezza ICT pari al 9,14% della spesa ICT e allo 0,52% del fatturato nel 2020, con aggiustamenti di più o meno 3 punti. Le ipotesi sono applicate a fatturato e numero di imprese per settore riportati nell'allegato 3.</t>
  </si>
  <si>
    <t xml:space="preserve">Imprese dei settori NIS e NIS2 nell'UE (fatturato e numero per settore)</t>
  </si>
  <si>
    <t xml:space="preserve">Spesa di sicurezza ICT secondo Gartner</t>
  </si>
  <si>
    <t xml:space="preserve">Marzo 2019</t>
  </si>
  <si>
    <t xml:space="preserve">Documento analitico, non di audit. Cita una stima della spesa pubblica UE in cybersecurity di uno-due miliardi annui e ricostruisce la spesa della Commissione per la strategia 2014-2018 (almeno 1,4 miliardi) e i progetti H2020 contrattualizzati (279 progetti, 786 milioni).</t>
  </si>
  <si>
    <t xml:space="preserve">Sicurezza delle reti e dell'informazione, cybercrime, ciberdifesa e disinformazione</t>
  </si>
  <si>
    <t xml:space="preserve">Corte dei conti europea e istituzioni superiori di controllo</t>
  </si>
  <si>
    <t xml:space="preserve">Audit Compendium, Cybersecurity of the EU and its Member States</t>
  </si>
  <si>
    <t xml:space="preserve">Dicembre 2020</t>
  </si>
  <si>
    <t xml:space="preserve">Compendio di audit che riprende stime della Commissione sulla spesa pubblica in cybersecurity e sui finanziamenti UE 2014-2020 (meno di 200 milioni annui per la cybersecurity non militare, circa 600 milioni di Horizon 2020).</t>
  </si>
  <si>
    <t xml:space="preserve">Cybersecurity non militare</t>
  </si>
  <si>
    <t xml:space="preserve">Digital Europe Cybersecurity Work Programme 2025-2027</t>
  </si>
  <si>
    <t xml:space="preserve">Marzo 2025 (Decisione GB/2025/4)</t>
  </si>
  <si>
    <t xml:space="preserve">https://cybersecurity-centre.europa.eu/funding-opportunities_en</t>
  </si>
  <si>
    <t xml:space="preserve">Programma di lavoro dell'obiettivo specifico 3 del programma Europa digitale gestito dall'ECCC. Bilancio indicativo di circa 390 milioni per il 2025-2027 (353 milioni assegnati, poi ridotti a 348, più 42 milioni riportati dal 2022), con ripartizione annuale e per area di intervento.</t>
  </si>
  <si>
    <t xml:space="preserve">Azioni di cybersecurity del programma Europa digitale</t>
  </si>
  <si>
    <t xml:space="preserve">Digital Europe Cybersecurity Work Programme 2025-2027, emendamento 2</t>
  </si>
  <si>
    <t xml:space="preserve">2025 (dopo la riunione del consiglio del 2-3 luglio 2025)</t>
  </si>
  <si>
    <t xml:space="preserve">Versione emendata del programma di lavoro con bilancio ridotto a circa 355 milioni per la riallocazione di 35 milioni alle AI Gigafactories, con nuova ripartizione per area.</t>
  </si>
  <si>
    <t xml:space="preserve">Single Programming Document 2024-2026</t>
  </si>
  <si>
    <t xml:space="preserve">Decisione GB 2023/8</t>
  </si>
  <si>
    <t xml:space="preserve">Documento di programmazione pluriennale dell'ECCC con stima del bilancio cyber del programma Europa digitale 2023-2024 e delle entrate dell'agenzia 2024-2026.</t>
  </si>
  <si>
    <t xml:space="preserve">Attività dell'ECCC e azioni di cybersecurity di DEP e Horizon Europe</t>
  </si>
  <si>
    <t xml:space="preserve">v1.1, dicembre 2024</t>
  </si>
  <si>
    <t xml:space="preserve">https://ecs-org.eu/?publications=ecso-cybersecurity-market-analysis-and-recommendations</t>
  </si>
  <si>
    <t xml:space="preserve">EU27 e mondo</t>
  </si>
  <si>
    <t xml:space="preserve">Documento in due sezioni, dati di mercato e raccomandazioni. I valori sono adattati dall'analisi di mercato del progetto ECCO. Mercato globale dal punto di vista degli utenti circa 200 miliardi di euro nel 2024, mercato UE 30 miliardi con crescita media del 10%, circa 7000 imprese europee di cui 90% PMI che generano il 25% del mercato.</t>
  </si>
  <si>
    <t xml:space="preserve">Mercato globale dal punto di vista degli utenti</t>
  </si>
  <si>
    <t xml:space="preserve">Europa ed EMEA</t>
  </si>
  <si>
    <t xml:space="preserve">Agenda strategica di ricerca. Riporta che il mercato europeo vale circa il 24% del mondiale con crescita intorno al 6% e una stima della comunità ECSO di quasi 40 miliardi di euro nel 2020 (CAGR circa 10% 2016-2020). Cita anche dati di terzi (MarketsandMarkets, Energy and Resources Digest).</t>
  </si>
  <si>
    <t xml:space="preserve">ECSO Technical paper</t>
  </si>
  <si>
    <t xml:space="preserve">Documento tecnico che cita la stima ECSO 2018 di un mercato domestico europeo di 25 miliardi di euro con 12000 imprese, di cui 74% micro e PMI.</t>
  </si>
  <si>
    <t xml:space="preserve">Relazione annuale di attività dell'agenzia con il bilancio di funzionamento 2024 (26,2 milioni) e 2023 (25,2 milioni).</t>
  </si>
  <si>
    <t xml:space="preserve">Bilancio dell'agenzia UE per la cibersicurezza</t>
  </si>
  <si>
    <t xml:space="preserve">Principles and opportunities for a renewed EU cybersecurity strategy (contributo ENISA)</t>
  </si>
  <si>
    <t xml:space="preserve">Documento di posizione ENISA. Riporta un mercato europeo di 20,1 miliardi di euro con crescita annua del 6% e 24,4 miliardi nel 2018, oltre un quarto del mercato mondiale. Lo stesso valore è attribuito al 2014, 2015 e 2016 in punti diversi. Ripreso in ENISA Priorities for EU Research (2018) e International Perspectives on Cybersecurity (2018).</t>
  </si>
  <si>
    <t xml:space="preserve">ENISA-MARKETIOT-2022</t>
  </si>
  <si>
    <t xml:space="preserve">EU Cybersecurity Market Analysis, IoT in Distribution Grids</t>
  </si>
  <si>
    <t xml:space="preserve">Aprile 2022</t>
  </si>
  <si>
    <t xml:space="preserve">08/04/2022</t>
  </si>
  <si>
    <t xml:space="preserve">https://www.enisa.europa.eu/sites/default/files/publications/WP%202021%20O.7.1%20-%20Market%20Analysis%20-%20IoT%20Smart%20Grid.pdf</t>
  </si>
  <si>
    <t xml:space="preserve">https://www.enisa.europa.eu/publications/eu-cybersecurity-market-analysis-iot-in-distribution-grid</t>
  </si>
  <si>
    <t xml:space="preserve">Applicazione del quadro ENISA di analisi del mercato (ECSMAF) al mercato della sicurezza IoT nelle reti di distribuzione elettrica. Stima del mercato a partire dalla base installata di contatori intelligenti (circa 260 milioni nel 2020) e trasformatori, ipotizzando che la spesa di sicurezza IoT valga dal 10% al 20% del costo di acquisto, di cui 70% hardware e 30% licenze software. Valori annui in milioni di euro presentati solo in grafici.</t>
  </si>
  <si>
    <t xml:space="preserve">Base installata di contatori e trasformatori intelligenti UE27</t>
  </si>
  <si>
    <t xml:space="preserve">Spesa di sicurezza IoT su contatori e trasformatori intelligenti, hardware e licenze software, CAPEX e OPEX</t>
  </si>
  <si>
    <t xml:space="preserve">ENISA-MSS-2025</t>
  </si>
  <si>
    <t xml:space="preserve">MSS Market Analysis, An Analysis of the Managed Security Service Market</t>
  </si>
  <si>
    <t xml:space="preserve">Giugno 2025</t>
  </si>
  <si>
    <t xml:space="preserve">24/06/2025</t>
  </si>
  <si>
    <t xml:space="preserve">https://www.enisa.europa.eu/sites/default/files/2025-06/ENISA_MSS_Market_Analysis_en_0.pdf</t>
  </si>
  <si>
    <t xml:space="preserve">https://www.enisa.europa.eu/publications/managed-security-services-market-analysis</t>
  </si>
  <si>
    <t xml:space="preserve">Prevalentemente EU27</t>
  </si>
  <si>
    <t xml:space="preserve">Indagine online su domanda e offerta di servizi di sicurezza gestiti, con circa 3700 punti dati. Definizione di MSS ripresa dal regolamento (UE) 2025/37 che modifica il Cybersecurity Act. Il rapporto non pubblica una dimensione monetaria del mercato, solo classi di quota del budget o del fatturato dedicate ai servizi gestiti.</t>
  </si>
  <si>
    <t xml:space="preserve">Circa 3700 punti dati (domanda e offerta)</t>
  </si>
  <si>
    <t xml:space="preserve">Servizi di sicurezza gestiti secondo il regolamento (UE) 2025/37</t>
  </si>
  <si>
    <t xml:space="preserve">NIS Investments Report 2020</t>
  </si>
  <si>
    <t xml:space="preserve">Prima edizione</t>
  </si>
  <si>
    <t xml:space="preserve">https://www.enisa.europa.eu/publications/nis-investments</t>
  </si>
  <si>
    <t xml:space="preserve">FR, DE, IT, ES, PL (campione); dati Gartner globali e UE</t>
  </si>
  <si>
    <t xml:space="preserve">Indagine su 251 OES e DSP di Francia, Germania, Italia, Spagna e Polonia sugli investimenti legati alla direttiva NIS. I risultati sono correlati con dati di sicurezza Gartner osservati a livello globale e nell'UE, non collegati alla survey. Budget IT dei rispondenti da meno di 5 milioni a oltre un miliardo di euro.</t>
  </si>
  <si>
    <t xml:space="preserve">251 OES e DSP in cinque Stati membri</t>
  </si>
  <si>
    <t xml:space="preserve">Non dichiarata nell'estratto consultato</t>
  </si>
  <si>
    <t xml:space="preserve">NIS Investments 2021</t>
  </si>
  <si>
    <t xml:space="preserve">Seconda edizione</t>
  </si>
  <si>
    <t xml:space="preserve">https://www.enisa.europa.eu/publications/nis-investments-2021</t>
  </si>
  <si>
    <t xml:space="preserve">Indagine di mercato dedicata su 947 organizzazioni identificate come OES o DSP, con almeno 35 rispondenti per Stato membro. Domande su spesa IT, spesa di sicurezza e budget per l'attuazione della direttiva NIS nel 2020, comprensivi di CAPEX e OPEX per hardware, software, personale interno, collaboratori e outsourcing. Mediane e medie del campione, analisi per Stato membro e settore in grafici. Dati Gartner globali presentati separatamente.</t>
  </si>
  <si>
    <t xml:space="preserve">947 OES e DSP, almeno 35 per Stato membro</t>
  </si>
  <si>
    <t xml:space="preserve">OES e DSP della direttiva NIS (non quantificato)</t>
  </si>
  <si>
    <t xml:space="preserve">Spesa di sicurezza informatica comprensiva di CAPEX e OPEX per hardware, software, personale interno, collaboratori e outsourcing.</t>
  </si>
  <si>
    <t xml:space="preserve">NIS Investments 2022</t>
  </si>
  <si>
    <t xml:space="preserve">Terza edizione</t>
  </si>
  <si>
    <t xml:space="preserve">https://www.enisa.europa.eu/publications/nis-investments-2022</t>
  </si>
  <si>
    <t xml:space="preserve">Dati raccolti presso 1080 OES e DSP di tutti i 27 Stati membri, con serie storica che consente confronti annuali. Le tendenze globali del mercato sono presentate con dati Gartner. Mediane e medie della spesa IT, della spesa di sicurezza e della spesa in threat intelligence, analisi per settore.</t>
  </si>
  <si>
    <t xml:space="preserve">1080 OES e DSP</t>
  </si>
  <si>
    <t xml:space="preserve">NIS Investments 2023</t>
  </si>
  <si>
    <t xml:space="preserve">Quarta edizione</t>
  </si>
  <si>
    <t xml:space="preserve">https://www.enisa.europa.eu/publications/nis-investments-2023</t>
  </si>
  <si>
    <t xml:space="preserve">Indagine di mercato dedicata su 1080 organizzazioni identificate come operatori di servizi essenziali o fornitori di servizi digitali, 40 per Stato membro. Domande su spesa IT e di sicurezza 2022 in euro, comprensiva di CAPEX e OPEX per hardware, software, personale interno, collaboratori e outsourcing. Mediane e medie del campione, analisi per settore. Il capitolo 2 riporta previsioni Gartner sulla spesa in information security and risk management globale ed europea e metriche Gartner IT Key Metrics Data per l'UE.</t>
  </si>
  <si>
    <t xml:space="preserve">1080 OES e DSP, 40 per Stato membro</t>
  </si>
  <si>
    <t xml:space="preserve">OES e DSP identificati ai sensi della direttiva NIS (non quantificato)</t>
  </si>
  <si>
    <t xml:space="preserve">NIS Investments 2024</t>
  </si>
  <si>
    <t xml:space="preserve">Quinta edizione</t>
  </si>
  <si>
    <t xml:space="preserve">https://www.enisa.europa.eu/publications/nis-investments-2024</t>
  </si>
  <si>
    <t xml:space="preserve">Indagine di mercato dedicata su 1350 organizzazioni, 50 per Stato membro, di tutti i settori NIS2 ad alta criticità e del manifatturiero. Domande su spesa IT e di sicurezza informatica 2023 in euro, comprensiva di CAPEX e OPEX per hardware, software, personale interno, collaboratori e outsourcing. Analisi per mediana e media, per settore e per dimensione (PMI e grandi imprese). Il rapporto include anche dati Gartner (IT Key Metrics Data) sulla quota di spesa di sicurezza per regione. Autori ENISA con contributo Gartner.</t>
  </si>
  <si>
    <t xml:space="preserve">1350 organizzazioni, 50 per Stato membro</t>
  </si>
  <si>
    <t xml:space="preserve">Soggetti NIS2 dei settori ad alta criticità e manifatturiero (non quantificato)</t>
  </si>
  <si>
    <t xml:space="preserve">NIS Investments 2025, Main report e Survey data companion document</t>
  </si>
  <si>
    <t xml:space="preserve">Sesta edizione</t>
  </si>
  <si>
    <t xml:space="preserve">https://www.enisa.europa.eu/sites/default/files/2025-12/NIS%20Investments%202025%20-%20Survey%20data%20companion%20document.pdf</t>
  </si>
  <si>
    <t xml:space="preserve">EU27 (campione in tutti i 27 Stati membri; il companion document riporta mediane per Stato membro solo in grafici)</t>
  </si>
  <si>
    <t xml:space="preserve">Indagine svolta con interviste telefoniche e questionari strutturati a 1080 professionisti, prevalentemente senior, di organizzazioni dei settori e sottosettori ad alta criticità della direttiva NIS2 in tutti i 27 Stati membri. Campione composto per l'83% da grandi imprese e per il 17% da PMI. Domande sulla spesa IT e di sicurezza informatica 2024 in euro, comprensiva di CAPEX e OPEX per hardware, software, personale interno, collaboratori e outsourcing. Il rapporto presenta mediane, medie e rapporti tra spesa di sicurezza e spesa IT. Il companion document visualizza tutte le risposte per Stato membro e settore. Nessun riporto all'universo dichiarato.</t>
  </si>
  <si>
    <t xml:space="preserve">1080 organizzazioni, 83% grandi imprese, 17% PMI, tutti i 27 Stati membri</t>
  </si>
  <si>
    <t xml:space="preserve">Soggetti in perimetro NIS2, settori ad alta criticità (universo non quantificato)</t>
  </si>
  <si>
    <t xml:space="preserve">Cybersecurity e information security usati come sinonimi per tutte le attività, il personale e le risorse dedicate alla protezione dei sistemi informativi. Budget comprensivo di CAPEX e OPEX per hardware, software, personale interno, collaboratori e outsourcing.</t>
  </si>
  <si>
    <t xml:space="preserve">Parlamento europeo, Policy Department for Transformation, Innovation and Health</t>
  </si>
  <si>
    <t xml:space="preserve">European Software and Cyber Dependencies (studio per ITRE)</t>
  </si>
  <si>
    <t xml:space="preserve">Dicembre 2025</t>
  </si>
  <si>
    <t xml:space="preserve">https://www.europarl.europa.eu/thinktank/de/document/ECTI_STU(2025)778576</t>
  </si>
  <si>
    <t xml:space="preserve">EU27 ed Europa</t>
  </si>
  <si>
    <t xml:space="preserve">Studio sulle dipendenze europee da software e cloud. La sezione cybersecurity riporta valori di mercato ripresi da analisi di terzi (63 miliardi USD UE nel 2025, 135 miliardi EUR Europa al 2033, quota BFSI 21%, ripartizione 42-68% soluzioni e 32-58% servizi).</t>
  </si>
  <si>
    <t xml:space="preserve">The European Union Agency for Network and Information Security (ENISA), briefing</t>
  </si>
  <si>
    <t xml:space="preserve">Briefing che riprende il valore del mercato europeo dal rapporto annuale ENISA 2015 e una stima di 22 miliardi USD nel 2016 per prodotti e servizi che proteggono le organizzazioni.</t>
  </si>
  <si>
    <t xml:space="preserve">RRF implementation underway, Cybersecurity measures (briefing)</t>
  </si>
  <si>
    <t xml:space="preserve">https://www.europarl.europa.eu/thinktank/en/document/EPRS_BRI(2025)772881</t>
  </si>
  <si>
    <t xml:space="preserve">EU27, righe per BE, BG, CZ, DE, EL, ES, FR, HR, IT, LT, PL, PT, RO, SK</t>
  </si>
  <si>
    <t xml:space="preserve">Briefing sull'attuazione del dispositivo per la ripresa e la resilienza. La Tabella 1 elenca esempi di misure PNRR legate alla cybersecurity con il bilancio previsto per 14 Stati membri, per un totale di circa 4,4 miliardi. L'elenco non è esaustivo perché aspetti di cybersecurity sono spesso inclusi in misure digitali più ampie. Cita anche 1,6 miliardi del programma Europa digitale per la cybersecurity.</t>
  </si>
  <si>
    <t xml:space="preserve">14 Stati membri</t>
  </si>
  <si>
    <t xml:space="preserve">Piani nazionali di ripresa e resilienza</t>
  </si>
  <si>
    <t xml:space="preserve">Misure esplicitamente legate alla cybersecurity</t>
  </si>
  <si>
    <t xml:space="preserve">Achieving a sovereign and trustworthy ICT industry in the EU</t>
  </si>
  <si>
    <t xml:space="preserve">Europa, Europa occidentale</t>
  </si>
  <si>
    <t xml:space="preserve">Studio STOA che riprende stime di ECSO (mercato europeo 18,8 miliardi di euro nel 2014), Gartner, IDC e PwC (Europa occidentale 21,5 miliardi USD, 25,3 miliardi nel 2018). Osserva che non esistono fonti affidabili sull'industria cyber europea.</t>
  </si>
  <si>
    <t xml:space="preserve">Prodotti e servizi di sicurezza delle reti e dell'informazione, esclusi quelli militari</t>
  </si>
  <si>
    <t xml:space="preserve">Transatlantic Cyber Insecurity and Cybercrime</t>
  </si>
  <si>
    <t xml:space="preserve">UE ed Europa</t>
  </si>
  <si>
    <t xml:space="preserve">Studio che riprende previsioni di Micro Market Monitor sulla spesa privata in cybersecurity nell'UE e una revisione dei dati comunicata agli autori (24,75 miliardi USD per l'Europa, crescita 7,9% 2016-2021), generata da software dell'editore.</t>
  </si>
  <si>
    <t xml:space="preserve">Articolo che riporta ricavi 2025 e 2030, CAGR, segmento cyber solutions e spesa per addetto senza citare la fonte nell'estratto.</t>
  </si>
  <si>
    <t xml:space="preserve">Pagina gratuita di analisi a pagamento; descrive il mercato come composto da editori di software, ESN e società di consulenza e audit.</t>
  </si>
  <si>
    <t xml:space="preserve">2026-2035</t>
  </si>
  <si>
    <t xml:space="preserve">Pagina gratuita di report a pagamento. Nessuna metodologia specifica per il dato nell'estratto.</t>
  </si>
  <si>
    <t xml:space="preserve">https://www.ey.com/de_at/newsroom/2026/08/ey-cybersecurity-2026</t>
  </si>
  <si>
    <t xml:space="preserve">Survey EY alle imprese austriache su minacce, misure, formazione e budget; budget cyber rilevato per classi monetarie.</t>
  </si>
  <si>
    <t xml:space="preserve">Imprese austriache</t>
  </si>
  <si>
    <t xml:space="preserve">Budget annuo per cybersecurity</t>
  </si>
  <si>
    <t xml:space="preserve">Bilancio 2026</t>
  </si>
  <si>
    <t xml:space="preserve">2022-2024</t>
  </si>
  <si>
    <t xml:space="preserve">Cybersecurity Market Size, Share, Analysis, Global Report 2032 (edizione precedente)</t>
  </si>
  <si>
    <t xml:space="preserve">Mondo, regioni (Europa) e alcuni paesi (UK, DE, FR)</t>
  </si>
  <si>
    <t xml:space="preserve">Metodologia generica Fortune Business Insights. Interviste approfondite (anche a pagamento) con stakeholder lato domanda e offerta, ricerca documentale su bilanci, associazioni, banche dati pubbliche e commerciali (Factiva, Bloomberg, Statista). Approccio bottom-up per segmento (base di attività per penetrazione, intensità d'uso e prezzo medio), somma dei segmenti e triangolazione con stime top-down e benchmark di settore.</t>
  </si>
  <si>
    <t xml:space="preserve">Cybersecurity Market Size, Share &amp; Forecast Report, 2034</t>
  </si>
  <si>
    <t xml:space="preserve">https://www.fortunebusinessinsights.com/methodology/quantum-computing-in-cybersecurity-market-118130</t>
  </si>
  <si>
    <t xml:space="preserve">FORTUNE-METODOLOGIA-2026</t>
  </si>
  <si>
    <t xml:space="preserve">Research methodology (testo generico)</t>
  </si>
  <si>
    <t xml:space="preserve">2026 (report globale)</t>
  </si>
  <si>
    <t xml:space="preserve">Non dichiarata (USD correnti)</t>
  </si>
  <si>
    <t xml:space="preserve">Forum for the Future (blog)</t>
  </si>
  <si>
    <t xml:space="preserve">Sintesi dell'audit della Cour des comptes sulla politica nazionale di cybersecurity, con spese dichiarate da otto istituzioni federali di sicurezza.</t>
  </si>
  <si>
    <t xml:space="preserve">EU27 (studi paese separati per PL e PT)</t>
  </si>
  <si>
    <t xml:space="preserve">Studio commissionato da Huawei sul costo di attuazione della NIS2. Stima bottom-up dei costi aggiuntivi delle imprese per assumere specialisti di sicurezza e personale di supporto, acquistare software e installare hardware, più servizi esterni, differenziati per dimensione d'impresa e rischio settoriale, rapportati al fatturato dei settori interessati. Stima anche i costi delle autorità di vigilanza e gli effetti su prezzi, commercio e PIL. Citato dalla valutazione d'impatto del Cybersecurity Act 2 (2026).</t>
  </si>
  <si>
    <t xml:space="preserve">Imprese dei settori NIS e NIS2 nell'UE</t>
  </si>
  <si>
    <t xml:space="preserve">Costi aggiuntivi di cybersecurity per conformità NIS2, incluso personale interno</t>
  </si>
  <si>
    <t xml:space="preserve">Best Practices Award, Fortinet (dati sul mercato europeo dei servizi gestiti di sicurezza)</t>
  </si>
  <si>
    <t xml:space="preserve">Europa, EMEA</t>
  </si>
  <si>
    <t xml:space="preserve">Documento promozionale di premio che cita la ricerca Frost &amp; Sullivan sul mercato europeo dei servizi gestiti di sicurezza. Metodologia non dichiarata.</t>
  </si>
  <si>
    <t xml:space="preserve">Novembre 2024</t>
  </si>
  <si>
    <t xml:space="preserve">https://www.gartner.com/en/newsroom/press-releases/2025-07-15-gartner-forecasts-worldwide-it-spending-to-grow-7-point-9-percent-in-2025</t>
  </si>
  <si>
    <t xml:space="preserve">Mondo e regioni (Nord America, Europa)</t>
  </si>
  <si>
    <t xml:space="preserve">Metodologia generica delle previsioni di spesa IT Gartner. Analisi rigorosa delle vendite di oltre mille vendor sull'intera gamma di prodotti e servizi IT, tecniche di ricerca primaria integrate da fonti secondarie per costruire una base dati di dimensione del mercato. La previsione sulla sicurezza (Information Security and Risk Management) è espressa come spesa degli utenti finali, in dollari correnti, con varianti a valuta costante.</t>
  </si>
  <si>
    <t xml:space="preserve">Mercato information system security (servizi, software, rete)</t>
  </si>
  <si>
    <t xml:space="preserve">Dollari USA correnti e valuta costante</t>
  </si>
  <si>
    <t xml:space="preserve">Gartner Forecasts IT Spending in Europe to Grow 8.7% in 2025 (comunicato)</t>
  </si>
  <si>
    <t xml:space="preserve">Gouvernement français</t>
  </si>
  <si>
    <t xml:space="preserve">Comunicato governativo di lancio della strategia con obiettivi al 2025 (fatturato della filiera da 7,3 a 25 miliardi, occupati da 37.000 a 75.000). Nessuna metodologia per il valore di partenza.</t>
  </si>
  <si>
    <t xml:space="preserve">https://www.grandviewresearch.com/info/research-methodology</t>
  </si>
  <si>
    <t xml:space="preserve">Metodologia generica Grand View Research. Raccolta multicanale (banche dati a pagamento come Hoover's e Factiva, base dati proprietaria, interviste primarie a esperti, fonti secondarie pubbliche, rapporti di analisti). Analisi con approcci bottom-up (domanda per paese sommata), top-down (penetrazione e regressione) o combinati; stime lato offerta (ricavi delle imprese da bilanci, benchmarking competitivo) e lato domanda (mercati padre, penetrazione per segmento). Normalizzazione e validazione su tre livelli con esperti e controllo qualità.</t>
  </si>
  <si>
    <t xml:space="preserve">Hardware, software e servizi di cybersecurity</t>
  </si>
  <si>
    <t xml:space="preserve">Germany Cyber Security Services Market Size &amp; Outlook</t>
  </si>
  <si>
    <t xml:space="preserve">2025-2030</t>
  </si>
  <si>
    <t xml:space="preserve">Horizon 2025-2030</t>
  </si>
  <si>
    <t xml:space="preserve">Horizon 2026-2033</t>
  </si>
  <si>
    <t xml:space="preserve">2025-2026</t>
  </si>
  <si>
    <t xml:space="preserve">GRANDVIEW-METODOLOGIA-2026</t>
  </si>
  <si>
    <t xml:space="preserve">Our Research Methodology</t>
  </si>
  <si>
    <t xml:space="preserve">Guvernul României</t>
  </si>
  <si>
    <t xml:space="preserve">HG privind suplimentarea bugetului SGG pentru DNSC din Fondul de rezervă bugetară 2026</t>
  </si>
  <si>
    <t xml:space="preserve">Comunicato governativo sull'integrazione del bilancio di personale DNSC 2026.</t>
  </si>
  <si>
    <t xml:space="preserve">2022-2025</t>
  </si>
  <si>
    <t xml:space="preserve">2016-2021</t>
  </si>
  <si>
    <t xml:space="preserve">Országgyűlés</t>
  </si>
  <si>
    <t xml:space="preserve">Legge ungherese di recepimento NIS2. Prevede un minimo del 5% dei costi annui di sviluppo informatico da destinare a sviluppi di cybersecurity per gli enti pubblici e una tassa di vigilanza fino allo 0,015% del fatturato per i soggetti vigilati da SZTFH.</t>
  </si>
  <si>
    <t xml:space="preserve">Enti pubblici dell'articolo 1, comma 1, lettere a-c</t>
  </si>
  <si>
    <t xml:space="preserve">ICEX España Exportación e Inversiones</t>
  </si>
  <si>
    <t xml:space="preserve">Sintesi di studio di mercato dell'agenzia spagnola per l'export con ricavi del mercato cyber belga e CAGR 2025-2029; fonte dei dati non indicata nell'estratto.</t>
  </si>
  <si>
    <t xml:space="preserve">IDC Resource Center, blog area Central and Eastern Europe (spesa europea in sicurezza 2021)</t>
  </si>
  <si>
    <t xml:space="preserve">https://my.idc.com/getdoc.jsp?containerId=IDC_P33461</t>
  </si>
  <si>
    <t xml:space="preserve">Europa (Europa occidentale e centro-orientale); alcuni valori per paese e sub-regione</t>
  </si>
  <si>
    <t xml:space="preserve">Comunicato o pagina che riporta valori della Worldwide Security Spending Guide IDC. Per la metodologia generica vedere la scheda IDC-SSG-2025. Il comunicato non descrive il metodo di stima.</t>
  </si>
  <si>
    <t xml:space="preserve">Spesa in sicurezza in Europa</t>
  </si>
  <si>
    <t xml:space="preserve">Spesa in hardware, software e servizi di sicurezza secondo la tassonomia IDC</t>
  </si>
  <si>
    <t xml:space="preserve">IDC Resource Center, blog spesa ICT DACH</t>
  </si>
  <si>
    <t xml:space="preserve">IDC Czech Republic</t>
  </si>
  <si>
    <t xml:space="preserve">IDC. Růst českého trhu bezpečnostních řešení nezastaví ani koronavirus</t>
  </si>
  <si>
    <t xml:space="preserve">30/11/2020</t>
  </si>
  <si>
    <t xml:space="preserve">https://www.channeltrends.cz/n/bezpecnostni-reseni/</t>
  </si>
  <si>
    <t xml:space="preserve">Comunicato IDC ripreso dalla stampa ceca con serie del fatturato del mercato delle soluzioni di sicurezza 2018-2021 per dispositivi, software e servizi in milioni di dollari, quote dei fornitori e previsione di crescita. Metodo non descritto.</t>
  </si>
  <si>
    <t xml:space="preserve">Soluzioni di sicurezza IT, cioè dispositivi, software e servizi (integrazione e supporto)</t>
  </si>
  <si>
    <t xml:space="preserve">USD correnti</t>
  </si>
  <si>
    <t xml:space="preserve">Dati IDC 2019 sulla spesa europea in sicurezza (ripresi da ZDNet e Securex)</t>
  </si>
  <si>
    <t xml:space="preserve">04/2019</t>
  </si>
  <si>
    <t xml:space="preserve">Comunicato IDC luglio 2022 sulla spesa europea in sicurezza IT (ripreso da The Fast Mode e ChannelWeb)</t>
  </si>
  <si>
    <t xml:space="preserve">08/2022</t>
  </si>
  <si>
    <t xml:space="preserve">European Security Spending is Forecast to Grow at Double Digits in 2024 (comunicato)</t>
  </si>
  <si>
    <t xml:space="preserve">Europa (Europa occidentale e centro-orientale), alcuni valori per paese e sub-regione, Europa, con valori nazionali per CZ e HU (traccia E)</t>
  </si>
  <si>
    <t xml:space="preserve">IDC Forecasts 11.8% Growth in European Security Spending in 2025 (comunicato)</t>
  </si>
  <si>
    <t xml:space="preserve">Articolo che cita un dato IDC France 2025 sulla spesa cyber 2024 senza metodologia.</t>
  </si>
  <si>
    <t xml:space="preserve">IDC Polska</t>
  </si>
  <si>
    <t xml:space="preserve">Comunicati IDC sulla spesa in cybersecurity in Polonia (settembre e ottobre 2023)</t>
  </si>
  <si>
    <t xml:space="preserve">09/2023</t>
  </si>
  <si>
    <t xml:space="preserve">Comunicati IDC ripresi dalla stampa polacca. Riportano spesa totale, crescita annua e spesa per settore in milioni di dollari. Nessuna descrizione del metodo nel testo riportato.</t>
  </si>
  <si>
    <t xml:space="preserve">IDC Security Forum (pagina evento con dati della Spending Guide)</t>
  </si>
  <si>
    <t xml:space="preserve">IT Security Summit UK 2026 (pagina evento con dati IDC)</t>
  </si>
  <si>
    <t xml:space="preserve">IDC-SSG-2025</t>
  </si>
  <si>
    <t xml:space="preserve">Worldwide Security Spending Guide (scheda prodotto e tassonomia 2025)</t>
  </si>
  <si>
    <t xml:space="preserve">Release 2025 (V1), aggiornamento semestrale</t>
  </si>
  <si>
    <t xml:space="preserve">https://my.idc.com/research/viewtoc.jsp?containerId=US53248825</t>
  </si>
  <si>
    <t xml:space="preserve">48 paesi e 9 regioni, tra cui AT, BE, CZ, DK, FI, FR, DE, EL, HU, IE, IT, NL, PL, PT, RO, ES, SE, UK, Europa occidentale, Europa centro-orientale</t>
  </si>
  <si>
    <t xml:space="preserve">La Worldwide Security Spending Guide quantifica la spesa in sicurezza core e di nuova generazione per 28 industrie, 5 classi dimensionali (1-9, 10-99, 100-499, 500-999, 1000+ addetti), 39 mercati tecnologici e 48 paesi, in 9 regioni tra cui Europa occidentale ed Europa centro-orientale. Tre gruppi tecnologici, hardware (appliance di sicurezza, firewall, UTM, IDP, VPN), software (endpoint, identità, dati, rete, analytics, vulnerabilità, GRC, inclusa la protezione consumer) e servizi (consulenza, integrazione, formazione, servizi gestiti, supporto). Previsioni quinquennali aggiornate due volte l'anno. La tassonomia dichiara una mappatura dei dettagli hardware e software sul Security Products Tracker IDC (ricavi dei vendor). Il metodo di stima della spesa non è descritto nelle pagine pubbliche.</t>
  </si>
  <si>
    <t xml:space="preserve">Spesa in sicurezza di imprese, PA e consumatori per paese</t>
  </si>
  <si>
    <t xml:space="preserve">2025-2033</t>
  </si>
  <si>
    <t xml:space="preserve">ES, IT</t>
  </si>
  <si>
    <t xml:space="preserve">Europa (Germania, Francia, Regno Unito, Italia, Spagna, altri)</t>
  </si>
  <si>
    <t xml:space="preserve">Ricerca primaria 2025 con interviste a fornitori di soluzioni, MDR e SOC, integratori, imprese cloud e responsabili sicurezza IT di imprese utenti, autorità ed esperti regolatori. Ricerca secondaria su bilanci, pubblicazioni dei vendor, documenti regolatori, associazioni, tendenze di spesa. Previsioni con modello di spesa per settore utente, budget di sicurezza IT delle imprese per paese e settore moltiplicato per la spesa IT per paese, con premio di conformità normativa. Quote 2025 per componente, deployment, dimensione, settore e paese.</t>
  </si>
  <si>
    <t xml:space="preserve">Interviste a stakeholder (numero non dichiarato)</t>
  </si>
  <si>
    <t xml:space="preserve">Imprese e organizzazioni utenti in Europa</t>
  </si>
  <si>
    <t xml:space="preserve">Soluzioni (IAM, infrastruttura, GRC, vulnerabilità, dati e privacy) e servizi (professionali e gestiti)</t>
  </si>
  <si>
    <t xml:space="preserve">2026 (anno base 2025)</t>
  </si>
  <si>
    <t xml:space="preserve">IMARC-METODOLOGIA-2026</t>
  </si>
  <si>
    <t xml:space="preserve">Research methodology (testo generico dei rapporti)</t>
  </si>
  <si>
    <t xml:space="preserve">https://www.imarcgroup.com/metabolomics-market</t>
  </si>
  <si>
    <t xml:space="preserve">Metodologia generica IMARC. Ricerca primaria con interviste a stakeholder della filiera e utenti, ricerca secondaria su bilanci, pubblicazioni di settore e fonti pubbliche, modelli bottom-up e top-down con analisi di scenario.</t>
  </si>
  <si>
    <t xml:space="preserve">517 imprese rispondenti</t>
  </si>
  <si>
    <t xml:space="preserve">4.692 imprese registrate come agenti digitalizzatori del PRTR e 947 imprese CONETIC</t>
  </si>
  <si>
    <t xml:space="preserve">Industria della cybersecurity, imprese che offrono prodotti e servizi cyber</t>
  </si>
  <si>
    <t xml:space="preserve">International Trade Administration (U.S. Department of Commerce), citata da Mordor Intelligence</t>
  </si>
  <si>
    <t xml:space="preserve">Austria Country Commercial Guide, Cyber Security (edizione circa 2020)</t>
  </si>
  <si>
    <t xml:space="preserve">circa 2020</t>
  </si>
  <si>
    <t xml:space="preserve">Valore della guida ITA riportato da Mordor Intelligence; l'edizione originale non è stata trovata.</t>
  </si>
  <si>
    <t xml:space="preserve">Guida commerciale per esportatori statunitensi. Riporta quote per servizi, software e hardware e un valore di ricavi del settore senza fonte né metodo.</t>
  </si>
  <si>
    <t xml:space="preserve">International Trade Administration</t>
  </si>
  <si>
    <t xml:space="preserve">Guida commerciale per esportatori statunitensi che riprende stime di mercato di terzi senza citarne la fonte nell'estratto.</t>
  </si>
  <si>
    <t xml:space="preserve">Slovenia Country Commercial Guide. ICT</t>
  </si>
  <si>
    <t xml:space="preserve">Guida commerciale con indicazioni qualitative di rappresentanti del settore.</t>
  </si>
  <si>
    <t xml:space="preserve">Austria Cybersecurity Opportunities</t>
  </si>
  <si>
    <t xml:space="preserve">Nota di market intelligence per esportatori statunitensi con tasso di crescita atteso, senza fonte né metodo.</t>
  </si>
  <si>
    <t xml:space="preserve">2023-2030</t>
  </si>
  <si>
    <t xml:space="preserve">Pagina gratuita; dichiara una analisi storica quinquennale senza ulteriori dettagli.</t>
  </si>
  <si>
    <t xml:space="preserve">Scheda di rapporto con segmentazione per soluzione, tipo di sicurezza, utente finale e prodotti importati o domestici. Metodologia non reperita negli estratti.</t>
  </si>
  <si>
    <t xml:space="preserve">Servizi e soluzioni di cybersecurity, inclusi prodotti importati</t>
  </si>
  <si>
    <t xml:space="preserve">Pagina prodotto con valore basato su analisi storica quinquennale e previsioni 2025-2030.</t>
  </si>
  <si>
    <t xml:space="preserve">Software, hardware, servizi professionali e servizi gestiti di sicurezza venduti nel mercato italiano</t>
  </si>
  <si>
    <t xml:space="preserve">Pagina prodotto con valore basato su analisi storica quinquennale e anno base 2024.</t>
  </si>
  <si>
    <t xml:space="preserve">Blog commerciale di un fornitore con stime 2026 per l'area DACH e per paese, senza fonte né metodo.</t>
  </si>
  <si>
    <t xml:space="preserve">KPMG Austria con KSÖ Sicherheitsforum Digitale Wirtschaft</t>
  </si>
  <si>
    <t xml:space="preserve">https://kpmg.com/at/de/media/publications/cybersecurity-studie.html</t>
  </si>
  <si>
    <t xml:space="preserve">Studio annuale (dal 2016) basato su survey alle imprese austriache e interviste a esperti; nelle edizioni 2025 e 2026 i rispondenti sono 1.391 e 1.396 imprese. Il budget cyber è rilevato per classi di quota del budget IT; non è pubblicata una media nelle sintesi consultate.</t>
  </si>
  <si>
    <t xml:space="preserve">Circa 900-1.400 imprese per edizione (903 nel 2022, 1.391 nel 2025, 1.396 nel 2026)</t>
  </si>
  <si>
    <t xml:space="preserve">Budget annuo per implementazione e mantenimento della cybersecurity</t>
  </si>
  <si>
    <t xml:space="preserve">LSEC Leaders in Security e PwC per Commissione europea DG CNECT</t>
  </si>
  <si>
    <t xml:space="preserve">Cybersecurity industry market analysis (CIMA), presentazione dei risultati 2018 Update</t>
  </si>
  <si>
    <t xml:space="preserve">Presentazione 24/01/2019; rapporto finale Publications Office 28/08/2019</t>
  </si>
  <si>
    <t xml:space="preserve">https://www.digitalsecuritycatalyst.com/cima-cybersecurity-industry-market-analysis/</t>
  </si>
  <si>
    <t xml:space="preserve">Ricerca quantitativa svolta da PwC e LSEC per la Commissione nel 2017-2018 su dati di mercato 2016, con approccio big data che estrae valori economici da oltre 900 fonti prevalentemente transazionali. Considera tutte le vendite cyber, inclusi prodotti e servizi distribuiti e rivenduti da system integrator. Include imprese esclusivamente cyber, imprese con attività cyber tra le altre e imprese della filiera. Classificazione in sottosettori (anti-malware, sicurezza applicativa, continuità operativa, consulenza, assicurazione cyber, cifratura, identità, infrastruttura, mobile, servizi gestiti e altri). Il rapporto finale (doi 10.2759/018751) non è leggibile dagli estratti.</t>
  </si>
  <si>
    <t xml:space="preserve">Oltre 900 fonti di dati transazionali</t>
  </si>
  <si>
    <t xml:space="preserve">Imprese che vendono prodotti e servizi cyber nel mondo e nell'UE (circa 60000 nell'UE nel 2016)</t>
  </si>
  <si>
    <t xml:space="preserve">Definizione ampia, include assicurazione cyber e imprese di difesa e sicurezza</t>
  </si>
  <si>
    <t xml:space="preserve">Gouvernement du Grand-Duché de Luxembourg (budget de l'État)</t>
  </si>
  <si>
    <t xml:space="preserve">Budget de l'État 2025, Défense</t>
  </si>
  <si>
    <t xml:space="preserve">Pagina ufficiale del bilancio dello Stato con i crediti per la ciberdifesa e la programmazione pluriennale fino al 2028.</t>
  </si>
  <si>
    <t xml:space="preserve">Bilancio dello Stato lussemburghese</t>
  </si>
  <si>
    <t xml:space="preserve">Servizi di ciberdifesa</t>
  </si>
  <si>
    <t xml:space="preserve">Budget de l'État 2026, Ministère de l'Économie, section 06.0</t>
  </si>
  <si>
    <t xml:space="preserve">Pagina ufficiale del bilancio dello Stato con il dettaglio dei crediti per articolo e la programmazione pluriennale fino al 2029, incluso il contributo al GIE Luxembourg House of Cybersecurity.</t>
  </si>
  <si>
    <t xml:space="preserve">Contributo al funzionamento dell'agenzia nazionale per la cybersecurity LHC</t>
  </si>
  <si>
    <t xml:space="preserve">Lünendonk-Listen 2025 / Lünendonk-Studie 2025 Der Markt für IT-Dienstleistungen in Deutschland</t>
  </si>
  <si>
    <t xml:space="preserve">Survey annuale presso i fornitori di servizi IT attivi in Germania con aspettative di crescita dei ricavi per tema. Numerosità non indicata nel comunicato.</t>
  </si>
  <si>
    <t xml:space="preserve">Fornitori di servizi IT in Germania</t>
  </si>
  <si>
    <t xml:space="preserve">Ricavi dei fornitori di servizi IT con il tema Cyber Security</t>
  </si>
  <si>
    <t xml:space="preserve">Pagina gratuita di report a pagamento; indica come fonti ricerca secondaria, interviste a esperti e analisi MarketsandMarkets.</t>
  </si>
  <si>
    <t xml:space="preserve">Germany Cybersecurity Market (2025-2030): Size and Share</t>
  </si>
  <si>
    <t xml:space="preserve">Europe Cybersecurity Market Report 2025-2030</t>
  </si>
  <si>
    <t xml:space="preserve">Metodologia generica MarketsandMarkets. Ricerca secondaria (banche dati come D&amp;B Hoovers, Bloomberg, Factiva, bilanci), interviste primarie con fonti lato offerta (CEO, direttori, responsabili marketing di imprese del settore) e lato domanda, stima con approcci top-down e bottom-up, quote di mercato degli operatori da fonti primarie e secondarie, ripartizioni percentuali verificate con interviste, triangolazione dei dati studiando fattori e tendenze dal lato della domanda e dell'offerta.</t>
  </si>
  <si>
    <t xml:space="preserve">Soluzioni e servizi di cybersecurity per tipo di sicurezza</t>
  </si>
  <si>
    <t xml:space="preserve">Metodologia generica MarketsandMarkets. Ricerca secondaria (banche dati come D&amp;B Hoovers, Bloomberg, Factiva, bilanci), interviste primarie con fonti lato offerta (CEO, direttori, responsabili marketing di imprese del settore) e lato domanda, stima con approcci top-down e bottom-up, quote di mercato degli operatori da fonti primarie e secondarie, ripartizioni percentuali verificate con interviste, triangolazione dei dati studiando fattori e tendenze dal lato della domanda e dell'offerta. Valori incongruenti con il rapporto europeo dello stesso editore.</t>
  </si>
  <si>
    <t xml:space="preserve">France Cybersecurity Market (2025-2030): Size and Share</t>
  </si>
  <si>
    <t xml:space="preserve">Pagina paese con valore 2026, previsione 2031 e CAGR per il segmento difesa.</t>
  </si>
  <si>
    <t xml:space="preserve">2026-2031</t>
  </si>
  <si>
    <t xml:space="preserve">Testo metodologico generico dell'editore, dimensione delle soluzioni come valore generato da software, hardware e piattaforme; servizi come somma dei ricavi dei fornitori di servizi gestiti e professionali; validazione top-down e interviste a dirigenti.</t>
  </si>
  <si>
    <t xml:space="preserve">Protezione di sistemi e reti industriali e OT</t>
  </si>
  <si>
    <t xml:space="preserve">MARKETSANDMARKETS-METODOLOGIA-2026</t>
  </si>
  <si>
    <t xml:space="preserve">Research methodology (testo generico dei rapporti cybersecurity)</t>
  </si>
  <si>
    <t xml:space="preserve">https://www.marketsandmarkets.com/Market-Reports/geography/cyber-security-market/US</t>
  </si>
  <si>
    <t xml:space="preserve">https://www.marketsandmarkets.com/Market-Reports/us-cybersecurity-market-199745351.html</t>
  </si>
  <si>
    <t xml:space="preserve">Scheda di rapporto. Metodologia non reperita.</t>
  </si>
  <si>
    <t xml:space="preserve">Comunicato ministeriale che somma le risorse per la cybersecurity civile gestite nel 2025 per fonte (dotazioni mirate, CSIRT NASK, Fundusz Cyberbezpieczeństwa, KPO, FERC). Mescola stanziamenti annui e dotazioni pluriennali di programma. Esclude la difesa.</t>
  </si>
  <si>
    <t xml:space="preserve">Sfera civile, amministrazioni pubbliche, enti locali e settori chiave</t>
  </si>
  <si>
    <t xml:space="preserve">1,5 mld zł dla samorządów na cyberbezpieczeństwo (Cyberbezpieczny Samorząd)</t>
  </si>
  <si>
    <t xml:space="preserve">Comunicato ministeriale sui contributi del programma Cyberbezpieczny Samorząd, realizzato da CPPC con NASK e cofinanziato da FERC 2021-2027. Riporta l'importo totale delle domande presentate dal 90% degli enti ammissibili e la ripartizione per area tecnica, organizzativa e formativa.</t>
  </si>
  <si>
    <t xml:space="preserve">Oltre 2.000 enti locali beneficiari</t>
  </si>
  <si>
    <t xml:space="preserve">Enti territoriali polacchi ammissibili (oltre 2.800)</t>
  </si>
  <si>
    <t xml:space="preserve">Comunicato sull'aumento del limite annuo del bilancio statale per il Fundusz Cyberbezpieczeństwa a 250 mln zł dal 2024, in base all'articolo 53 della legge del 15 maggio 2024.</t>
  </si>
  <si>
    <t xml:space="preserve">Comunicato che elenca i programmi di sostegno alla cybersecurity degli enti locali con le rispettive dotazioni.</t>
  </si>
  <si>
    <t xml:space="preserve">Sicherheitsmarkt in Deutschland wächst auf über 34 Milliarden Euro (Marktdaten)</t>
  </si>
  <si>
    <t xml:space="preserve">Testo stampa della fiera Security Essen con tabella dei ricavi del mercato della sicurezza tedesco 2022-2025 per comparti; la riga IT-Sicherheit è attribuita a Bitkom. Nessuna metodologia propria.</t>
  </si>
  <si>
    <t xml:space="preserve">IT-Sicherheit come comparto del mercato della sicurezza</t>
  </si>
  <si>
    <t xml:space="preserve">2024-2031</t>
  </si>
  <si>
    <t xml:space="preserve">Ministrstvo za finance RS (Uradni list)</t>
  </si>
  <si>
    <t xml:space="preserve">Spremembe proračuna RS za leto 2026, posebni del</t>
  </si>
  <si>
    <t xml:space="preserve">Bilancio statale modificato 2026 per utilizzatore e sottoprogramma.</t>
  </si>
  <si>
    <t xml:space="preserve">Zaključni račun proračuna 2022, 1544 URSIV</t>
  </si>
  <si>
    <t xml:space="preserve">Rendiconto con bilancio approvato, valido e speso per l'ufficio URSIV.</t>
  </si>
  <si>
    <t xml:space="preserve">Dati amministrativi del bilancio statale ceco per il capitolo 378 NÚKIB (approvato, finale o eseguito). Il bilancio comprende personale, spese correnti e investimenti dell'agenzia.</t>
  </si>
  <si>
    <t xml:space="preserve">Agenzia nazionale per la cybersecurity</t>
  </si>
  <si>
    <t xml:space="preserve">Prezzi correnti in CZK</t>
  </si>
  <si>
    <t xml:space="preserve">Ministerstvo financí ČR (tramite Lupa.cz)</t>
  </si>
  <si>
    <t xml:space="preserve">Dati di bilancio NÚKIB 2026 e proposta 2027</t>
  </si>
  <si>
    <t xml:space="preserve">Platforma na podporu kybernetickej bezpečnosti (MV SR)</t>
  </si>
  <si>
    <t xml:space="preserve">Valutazione economica ex ante di un progetto pubblico di cybersecurity sulla base dello studio di fattibilità, con scomposizione dei costi di investimento e di gestione e giudizio sull'adeguatezza.</t>
  </si>
  <si>
    <t xml:space="preserve">Kybernetická bezpečnosť v samospráve do 6 000 obyvateľov</t>
  </si>
  <si>
    <t xml:space="preserve">Изграждане на централните компоненти на националната система за киберсигурност</t>
  </si>
  <si>
    <t xml:space="preserve">Documento di procedura di sovvenzione con dotazione totale e ripartizione per categoria di regione.</t>
  </si>
  <si>
    <t xml:space="preserve">Investimento C15.I7 Ciberseguridad del PRTR</t>
  </si>
  <si>
    <t xml:space="preserve">Pagina di bilancio della strategia nazionale cyber lanciata il 18/02/2021 e integrata in France 2030, con dotazione complessiva, fondi pubblici e principali linee (Campus Cyber, progetti tecnologici, PEPR, France Relance ANSSI, formazione).</t>
  </si>
  <si>
    <t xml:space="preserve">Strategia nazionale di accelerazione per la cybersecurity</t>
  </si>
  <si>
    <t xml:space="preserve">MIRRI SR</t>
  </si>
  <si>
    <t xml:space="preserve">Indikatívny harmonogram výziev Plánu obnovy v6</t>
  </si>
  <si>
    <t xml:space="preserve">Documento ministeriale con dotazioni di riforme, investimenti o call dedicate alla cybersecurity della pubblica amministrazione finanziate dal Piano di ripresa o dal Programma Slovensko.</t>
  </si>
  <si>
    <t xml:space="preserve">Kybernetická bezpečnosť v Pláne obnovy, prezentácia ITAPA</t>
  </si>
  <si>
    <t xml:space="preserve">2023-2026</t>
  </si>
  <si>
    <t xml:space="preserve">2024-2030</t>
  </si>
  <si>
    <t xml:space="preserve">Österreichischer Cybersicherheitsmarkt</t>
  </si>
  <si>
    <t xml:space="preserve">Pagina gratuita di report a pagamento. Dichiara la definizione del mercato come spesa in Austria per software, hardware e servizi di sicurezza di reti, endpoint, identità, applicazioni e dati, on premise e cloud. Nessun dettaglio sui passaggi di stima.</t>
  </si>
  <si>
    <t xml:space="preserve">Software, hardware e servizi di sicurezza per reti, endpoint, identità, applicazioni e dati</t>
  </si>
  <si>
    <t xml:space="preserve">Taille et analyse des parts du marché belge de la cybersécurité</t>
  </si>
  <si>
    <t xml:space="preserve">BE, NL, LU</t>
  </si>
  <si>
    <t xml:space="preserve">Metodologia proprietaria Mordor Intelligence. Ricerca documentale su fonti pubbliche e societarie, interviste primarie con fornitori, partner e acquirenti, stima top-down del bacino di domanda corroborata da approssimazioni bottom-up (ricavi dei vendor, prezzi per volumi), previsioni con scenari e regressione, triangolazione e revisione a più analisti.</t>
  </si>
  <si>
    <t xml:space="preserve">Deutschland Cybersicherheitsmarkt</t>
  </si>
  <si>
    <t xml:space="preserve">Metodologia Mordor Intelligence (quadro di stima proprietario aggiornato al 2026). Ricerca documentale su fonti pubbliche e ufficiali (ENISA, Eurostat, Commissione, BCE, OCSE) e documenti societari; interviste primarie e sondaggi con fornitori, partner di canale e acquirenti. Stima top-down che ricostruisce un bacino di domanda da segnali di spesa IT e di sicurezza, poi ripartito tra soluzioni e servizi, corroborata con approssimazioni bottom-up (ricavi di vendor e partner, prezzi per utente o dispositivo per volumi). Previsioni con scenari e regressione, validazione con triangolazione e revisione a più analisti.</t>
  </si>
  <si>
    <t xml:space="preserve">Ricavi generati in Europa da soluzioni e servizi di cybersecurity</t>
  </si>
  <si>
    <t xml:space="preserve">Ricavi da soluzioni e servizi che prevengono, rilevano e rispondono a minacce su reti, endpoint, applicazioni, cloud e dati; esclusi hardware IT generico, outsourcing IT non di sicurezza e sicurezza fisica</t>
  </si>
  <si>
    <t xml:space="preserve">Taille et part du marché de la cybersécurité en France</t>
  </si>
  <si>
    <t xml:space="preserve">Pagina gratuita; definisce il mercato come spesa in Francia in software, hardware e servizi di cybersecurity di organizzazioni private e pubbliche. Confronta il proprio valore con stime anonime di un'associazione di settore (8,30 miliardi USD) e di una società di consulenza (11,60 miliardi USD).</t>
  </si>
  <si>
    <t xml:space="preserve">Software, hardware e servizi di cybersecurity</t>
  </si>
  <si>
    <t xml:space="preserve">Pagina paese con anno base 2025, previsioni 2026-2031, ripartizione per offerta. Definisce il perimetro come spesa in soluzioni e servizi di cybersecurity in Ungheria in USD. Il metodo di calcolo non è descritto nell'estratto.</t>
  </si>
  <si>
    <t xml:space="preserve">Soluzioni e servizi che aiutano le organizzazioni a prevenire, rilevare, rispondere e recuperare da minacce cyber</t>
  </si>
  <si>
    <t xml:space="preserve">USD correnti (dedotto)</t>
  </si>
  <si>
    <t xml:space="preserve">Netherlands Cybersecurity Market Size &amp; Share Analysis</t>
  </si>
  <si>
    <t xml:space="preserve">Pagina gratuita; stima con quadro proprietario aggiornato al 2026. Definizione, spesa in soluzioni, software e servizi di cybersecurity, imprese, PA e PMI, escluse sicurezza fisica e consulenza pura.</t>
  </si>
  <si>
    <t xml:space="preserve">Soluzioni, software e servizi di cybersecurity, escluse sicurezza fisica e consulenza pura</t>
  </si>
  <si>
    <t xml:space="preserve">DK, NO, SE, FI</t>
  </si>
  <si>
    <t xml:space="preserve">Soluzioni (sicurezza applicazioni, cloud, consumer, dati, identità, infrastruttura, rischio, rete) e servizi</t>
  </si>
  <si>
    <t xml:space="preserve">DK, FI, NO, SE, IS</t>
  </si>
  <si>
    <t xml:space="preserve">Metodologia proprietaria Mordor Intelligence. Ricerca documentale su fonti pubbliche e societarie, interviste primarie con fornitori, partner e acquirenti, stima top-down del bacino di domanda corroborata da approssimazioni bottom-up (ricavi dei vendor, prezzi per volumi), previsioni con scenari e regressione, triangolazione e revisione a più analisti. La definizione comprende la spesa in software, servizi e strumenti di sicurezza in Danimarca, Finlandia, Norvegia, Svezia e Islanda.</t>
  </si>
  <si>
    <t xml:space="preserve">Spesa in software, servizi e strumenti di sicurezza</t>
  </si>
  <si>
    <t xml:space="preserve">Poland Cybersecurity Market (edizione 2024-2029)</t>
  </si>
  <si>
    <t xml:space="preserve">edizione 2024-2029</t>
  </si>
  <si>
    <t xml:space="preserve">Pagina paese con anno base, periodo di previsione, dimensione e CAGR, ripartizioni per offerta e settore. Nessuna descrizione specifica di come il valore è costruito nell'estratto.</t>
  </si>
  <si>
    <t xml:space="preserve">Soluzioni e servizi di cybersecurity</t>
  </si>
  <si>
    <t xml:space="preserve">Poland Cybersecurity Market (edizione 2025-2030)</t>
  </si>
  <si>
    <t xml:space="preserve">edizione 2025-2030</t>
  </si>
  <si>
    <t xml:space="preserve">edizione 2026-2031</t>
  </si>
  <si>
    <t xml:space="preserve">Romania Cybersecurity Market (edizione 2024-2029)</t>
  </si>
  <si>
    <t xml:space="preserve">Pagina paese con valore dell'anno base, previsione e CAGR. Metodo di calcolo non descritto nell'estratto.</t>
  </si>
  <si>
    <t xml:space="preserve">Romania Cybersecurity Market (edizione 2025-2030)</t>
  </si>
  <si>
    <t xml:space="preserve">MORDOR-METODOLOGIA-2026</t>
  </si>
  <si>
    <t xml:space="preserve">Research methodology (testo dei rapporti 2026)</t>
  </si>
  <si>
    <t xml:space="preserve">Dollari USA correnti, cambi medi annui</t>
  </si>
  <si>
    <t xml:space="preserve">Europa (Regno Unito, Germania, Francia, resto d'Europa)</t>
  </si>
  <si>
    <t xml:space="preserve">Servizi di sicurezza gestiti, professionali, di consulenza e threat intelligence, sia cyber sia fisici</t>
  </si>
  <si>
    <t xml:space="preserve">DK, FI, IS, NO, SE</t>
  </si>
  <si>
    <t xml:space="preserve">Tecnologie, servizi e soluzioni per proteggere asset digitali, reti, endpoint e dati</t>
  </si>
  <si>
    <t xml:space="preserve">Deployment of NCC-HR</t>
  </si>
  <si>
    <t xml:space="preserve">Comunicato ministeriale sul progetto del centro nazionale di coordinamento cyber con valore totale e quota UE.</t>
  </si>
  <si>
    <t xml:space="preserve">2025-2035</t>
  </si>
  <si>
    <t xml:space="preserve">Pagina gratuita di report a pagamento. Nessuna metodologia specifica per il dato nell'estratto. Valori interni incoerenti nella stessa pagina.</t>
  </si>
  <si>
    <t xml:space="preserve">2026-2029</t>
  </si>
  <si>
    <t xml:space="preserve">Investicija C2.3. R3-I2 Jačanje kapaciteta policije za suzbijanje kibernetičkog kriminaliteta</t>
  </si>
  <si>
    <t xml:space="preserve">Comunicato sullo stato di attuazione dell'investimento NPOO con acquisti, formazione e valore totale.</t>
  </si>
  <si>
    <t xml:space="preserve">Výzva č. 41 Kybernetická bezpečnost - obce</t>
  </si>
  <si>
    <t xml:space="preserve">Verze 2</t>
  </si>
  <si>
    <t xml:space="preserve">Bando del Piano nazionale di ripresa, componente 1.2 Sistemi digitali della pubblica amministrazione, con dotazione totale IVA esclusa, limiti per progetto e attività ammissibili di cybersecurity.</t>
  </si>
  <si>
    <t xml:space="preserve">Prezzi correnti in CZK, IVA esclusa</t>
  </si>
  <si>
    <t xml:space="preserve">Výzva č. 46 Kybernetická bezpečnost - městské části hlavního města Prahy</t>
  </si>
  <si>
    <t xml:space="preserve">Národný bezpečnostný úrad</t>
  </si>
  <si>
    <t xml:space="preserve">Návrh rozpočtu kapitoly NBÚ 2024-2026</t>
  </si>
  <si>
    <t xml:space="preserve">Documento di bilancio del capitolo NBÚ con spese per programma, approvato 2023 e proposte 2024-2026. Il sottoprogramma 0D905 riguarda la cybersecurity e include il sistema nazionale di gestione degli incidenti.</t>
  </si>
  <si>
    <t xml:space="preserve">NCTV, Ministerie van Justitie en Veiligheid</t>
  </si>
  <si>
    <t xml:space="preserve">Nederlandse Cybersecurity Agenda</t>
  </si>
  <si>
    <t xml:space="preserve">Agenda nazionale di cybersecurity del 2018 con l'investimento strutturale di 95 milioni fissato dall'accordo di governo e la ripartizione per ministeri.</t>
  </si>
  <si>
    <t xml:space="preserve">aprile 2024</t>
  </si>
  <si>
    <t xml:space="preserve">gennaio 2024</t>
  </si>
  <si>
    <t xml:space="preserve">Zpráva o stavu kybernetické bezpečnosti ČR za rok 2022</t>
  </si>
  <si>
    <t xml:space="preserve">Rapporto annuale dell'agenzia nazionale con un questionario rivolto a istituzioni statali, organizzazioni e imprese pubbliche e private regolate e non regolate. Riporta la distribuzione dei rispondenti per quota del budget totale destinata alla cybersecurity e per variazione del budget.</t>
  </si>
  <si>
    <t xml:space="preserve">Soggetti regolati e non regolati, numerosità non letta nell'estratto</t>
  </si>
  <si>
    <t xml:space="preserve">Zpráva o stavu kybernetické bezpečnosti ČR za rok 2023</t>
  </si>
  <si>
    <t xml:space="preserve">423 rispondenti (339 regolati, 84 non regolati)</t>
  </si>
  <si>
    <t xml:space="preserve">Numeum con PAC</t>
  </si>
  <si>
    <t xml:space="preserve">Secteur du numérique en France : une croissance continue</t>
  </si>
  <si>
    <t xml:space="preserve">giugno 2024</t>
  </si>
  <si>
    <t xml:space="preserve">Comunicato della conferenza semestrielle Numeum, cifre di mercato da modellizzazione PAC e survey online a oltre 320 imprese del digitale (aprile-maggio 2024), con dimensione dei temi cloud, big data, sicurezza, IA.</t>
  </si>
  <si>
    <t xml:space="preserve">Oltre 320 imprese del digitale</t>
  </si>
  <si>
    <t xml:space="preserve">Mercato del digitale in Francia (editori, ESN, consulenza in tecnologie)</t>
  </si>
  <si>
    <t xml:space="preserve">Marché du numérique en France : bilan 2024 et perspectives 2025</t>
  </si>
  <si>
    <t xml:space="preserve">dicembre 2024</t>
  </si>
  <si>
    <t xml:space="preserve">Comunicato della conferenza semestrielle di dicembre, cifre tratte da interviste PAC agli operatori di tre mestieri (editori e piattaforme cloud, ESN, conseil en technologies), con dimensione dei temi cloud, sicurezza e IA.</t>
  </si>
  <si>
    <t xml:space="preserve">Mercato del digitale in Francia (editori, ESN, conseil en technologies)</t>
  </si>
  <si>
    <t xml:space="preserve">UE più SEE senza Regno Unito</t>
  </si>
  <si>
    <t xml:space="preserve">Stima di consenso. Parte dalle stime europee di più editori (55-70 miliardi USD nel 2025, inclusa MarketsandMarkets), sottrae circa il 23% attribuito al Regno Unito e ottiene UE più SEE tra 45 e 60 miliardi di euro, mediana circa 50. Scenari 2030 tra 70 e 84 miliardi (base 77, crescita 9%). Cita anche circa 31 miliardi annui di spesa obbligatoria per NIS2, DORA e CRA.</t>
  </si>
  <si>
    <t xml:space="preserve">UE più SEE</t>
  </si>
  <si>
    <t xml:space="preserve">https://sitsi.pacanalyst.com/wp-content/uploads/2023/11/PAC_Segmentation.pdf</t>
  </si>
  <si>
    <t xml:space="preserve">Articolo di blog con stime PAC su crescita del mercato europeo della cybersecurity e quota sulla spesa IT. La segmentazione SITSI distingue prodotti e soluzioni (GRC, SOC e SIEM, sicurezza dati e applicazioni, identità, infrastruttura) e servizi (progetto, integrazione, servizi gestiti e outsourcing) e dichiara che le cifre SITSI non includono l'hardware di sicurezza. Il metodo di stima non è descritto nel blog.</t>
  </si>
  <si>
    <t xml:space="preserve">Software e servizi di cybersecurity secondo la segmentazione SITSI, hardware escluso</t>
  </si>
  <si>
    <t xml:space="preserve">Articolo che riporta lo studio PAC sul mercato francese della cybersecurity (software, piattaforme cloud e servizi; hardware escluso) con previsioni al 2029 e sottosegmenti di servizi.</t>
  </si>
  <si>
    <t xml:space="preserve">Software, piattaforme cloud e servizi di cybersecurity</t>
  </si>
  <si>
    <t xml:space="preserve">Resoconto di un intervento dell'analista PAC Eric Domage con consuntivo 2025, previsione 2030 e mercato dei servizi gestiti.</t>
  </si>
  <si>
    <t xml:space="preserve">Analisi del servizio bilancio parlamentare sui progetti di bilancio 2025 e 2026 della Cancelleria federale, incluse le risorse per il centro nazionale di coordinamento per la cybersicurezza.</t>
  </si>
  <si>
    <t xml:space="preserve">Bilancio federale, UG 10</t>
  </si>
  <si>
    <t xml:space="preserve">Centro nazionale di coordinamento per la cybersicurezza NCC-AT</t>
  </si>
  <si>
    <t xml:space="preserve">Parlament Österreich</t>
  </si>
  <si>
    <t xml:space="preserve">Cybersecurity: Systematisierung, Forschungsstand und Handlungsfelder, Endbericht</t>
  </si>
  <si>
    <t xml:space="preserve">Rapporto di approfondimento per il Parlamento che cita i risultati della survey KPMG sulla cybersecurity in Austria.</t>
  </si>
  <si>
    <t xml:space="preserve">Republik Österreich, Ministerialentwurf (BKA/BMI)</t>
  </si>
  <si>
    <t xml:space="preserve">NIS-Gesetz 2024, Vorblatt und wirkungsorientierte Folgenabschätzung (326/ME XXVII. GP)</t>
  </si>
  <si>
    <t xml:space="preserve">Valutazione d'impatto finanziario del progetto ministeriale 2024 di recepimento di NIS2, con esborsi per Bund e Länder per i primi cinque anni e dettaglio per misura.</t>
  </si>
  <si>
    <t xml:space="preserve">Bilancio federale austriaco</t>
  </si>
  <si>
    <t xml:space="preserve">Compiti pubblici di cybersicurezza previsti dal progetto di legge</t>
  </si>
  <si>
    <t xml:space="preserve">Republik Österreich, Regierungsvorlage al Nationalrat (BMI)</t>
  </si>
  <si>
    <t xml:space="preserve">NISG 2026, Vorblatt und wirkungsorientierte Folgenabschätzung (308 d.B. XXVIII. GP)</t>
  </si>
  <si>
    <t xml:space="preserve">https://www.parlament.gv.at/gegenstand/XXVIII/I/354</t>
  </si>
  <si>
    <t xml:space="preserve">Valutazione d'impatto finanziario obbligatoria del disegno di legge di recepimento di NIS2. Riporta per i primi cinque anni proventi, oneri ed esborsi per Bund e Länder e il dettaglio per misura, tra cui l'istituzione del Bundesamt für Cybersicherheit presso il Ministero dell'Interno.</t>
  </si>
  <si>
    <t xml:space="preserve">Compiti pubblici di cybersicurezza previsti dalla legge NISG 2026</t>
  </si>
  <si>
    <t xml:space="preserve">Rynek cyberbezpieczeństwa w Polsce 2022 (comunicato stampa)</t>
  </si>
  <si>
    <t xml:space="preserve">Il comunicato riporta serie 2018-2022 e previsione 2024 in mld zł con dinamiche annue. Definisce il mercato in senso stretto come dispositivi di sicurezza della rete aziendale, soluzioni applicative e servizi, e indica una definizione ampia di circa 10 mld zł. Non descrive fonti, campione o passaggi di stima.</t>
  </si>
  <si>
    <t xml:space="preserve">Prezzi correnti in PLN (dedotto)</t>
  </si>
  <si>
    <t xml:space="preserve">Rynek cyberbezpieczeństwa w Polsce 2024. Analiza rynku i prognozy rozwoju na lata 2024-2029</t>
  </si>
  <si>
    <t xml:space="preserve">https://files.mypmr.pro/nohash/01cd65bb537dee29d39fafc98963773de40dcb07.Pdf</t>
  </si>
  <si>
    <t xml:space="preserve">Il volantino del rapporto indica valori di mercato 2014-2023 e previsioni 2024-2029, struttura per hardware, servizi e software e per aree funzionali. Nei rapporti ICT PMR dichiara in modo generico previsioni da modelli econometrici (regressione multipla, ARIMA, VAR) e indagini CATI e CAWI presso le imprese. Il calcolo del valore di mercato non è descritto. I numeri sono letti solo da articoli che citano PMR.</t>
  </si>
  <si>
    <t xml:space="preserve">Indagine PMR su 640 grandi imprese e PMI citata da ITwiz (agosto 2025), legame con il dato non dichiarato</t>
  </si>
  <si>
    <t xml:space="preserve">Rynek cyberbezpieczeństwa w Polsce 2025. Analiza rynku i prognozy rozwoju na lata 2025-2030</t>
  </si>
  <si>
    <t xml:space="preserve">https://pmrmarketexperts.com/wp-content/uploads/2025/11/rynek-cyberbezpieczenstwa-w-polsce-table_of_content.pdf</t>
  </si>
  <si>
    <t xml:space="preserve">https://pmrmarketexperts.com/raport/rynek-cyberbezpieczenstwa-w-polsce/</t>
  </si>
  <si>
    <t xml:space="preserve">L'indice del rapporto riporta valori 2016-2025 e previsioni 2024-2030 per segmento, per tipo di soluzione, per grandi, medie e piccole imprese, settore pubblico e famiglie, per settore e in termini reali, oltre a una classifica dei 50 principali fornitori per ricavi. La pagina prodotto cita dati, previsioni e profili dei fornitori. Il modo in cui il valore di mercato è costruito non è dichiarato.</t>
  </si>
  <si>
    <t xml:space="preserve">Prezzi correnti in PLN, con serie in termini reali nel rapporto</t>
  </si>
  <si>
    <t xml:space="preserve">Guvernul României (sintesi ADR Centru)</t>
  </si>
  <si>
    <t xml:space="preserve">PNRR Componenta 7 Transformarea digitală</t>
  </si>
  <si>
    <t xml:space="preserve">Sintesi regionale delle investizioni della componente 7 del PNRR (bilancio totale 1.884,96 mln EUR) con istituzione responsabile, beneficiari e dotazione per investimento. Le investizioni cyber sono I12, I13, I14 e I15.</t>
  </si>
  <si>
    <t xml:space="preserve">Survey a 1.107 CISO, CSO e CIO, 106 Risk Manager e Chief Risk Officer, 313 professionisti data protection</t>
  </si>
  <si>
    <t xml:space="preserve">Imprese italiane</t>
  </si>
  <si>
    <t xml:space="preserve">Soluzioni di information security, inclusi progetti di adeguamento GDPR</t>
  </si>
  <si>
    <t xml:space="preserve">https://www.osservatori.net/grafico-interattivo/cybersecurity-data-protection/cybersecurity-mercato-italia/</t>
  </si>
  <si>
    <t xml:space="preserve">Organizzazioni italiane end user, imprese e Pubblica Amministrazione</t>
  </si>
  <si>
    <t xml:space="preserve">Prezzi correnti (dedotto)</t>
  </si>
  <si>
    <t xml:space="preserve">https://www.osservatori.net/report/cybersecurity-data-protection/scenario-cybersecurity-italia-2024/</t>
  </si>
  <si>
    <t xml:space="preserve">131 organizzazioni italiane con oltre 249 dipendenti (report ricerca 2024)</t>
  </si>
  <si>
    <t xml:space="preserve">Spesa in soluzioni, servizi, formazione e polizze cyber (vista per componente di spesa)</t>
  </si>
  <si>
    <t xml:space="preserve">Mercato stimato con triplice prospettiva dichiarata. Top-down con interviste dirette, telefoniche o fonti secondarie a oltre 100 vendor operanti in Italia. Bottom-up con la rilevazione della variazione del budget dedicato alla cybersecurity da parte delle organizzazioni end user, stratificate per classe dimensionale e settore. Fonti secondarie da ricerche di vendor e analisti internazionali. Rilevazione annuale con questionari a CISO, CIO, Risk Manager e DPO.</t>
  </si>
  <si>
    <t xml:space="preserve">145 grandi organizzazioni e 1.582 PMI italiane (ricerca 2025)</t>
  </si>
  <si>
    <t xml:space="preserve">Spesa in soluzioni tecnologiche e servizi di cybersecurity, inclusi servizi gestiti</t>
  </si>
  <si>
    <t xml:space="preserve">2019 (dati 2017)</t>
  </si>
  <si>
    <t xml:space="preserve">Cyber-ruletka po polsku. Dlaczego firmy w walce z cyberprzestępcami liczą na szczęście (GSISS 2018)</t>
  </si>
  <si>
    <t xml:space="preserve">Indagine presso medie e grandi imprese in Polonia nell'ambito del Global State of Information Security Survey. Il rapporto precisa che i budget dichiarati comprendono tutte le spese di sicurezza delle informazioni, dal personale agli strumenti e alla formazione.</t>
  </si>
  <si>
    <t xml:space="preserve">Medie e grandi imprese operanti in Polonia, numerosità non letta nell'estratto</t>
  </si>
  <si>
    <t xml:space="preserve">Primi 100 studi legali per fatturato</t>
  </si>
  <si>
    <t xml:space="preserve">Studi legali del Regno Unito</t>
  </si>
  <si>
    <t xml:space="preserve">2025, parte 2</t>
  </si>
  <si>
    <t xml:space="preserve">BP 2025</t>
  </si>
  <si>
    <t xml:space="preserve">BP 2026</t>
  </si>
  <si>
    <t xml:space="preserve">Europe Cybersecurity Market Size, Share &amp; Trends Analysis Report, 2026-2033</t>
  </si>
  <si>
    <t xml:space="preserve">Scheda di rivendita di un rapporto i cui valori coincidono con Grand View Research (71,34 e 160,74 miliardi USD, CAGR 10,8%). Research and Markets è un rivenditore di rapporti di editori terzi; metodologia dell'editore originale.</t>
  </si>
  <si>
    <t xml:space="preserve">Scheda di rivendita. Anni considerati 2018 storico, 2023 base, 2024 stima, 2029 previsione. Editore originale e metodologia non indicati nell'estratto.</t>
  </si>
  <si>
    <t xml:space="preserve">Sejm RP</t>
  </si>
  <si>
    <t xml:space="preserve">Ustawa o szczególnych zasadach wynagradzania osób realizujących zadania z zakresu cyberbezpieczeństwa, tekst jednolity</t>
  </si>
  <si>
    <t xml:space="preserve">Dz.U. 2024 poz. 1662</t>
  </si>
  <si>
    <t xml:space="preserve">Legge istitutiva del Fundusz Cyberbezpieczeństwa, fondo statale gestito dal ministro della digitalizzazione per integrazioni salariali del personale cyber. L'articolo 27 fissa i limiti annui di spesa del bilancio statale.</t>
  </si>
  <si>
    <t xml:space="preserve">Ustawa z dnia 5 lipca 2018 r. o krajowym systemie cyberbezpieczeństwa, tekst jednolity</t>
  </si>
  <si>
    <t xml:space="preserve">Dz.U. 2026 poz. 20</t>
  </si>
  <si>
    <t xml:space="preserve">29/12/2025</t>
  </si>
  <si>
    <t xml:space="preserve">https://api.sejm.gov.pl/eli/acts/DU/2026/20/text.pdf</t>
  </si>
  <si>
    <t xml:space="preserve">Testo unico della legge sul sistema nazionale di cybersecurity. L'articolo 93 fissa limiti massimi annui di spesa del bilancio statale per parte di bilancio (economia marittima, gestione delle acque, informatizzazione e altre) per il 2018-2027. Letto tramite la banca dati LEX.</t>
  </si>
  <si>
    <t xml:space="preserve">Ustawa o zmianie ustawy o krajowym systemie cyberbezpieczeństwa oraz niektórych innych ustaw</t>
  </si>
  <si>
    <t xml:space="preserve">Dz.U. 2026 poz. 252</t>
  </si>
  <si>
    <t xml:space="preserve">Legge di recepimento NIS2 che modifica l'articolo 27 della legge sulle remunerazioni del personale cyber, portando i limiti annui del Fondo per la cybersecurity a circa 352 mln zł per il 2026-2031.</t>
  </si>
  <si>
    <t xml:space="preserve">Sénat</t>
  </si>
  <si>
    <t xml:space="preserve">Rapport d'information n. 638 (2022-2023) sulla cybersecurity</t>
  </si>
  <si>
    <t xml:space="preserve">Rapporto parlamentare che riporta le dotazioni cyber delle leggi di programmazione militare e le risorse della cybersecurity civile dello Stato.</t>
  </si>
  <si>
    <t xml:space="preserve">Articolo di analisi che riprende i dati dell'Observatoire ACN 2025 sui servizi di cybersecurity, della DGE e della strategia nazionale.</t>
  </si>
  <si>
    <t xml:space="preserve">SRI, UM 0929 București (tramite Jurnalul)</t>
  </si>
  <si>
    <t xml:space="preserve">Contratto 9/2026 per la protezione cyber, PNRR C7 I12</t>
  </si>
  <si>
    <t xml:space="preserve">Articolo d'inchiesta basato sugli atti di gara SEAP con stima iniziale, prezzo finale negoziato, aggiudicatari e capitolato tecnico.</t>
  </si>
  <si>
    <t xml:space="preserve">Statista Market Insights, Cybersecurity, aggiornamento 2024 (topic e statistica Europa)</t>
  </si>
  <si>
    <t xml:space="preserve">Aggiornamento 2024</t>
  </si>
  <si>
    <t xml:space="preserve">https://www.statista.com/outlook/tmo/cybersecurity/worldwide</t>
  </si>
  <si>
    <t xml:space="preserve">Europa, ES, IT, UK (scheda generica curata dalla traccia A)</t>
  </si>
  <si>
    <t xml:space="preserve">Statista Market Insights, mercato Cybersecurity. Il mercato comprende i ricavi di cyber solutions (sicurezza applicazioni, cloud, dati, identità, infrastruttura, rete, consumer) e security services (servizi professionali e gestiti). I valori rappresentano ricavi dei vendor primari, diretti o tramite distribuzione, a prezzi del produttore IVA esclusa, e includono spesa dei consumatori (B2C), delle imprese (B2B) e dei governi (B2G). Dimensioni stimate con approccio combinato top-down e bottom-up, a partire da bilanci delle imprese leader, associazioni, istituti statistici e organismi di sicurezza nazionali, e indicatori come PIL e penetrazione di internet. Previsioni con lisciamento esponenziale e ARIMA; driver PIL, utenti internet, digitalizzazione. Aggiornamento semestrale, cambi correnti.</t>
  </si>
  <si>
    <t xml:space="preserve">Ricavi dei vendor primari</t>
  </si>
  <si>
    <t xml:space="preserve">Cyber solutions e security services, B2C, B2B e B2G</t>
  </si>
  <si>
    <t xml:space="preserve">Prezzi del produttore IVA esclusa</t>
  </si>
  <si>
    <t xml:space="preserve">Statista Market Insights, Cybersecurity (pagine outlook mondo, Europa, EU-27 e paesi)</t>
  </si>
  <si>
    <t xml:space="preserve">Aggiornamento indicizzato 09/01/2025 (pagine consultate il 08/10/2026)</t>
  </si>
  <si>
    <t xml:space="preserve">https://www.statista.com/outlook/tmo/cybersecurity/europe</t>
  </si>
  <si>
    <t xml:space="preserve">Mondo, Europa, EU-27, Europa centrale e occidentale e singoli paesi, UK (scheda generica curata dalla traccia A), PL, CZ, RO, HR (traccia E, valori letti da fonti terze)</t>
  </si>
  <si>
    <t xml:space="preserve">Ricavi dei vendor primari nel paese</t>
  </si>
  <si>
    <t xml:space="preserve">Prezzi del produttore IVA esclusa, cambi correnti</t>
  </si>
  <si>
    <t xml:space="preserve">https://www.statista.com/outlook/tmo/cybersecurity/germany</t>
  </si>
  <si>
    <t xml:space="preserve">Mondo, DE, USA</t>
  </si>
  <si>
    <t xml:space="preserve">Infografica che riprende Statista Market Insights Cybersecurity. Il prodotto dichiara valori come ricavi dei vendor primari, direttamente o tramite canali, a prezzi di produttore IVA esclusa, con spesa B2C, B2B e B2G.</t>
  </si>
  <si>
    <t xml:space="preserve">Prezzi di produttore, IVA esclusa</t>
  </si>
  <si>
    <t xml:space="preserve">Poland. Market size of cybersecurity market 2024-2029</t>
  </si>
  <si>
    <t xml:space="preserve">Statistica 1489436, gennaio 2025</t>
  </si>
  <si>
    <t xml:space="preserve">Statistica singola rilasciata ad agosto 2024 con valori 2024 e 2029 e tasso di crescita, coincidenti con Mordor Intelligence. Fonte non leggibile nell'estratto.</t>
  </si>
  <si>
    <t xml:space="preserve">Studie trhu bezpečnostních a obranných technologií v ČR</t>
  </si>
  <si>
    <t xml:space="preserve">Prosinec 2024</t>
  </si>
  <si>
    <t xml:space="preserve">Studio pilota del progetto STRAT-SEC. Identifica 432 imprese di tecnologie di sicurezza e difesa, di cui 117 nella cybersecurity, e analizza il lato domanda solo tramite i contratti pubblici del Registro dei contratti 2020-2024, per area di sicurezza e dimensione d'impresa.</t>
  </si>
  <si>
    <t xml:space="preserve">432 imprese, 117 attive nella cybersecurity</t>
  </si>
  <si>
    <t xml:space="preserve">Contratti pubblici nel Registro dei contratti 2020-2024</t>
  </si>
  <si>
    <t xml:space="preserve">https://www.technavio.com/report/software-market-industry-analysis</t>
  </si>
  <si>
    <t xml:space="preserve">Metodologia generica Technavio. Fonti primarie (produttori e fornitori, partner di canale, esperti, decisori) e secondarie (riviste di settore, dati pubblici, bilanci degli operatori, dati storici, comunicati). Sintesi dei dati e stima delle cifre chiave, validazione con triangolazione su modelli, banche dati proprietarie ed esperti. I rapporti esprimono la crescita incrementale del mercato nel periodo di previsione.</t>
  </si>
  <si>
    <t xml:space="preserve">TECHNAVIO-METODOLOGIA-2026</t>
  </si>
  <si>
    <t xml:space="preserve">Study on the EU's critical digital capacities deployment beyond 2027, Annex 7 Cybersecurity and digital identity technologies</t>
  </si>
  <si>
    <t xml:space="preserve">Rapporto tematico di uno studio per la Commissione sulle capacità digitali critiche. Il valore del mercato europeo (circa 57 miliardi) e la crescita del 10-13% sono ripresi da fonti terze nelle note. La dotazione DIGITAL e CEF Digital per la cybersecurity (1149 milioni) è elaborata da Technopolis su Digital Europe Dashboard e programmi di lavoro.</t>
  </si>
  <si>
    <t xml:space="preserve">Ripreso da altra fonte; Top-down</t>
  </si>
  <si>
    <t xml:space="preserve">Tweede Kamer der Staten-Generaal, Ministerie van Justitie en Veiligheid</t>
  </si>
  <si>
    <t xml:space="preserve">Vaststelling van de begrotingsstaten JenV 2023, vragen en antwoorden</t>
  </si>
  <si>
    <t xml:space="preserve">Risposte del ministero a quesiti parlamentari sul bilancio 2023, con budget NCSC 2019-2021 e tabella dell'investimento strutturale in cybersecurity 2022-2027 per JenV e NCSC.</t>
  </si>
  <si>
    <t xml:space="preserve">Begroting JenV 2024, Kamerstuk 36 410 VI nr. 27</t>
  </si>
  <si>
    <t xml:space="preserve">2023-2024</t>
  </si>
  <si>
    <t xml:space="preserve">Documento parlamentare sul bilancio 2024 con spazio di bilancio NCSC, budget cyber JenV e investimento governativo pluriennale in sicurezza economica e cybersecurity.</t>
  </si>
  <si>
    <t xml:space="preserve">Vuosiraportti 2025</t>
  </si>
  <si>
    <t xml:space="preserve">Vlada Republike Slovenije, URSIV</t>
  </si>
  <si>
    <t xml:space="preserve">Projekti kibernetske varnosti v Načrtu razvojnih programov 2025-2028</t>
  </si>
  <si>
    <t xml:space="preserve">Comunicato governativo con valore, durata e cofinanziamento UE dei progetti cyber inseriti nel piano di sviluppo, inclusa la revisione del progetto CSIRT.</t>
  </si>
  <si>
    <t xml:space="preserve">Scheda di rapporto con anno base 2024, storico 2021-2023 e previsione 2026-2032. Metodologia non reperita.</t>
  </si>
  <si>
    <t xml:space="preserve">Pagina prodotto con valore 2024, previsione 2032 e CAGR, anno base 2024.</t>
  </si>
  <si>
    <t xml:space="preserve">2025-2032</t>
  </si>
  <si>
    <t xml:space="preserve">Austria ICT Market Report</t>
  </si>
  <si>
    <t xml:space="preserve">Odluka o preraspodjeli sredstava u Državnom proračunu RH za 2025.</t>
  </si>
  <si>
    <t xml:space="preserve">Dato amministrativo del bilancio statale croato per l'ente ZSIS, con piano dell'anno e proiezioni o riallocazioni.</t>
  </si>
  <si>
    <t xml:space="preserve">Vlada Republike Slovenije</t>
  </si>
  <si>
    <t xml:space="preserve">Predlog Zakona o informacijski varnosti ZInfV-1</t>
  </si>
  <si>
    <t xml:space="preserve">Proposta di legge di recepimento NIS2 con stima delle conseguenze finanziarie per URSIV e SI-CERT e fondi già previsti nel bilancio.</t>
  </si>
  <si>
    <t xml:space="preserve">Talousarvioesitys 2025</t>
  </si>
  <si>
    <t xml:space="preserve">Talousarvioesitys 2027</t>
  </si>
  <si>
    <t xml:space="preserve">VOICE e.V. con Metrics</t>
  </si>
  <si>
    <t xml:space="preserve">Febbraio 2022</t>
  </si>
  <si>
    <t xml:space="preserve">https://www.metrics.biz/files/metrics/media/umfragen/Metrics_2022_IT-Agenda_EN.pdf</t>
  </si>
  <si>
    <t xml:space="preserve">Europa (decisori europei, associazione tedesca)</t>
  </si>
  <si>
    <t xml:space="preserve">Survey online di Metrics con VOICE a 186 decisori europei di business e IT, tra cui CIO, membri del board IT, buyer e responsabili di unità, in 13 settori. Il 50% proviene da imprese da 500 a 5000 addetti, il 33% da imprese più grandi, il 18% dal piccolo Mittelstand. Rileva variazione del budget IT, budget IT in percentuale del fatturato (6,8%) e quota della IT-Security sul budget IT (9,6%), con l'avvertenza che il valore è solo indicativo.</t>
  </si>
  <si>
    <t xml:space="preserve">186 decisori</t>
  </si>
  <si>
    <t xml:space="preserve">Organizzazioni europee (non quantificato)</t>
  </si>
  <si>
    <t xml:space="preserve">Spesa per misure di IT-Security in rapporto al budget IT</t>
  </si>
  <si>
    <t xml:space="preserve">Articolo sull'annuncio governativo dello stanziamento 2025 per la cybersecurity delle amministrazioni federali.</t>
  </si>
  <si>
    <t xml:space="preserve">WifOR Institute per BMWi</t>
  </si>
  <si>
    <t xml:space="preserve">Der IT-Sicherheitsmarkt in Deutschland</t>
  </si>
  <si>
    <t xml:space="preserve">seconda attualizzazione, 2019</t>
  </si>
  <si>
    <t xml:space="preserve">https://www.publikationen-bundesregierung.de/pp-de/publikationssuche/der-it-sicherheitsmarkt-in-deutschland-1654956</t>
  </si>
  <si>
    <t xml:space="preserve">Studio sul peso economico della IT-Sicherheitswirtschaft tedesca, seconda attualizzazione dello studio iniziale, con serie 2007-2017 di valore della produzione, valore aggiunto lordo, occupati, redditi, importazioni e volume di mercato, e tre scenari di sviluppo al 2025 (worst, average, best case). Il volume di mercato deriva dall'offerta di beni di sicurezza IT, produzione interna più importazioni.</t>
  </si>
  <si>
    <t xml:space="preserve">IT-Sicherheitswirtschaft in Germania</t>
  </si>
  <si>
    <t xml:space="preserve">Beni e servizi della IT-Sicherheitswirtschaft secondo la definizione dello studio</t>
  </si>
  <si>
    <t xml:space="preserve">Prezzi correnti (non dichiarato nell'estratto)</t>
  </si>
  <si>
    <t xml:space="preserve">Mondo, EMEA</t>
  </si>
  <si>
    <t xml:space="preserve">Guida commerciale di un vendor che cita valori di mercato da fonti in nota non leggibili.</t>
  </si>
  <si>
    <t xml:space="preserve">Le marché de la cybersécurité à l'horizon 2030</t>
  </si>
  <si>
    <t xml:space="preserve">FR, Mondo</t>
  </si>
  <si>
    <t xml:space="preserve">Presentazione gratuita di studio a pagamento. Definisce il mercato come insieme delle imprese che offrono apparecchiature, software, soluzioni cloud e servizi di protezione, con clientela di privati, imprese e PA.</t>
  </si>
  <si>
    <t xml:space="preserve">Apparecchiature, software, cloud e servizi di cybersecurity</t>
  </si>
  <si>
    <t xml:space="preserve">ZSIS</t>
  </si>
  <si>
    <t xml:space="preserve">N. dati</t>
  </si>
  <si>
    <t xml:space="preserve">N. fonti</t>
  </si>
  <si>
    <t xml:space="preserve">Dati lato Domanda (end user)</t>
  </si>
  <si>
    <t xml:space="preserve">Dati lato Offerta (fornitori)</t>
  </si>
  <si>
    <t xml:space="preserve">Dati lato Misto</t>
  </si>
  <si>
    <t xml:space="preserve">Dati lato Non determinabile</t>
  </si>
  <si>
    <t xml:space="preserve">Dati da enti pubblici nazionali o osservatori</t>
  </si>
  <si>
    <t xml:space="preserve">Fonte pubblica nazionale o osservatorio presente</t>
  </si>
  <si>
    <t xml:space="preserve">Dati da istituzioni UE</t>
  </si>
  <si>
    <t xml:space="preserve">Ultimo anno di consuntivo (tutte le righe)</t>
  </si>
  <si>
    <t xml:space="preserve">Ultimo anno di consuntivo dei totali di mercato o spesa</t>
  </si>
  <si>
    <t xml:space="preserve">Minimo Mln € in quell'anno</t>
  </si>
  <si>
    <t xml:space="preserve">Massimo Mln € in quell'anno</t>
  </si>
  <si>
    <t xml:space="preserve">N. totali usati per minimo e massimo</t>
  </si>
  <si>
    <t xml:space="preserve">Lacune principali</t>
  </si>
  <si>
    <t xml:space="preserve">Nessun totale nazionale di mercato o di spesa da fonti pubbliche o associative. KPMG con KSÖ ed EY pubblicano solo distribuzioni delle imprese per classe di budget. Mercato domestico solo da editori multi-paese. Budget pubblici dalle valutazioni d'impatto della legge NIS.</t>
  </si>
  <si>
    <t xml:space="preserve">Agoria misura i ricavi del settore, non la spesa. Mercato domestico solo da BDO, Mordor e altri editori, con valori molto distanti. Budget federale ricostruito dalla spending review BOSA.</t>
  </si>
  <si>
    <t xml:space="preserve">Nessuna fonte pubblica o associativa con metodologia. Valori di mercato solo da media che riprendono editori non indicati. Budget pubblici dal PNRR.</t>
  </si>
  <si>
    <t xml:space="preserve">Nessun dato di mercato o di spesa. Solo budget pubblici del PNRR riportati da fonti UE.</t>
  </si>
  <si>
    <t xml:space="preserve">Solo budget pubblici e bandi. Un solo valore di mercato, da fonte terza. Nessuna statistica sulla spesa delle imprese.</t>
  </si>
  <si>
    <t xml:space="preserve">Mercato domestico solo da Mordor. Costi NIS2 stimati ex ante da Dansk Industri. Nessuna serie statistica in valore sulla spesa delle imprese.</t>
  </si>
  <si>
    <t xml:space="preserve">Nessun dato sul mercato domestico o sulla spesa delle imprese. Solo budget pubblici e ricavi del settore cyber 2017 stimati da Praxis.</t>
  </si>
  <si>
    <t xml:space="preserve">Stime associative molto divergenti senza perimetro documentato (EK, Kyberala, Allied ICT). Mercato domestico solo da Mordor. Nessuna serie sulla spesa delle imprese.</t>
  </si>
  <si>
    <t xml:space="preserve">ACN misura i ricavi della filiera della fiducia digitale, export e identità digitale inclusi. Mercato domestico da PAC, Numeum, Xerfi ed editori con valori molto distanti. Nessuna survey in valore sulla spesa delle imprese.</t>
  </si>
  <si>
    <t xml:space="preserve">Bitkom con IDC e poi con PAC fornisce la serie di mercato dal lato offerta, rivista nel 2025. L'inclusione del settore pubblico non è confermata dagli estratti. Nessuna stima in valore della spesa delle imprese dal lato domanda, solo quote sul budget IT.</t>
  </si>
  <si>
    <t xml:space="preserve">Solo editori multi-paese e un budget PNRR. Nessuna fonte nazionale pubblica o associativa.</t>
  </si>
  <si>
    <t xml:space="preserve">Cyber Ireland misura i ricavi del settore, export incluso. Budget NCSC disponibili. Nessuna stima di fonte nazionale del mercato domestico o della spesa delle imprese.</t>
  </si>
  <si>
    <t xml:space="preserve">Serie complete Polimi e Anitec-Assinform con perimetri diversi. Polimi include formazione e polizze cyber, Anitec-Assinform è costruito dal lato offerta. Alcune edizioni Polimi sono lette solo da articoli che le citano.</t>
  </si>
  <si>
    <t xml:space="preserve">Solo budget pubblici della strategia nazionale. Nessun dato di mercato o di spesa delle imprese.</t>
  </si>
  <si>
    <t xml:space="preserve">Solo budget pubblici e progetti finanziati da fondi UE. Nessun dato di mercato o di spesa delle imprese.</t>
  </si>
  <si>
    <t xml:space="preserve">Solo righe del bilancio statale. Nessun dato di mercato o di ricavi del settore.</t>
  </si>
  <si>
    <t xml:space="preserve">Solo budget del PNRR. Nessun dato di mercato o di spesa.</t>
  </si>
  <si>
    <t xml:space="preserve">I ricavi del settore stimati da Dialogic sono molto superiori al mercato domestico stimato da BDO. Il CBS Cybersecuritymonitor non pubblica la spesa per la sicurezza. Mercato domestico recente solo da editori.</t>
  </si>
  <si>
    <t xml:space="preserve">Stime di mercato molto disperse tra PMR, Statista, Mordor ed editori. Budget pubblici che sommano stanziamenti annui e dotazioni pluriennali. Nessuna survey in valore sulla spesa delle imprese.</t>
  </si>
  <si>
    <t xml:space="preserve">Spesa delle organizzazioni solo come mediane ENISA riprese dal CNCS. Mercato domestico solo da editori multi-paese. Nessun totale nazionale di fonte pubblica.</t>
  </si>
  <si>
    <t xml:space="preserve">Valori di mercato da media ed editori. Le quote NÚKIB sono sul budget totale delle organizzazioni, non sul budget IT. Budget NÚKIB disponibili dal bilancio dello Stato.</t>
  </si>
  <si>
    <t xml:space="preserve">Mercato domestico solo da editori e media, con segmenti più grandi dei totali. Budget pubblici dal PNRR.</t>
  </si>
  <si>
    <t xml:space="preserve">Solo budget pubblici ed editori multi-paese. Nessuna fonte nazionale sul mercato.</t>
  </si>
  <si>
    <t xml:space="preserve">Solo budget pubblici e un valore di editore. Nessun dato sulla spesa delle imprese.</t>
  </si>
  <si>
    <t xml:space="preserve">Mercato domestico da Mordor e da Radar, con dati Radar citati da terzi tra loro incoerenti. Nessuna serie statistica sulla spesa delle imprese.</t>
  </si>
  <si>
    <t xml:space="preserve">Solo editori multi-paese e soglie normative per la PA. Nessuna fonte nazionale in valore.</t>
  </si>
  <si>
    <t xml:space="preserve">Serie DSIT completa per ricavi e valore aggiunto del settore, export incluso, non per il mercato domestico. Spesa delle organizzazioni in valore solo nella Cyber security breaches survey 2016-2019. Mercato domestico solo da editori multi-paese con valori molto dispersi.</t>
  </si>
  <si>
    <t xml:space="preserve">Nessuna stima ufficiale recente del mercato UE27. ENISA pubblica solo mediane e medie per organizzazione del campione NIS, da non moltiplicare per il numero di imprese. Le mediane per Stato membro del companion document 2025 sono solo in grafici senza etichette. Gli studi della Commissione con valori di mercato risalgono al 2016 e 2017.</t>
  </si>
  <si>
    <t xml:space="preserve">Query usate con lingua</t>
  </si>
  <si>
    <t xml:space="preserve">Siti controllati</t>
  </si>
  <si>
    <t xml:space="preserve">Esito</t>
  </si>
  <si>
    <t xml:space="preserve">Data</t>
  </si>
  <si>
    <t xml:space="preserve">"Building strong cybersecurity brochure EU cybersecurity market estimated" (EN)</t>
  </si>
  <si>
    <t xml:space="preserve">digital-strategy.ec.europa.eu</t>
  </si>
  <si>
    <t xml:space="preserve">Valore (oltre 130 miliardi) letto solo nello snippet di ricerca senza data né fonte, non registrato.</t>
  </si>
  <si>
    <t xml:space="preserve">"Cyber Resilience Act impact assessment cybersecurity market size" (EN); "SWD(2022) 282 cybersecurity market EU" (EN)</t>
  </si>
  <si>
    <t xml:space="preserve">eur-lex.europa.eu, eu.dk (SWD(2022) 282 parti 1-3)</t>
  </si>
  <si>
    <t xml:space="preserve">Nessun dato monetario sul mercato cyber. Solo costi di conformità (29 miliardi) e valore dei prodotti con elementi digitali, fuori perimetro.</t>
  </si>
  <si>
    <t xml:space="preserve">"Cyber Solidarity Act impact assessment" (EN)</t>
  </si>
  <si>
    <t xml:space="preserve">europarl.europa.eu, ec.europa.eu</t>
  </si>
  <si>
    <t xml:space="preserve">La proposta non è accompagnata da valutazione d'impatto con dati di mercato. Registrato solo il bilancio da comunicato.</t>
  </si>
  <si>
    <t xml:space="preserve">"ENISA MSS Market Analysis managed security services market size Europe" (EN)</t>
  </si>
  <si>
    <t xml:space="preserve">enisa.europa.eu</t>
  </si>
  <si>
    <t xml:space="preserve">Nessun dato monetario. Solo classi (meno del 10% del budget dedicato ai servizi gestiti).</t>
  </si>
  <si>
    <t xml:space="preserve">"EU Cybersecurity Market Analysis IoT in Distribution Grids market size million Euro" (EN)</t>
  </si>
  <si>
    <t xml:space="preserve">Dimensione del mercato IoT security presente solo nei grafici (Figure 7, 11, 12), nessun numero leggibile nell'estratto.</t>
  </si>
  <si>
    <t xml:space="preserve">"EU security market study 2022" (EN)</t>
  </si>
  <si>
    <t xml:space="preserve">op.europa.eu</t>
  </si>
  <si>
    <t xml:space="preserve">Pubblicazione non leggibile nell'estratto (solo scheda).</t>
  </si>
  <si>
    <t xml:space="preserve">"European Court of Auditors special report 05/2022 cybersecurity EU institutions spending share of IT budget" (EN)</t>
  </si>
  <si>
    <t xml:space="preserve">eca.europa.eu</t>
  </si>
  <si>
    <t xml:space="preserve">Quote di spesa cyber sulla spesa IT delle istituzioni UE presenti solo in grafico (Figura 3), nessun valore aggregato leggibile.</t>
  </si>
  <si>
    <t xml:space="preserve">"European Investment Bank cybersecurity market Europe investment gap" (EN)</t>
  </si>
  <si>
    <t xml:space="preserve">eib.org</t>
  </si>
  <si>
    <t xml:space="preserve">Rapporto EIB e Commissione 2022 con soli gap di venture capital (fuori perimetro) e ripresa della stima 1-2 miliardi di spesa pubblica già registrata da altre fonti.</t>
  </si>
  <si>
    <t xml:space="preserve">"Eurostat ICT security enterprises spending" (EN)</t>
  </si>
  <si>
    <t xml:space="preserve">ec.europa.eu/eurostat</t>
  </si>
  <si>
    <t xml:space="preserve">Eurostat pubblica solo indicatori di adozione di misure di sicurezza ICT, senza valore monetario (fuori perimetro).</t>
  </si>
  <si>
    <t xml:space="preserve">"Frontier Economics NIS2 Poland Portugal costs" (EN)</t>
  </si>
  <si>
    <t xml:space="preserve">frontier-economics.com</t>
  </si>
  <si>
    <t xml:space="preserve">Studi paese (PL circa 2 miliardi annui, PT 529 milioni) lasciati alle tracce nazionali.</t>
  </si>
  <si>
    <t xml:space="preserve">"JRC report cybersecurity market European Union size" (EN)</t>
  </si>
  <si>
    <t xml:space="preserve">publications.jrc.ec.europa.eu, joint-research-centre.ec.europa.eu</t>
  </si>
  <si>
    <t xml:space="preserve">Nessun dato monetario sul mercato o sulla spesa cyber (solo costi del cybercrime, fuori perimetro).</t>
  </si>
  <si>
    <t xml:space="preserve">"NIS Investments 2024 SMEs large enterprises IS spending share" (EN)</t>
  </si>
  <si>
    <t xml:space="preserve">Scomposizione per dimensione d'impresa descritta solo qualitativamente nell'estratto, nessun valore numerico.</t>
  </si>
  <si>
    <t xml:space="preserve">"SWD(2017) 295 assessment EU 2013 cybersecurity strategy market value" (EN)</t>
  </si>
  <si>
    <t xml:space="preserve">ec.europa.eu</t>
  </si>
  <si>
    <t xml:space="preserve">Riporta solo numero di imprese, occupati e import cyber (12,1 miliardi), nessun valore di mercato leggibile.</t>
  </si>
  <si>
    <t xml:space="preserve">"SWD(2018) 403 impact assessment Cybersecurity Competence Centre market size" (EN)</t>
  </si>
  <si>
    <t xml:space="preserve">eur-lex.europa.eu, eu.dk</t>
  </si>
  <si>
    <t xml:space="preserve">Solo intervalli del mercato globale (100-600 miliardi) e quota di import UE 5,3%, nessun valore UE.</t>
  </si>
  <si>
    <t xml:space="preserve">"Cybersecurity industry market analysis CIMA 2019 Publications Office EU market sales" (EN)</t>
  </si>
  <si>
    <t xml:space="preserve">op.europa.eu, data.europa.eu</t>
  </si>
  <si>
    <t xml:space="preserve">Rapporto finale CIMA non leggibile (pagina senza testo). Valori ripresi dalla presentazione LSEC.</t>
  </si>
  <si>
    <t xml:space="preserve">"A-SIT Markt IT-Sicherheit Österreich" (DE)</t>
  </si>
  <si>
    <t xml:space="preserve">a-sit.at</t>
  </si>
  <si>
    <t xml:space="preserve">Nessun dato di mercato o di spesa</t>
  </si>
  <si>
    <t xml:space="preserve">"Austria cybersecurity market Grand View Research" (EN); "IMARC Austria cybersecurity" (EN); "6Wresearch Austria cyber security market" (EN)</t>
  </si>
  <si>
    <t xml:space="preserve">grandviewresearch.com; imarcgroup.com; 6wresearch.com</t>
  </si>
  <si>
    <t xml:space="preserve">Nessuna pagina Austria con valori nell'estratto</t>
  </si>
  <si>
    <t xml:space="preserve">"Deloitte Cyber Security Report Österreich Budget" (DE)</t>
  </si>
  <si>
    <t xml:space="preserve">deloitte.com/at</t>
  </si>
  <si>
    <t xml:space="preserve">Nessun dato monetario, solo intenzioni di aumento della spesa (edizioni 2025 e 2026)</t>
  </si>
  <si>
    <t xml:space="preserve">"KIRAS K-PASS Cybersicherheit Förderung Millionen" (DE)</t>
  </si>
  <si>
    <t xml:space="preserve">bmf.gv.at</t>
  </si>
  <si>
    <t xml:space="preserve">Fondi di ricerca 2025 (19 milioni per 44 progetti) misti tra infrastrutture critiche, cybersicurezza e difesa; perimetro non isolabile</t>
  </si>
  <si>
    <t xml:space="preserve">"KPMG KSÖ Cybersecurity in Österreich Budget Anteil IT-Budget" (DE); "Cybersecurity in Austria 2025 budget" (EN)</t>
  </si>
  <si>
    <t xml:space="preserve">kpmg.com/at; onlinesicherheit.gv.at; bmi.gv.at</t>
  </si>
  <si>
    <t xml:space="preserve">Sintesi 2019-2026 senza media né valori monetari; rapporto integrale su richiesta (modulo); registrata solo la distribuzione per classi 2023 e 2021</t>
  </si>
  <si>
    <t xml:space="preserve">"Statista Cybersecurity Österreich Marktprognose" (DE)</t>
  </si>
  <si>
    <t xml:space="preserve">de.statista.com/outlook/tmo/cybersecurity/oesterreich</t>
  </si>
  <si>
    <t xml:space="preserve">Pagine outlook senza valori nell'estratto</t>
  </si>
  <si>
    <t xml:space="preserve">"Statistik Austria IKT-Einsatz Unternehmen IT-Sicherheit Ausgaben" (DE)</t>
  </si>
  <si>
    <t xml:space="preserve">statistik.at</t>
  </si>
  <si>
    <t xml:space="preserve">Nessun dato monetario, solo adozione di misure di sicurezza</t>
  </si>
  <si>
    <t xml:space="preserve">"Belgium cybersecurity market Grand View Research" (EN); "IMARC Belgium cybersecurity" (EN)</t>
  </si>
  <si>
    <t xml:space="preserve">grandviewresearch.com; imarcgroup.com</t>
  </si>
  <si>
    <t xml:space="preserve">Nessuna pagina Belgio con valori nell'estratto</t>
  </si>
  <si>
    <t xml:space="preserve">"Cyber Security Coalition Belgium market size budget" (EN)</t>
  </si>
  <si>
    <t xml:space="preserve">cybersecuritycoalition.be</t>
  </si>
  <si>
    <t xml:space="preserve">Nessun dato monetario</t>
  </si>
  <si>
    <t xml:space="preserve">"Rekenhof cyberbeveiliging audit 40,3 miljoen" (NL); "Cour des comptes cybersécurité rapport 2026" (FR)</t>
  </si>
  <si>
    <t xml:space="preserve">ccrek.be</t>
  </si>
  <si>
    <t xml:space="preserve">Rapporto originale della Cour des comptes non trovato; dato registrato da blog che lo sintetizza</t>
  </si>
  <si>
    <t xml:space="preserve">"SPF Economie marché cybersécurité Belgique" (FR)</t>
  </si>
  <si>
    <t xml:space="preserve">economie.fgov.be</t>
  </si>
  <si>
    <t xml:space="preserve">Nessun dato di mercato o di spesa cyber</t>
  </si>
  <si>
    <t xml:space="preserve">"Statbel dépenses cybersécurité entreprises" (FR); "Statbel ICT-gebruik beveiliging uitgaven" (NL)</t>
  </si>
  <si>
    <t xml:space="preserve">statbel.fgov.be</t>
  </si>
  <si>
    <t xml:space="preserve">Nessun dato monetario, solo adozione di misure</t>
  </si>
  <si>
    <t xml:space="preserve">"Statista Cybersecurity Belgium" (EN)</t>
  </si>
  <si>
    <t xml:space="preserve">statista.com/outlook/tmo/cybersecurity/belgium</t>
  </si>
  <si>
    <t xml:space="preserve">"BASSCOM киберсигурност приходи дял от ИТ бюджета" (BG)</t>
  </si>
  <si>
    <t xml:space="preserve">basscom.org, money.bg</t>
  </si>
  <si>
    <t xml:space="preserve">Dati BASSCOM solo sul settore software complessivo</t>
  </si>
  <si>
    <t xml:space="preserve">"Security Services Bulgaria Statista Market Forecast" (EN)</t>
  </si>
  <si>
    <t xml:space="preserve">statista.com/outlook/tmo/cybersecurity/bulgaria</t>
  </si>
  <si>
    <t xml:space="preserve">Valori oscurati nell'estratto</t>
  </si>
  <si>
    <t xml:space="preserve">"НСИ разходи за киберсигурност предприятия" (BG); "Bulgaria cybersecurity market size USD 2025 forecast" (EN)</t>
  </si>
  <si>
    <t xml:space="preserve">nsi.bg, mordorintelligence.com, 6wresearch.com</t>
  </si>
  <si>
    <t xml:space="preserve">Nessun dato monetario NSI, nessuna pagina Mordor cyber, pagine 6Wresearch senza valori nell'estratto</t>
  </si>
  <si>
    <t xml:space="preserve">"План за възстановяване и устойчивост киберсигурност инвестиция милиона лева" (BG)</t>
  </si>
  <si>
    <t xml:space="preserve">mig.gov.bg, mtc.government.bg</t>
  </si>
  <si>
    <t xml:space="preserve">Solo misure miste ICT e cybersecurity per le PMI (30,6 mln BGN), quota cyber non separabile, esclusa</t>
  </si>
  <si>
    <t xml:space="preserve">"Cyprus cybersecurity market size" (EN); "Cyprus ICT market IDC security" (EN)</t>
  </si>
  <si>
    <t xml:space="preserve">mordorintelligence.com, 6wresearch.com, ccs.org.cy, statista.com</t>
  </si>
  <si>
    <t xml:space="preserve">6Wresearch senza valori, rapporti IDC per la Cyprus Computer Society senza voce cyber, Mordor solo mercato ICT</t>
  </si>
  <si>
    <t xml:space="preserve">"CYSTAT ICT usage enterprises ICT security" (EN)</t>
  </si>
  <si>
    <t xml:space="preserve">cystat.gov.cy, library.cystat.gov.cy</t>
  </si>
  <si>
    <t xml:space="preserve">Solo indicatori di adozione e quota di imprese con assicurazione ICT, nessuna spesa</t>
  </si>
  <si>
    <t xml:space="preserve">"Digital Security Authority Cyprus budget" (EN)</t>
  </si>
  <si>
    <t xml:space="preserve">dsa.cy, gov.cy, digital-strategy.ec.europa.eu</t>
  </si>
  <si>
    <t xml:space="preserve">Nessun bilancio dell'autorità reperito</t>
  </si>
  <si>
    <t xml:space="preserve">"DZS izdaci poduzeća za ICT sigurnost" (HR); "NCSC-HR proračun kibernetička sigurnost" (HR)</t>
  </si>
  <si>
    <t xml:space="preserve">dzs.gov.hr, ncsc.hr</t>
  </si>
  <si>
    <t xml:space="preserve">"tržište kibernetičke sigurnosti u Hrvatskoj vrijednost milijuna eura" (HR); "Croatia cybersecurity market size USD million 2025" (EN)</t>
  </si>
  <si>
    <t xml:space="preserve">kako.hr, jutarnji.hr, 6wresearch.com, statista.com</t>
  </si>
  <si>
    <t xml:space="preserve">Stima di 45-60 mln EUR senza fonte (kako.hr) esclusa, pagine 6Wresearch e Statista senza valori leggibili</t>
  </si>
  <si>
    <t xml:space="preserve">"World Bank Croatia cybersecurity sector market value revenue" (EN)</t>
  </si>
  <si>
    <t xml:space="preserve">documents1.worldbank.org</t>
  </si>
  <si>
    <t xml:space="preserve">Solo ricavi 2016 di singole imprese cyber e del settore IT complessivo, nessun totale del mercato cyber</t>
  </si>
  <si>
    <t xml:space="preserve">"Danmarks Statistik virksomheder udgifter til it-sikkerhed andel af it-budget" (DA)</t>
  </si>
  <si>
    <t xml:space="preserve">dst.dk</t>
  </si>
  <si>
    <t xml:space="preserve">Solo quote di imprese che aumentano gli investimenti; statistica sulle spese IT conclusa senza voce sicurezza</t>
  </si>
  <si>
    <t xml:space="preserve">"danske virksomheder bruger milliarder på it-sikkerhed" (DA)</t>
  </si>
  <si>
    <t xml:space="preserve">danskindustri.dk, itb.dk, computerworld.dk</t>
  </si>
  <si>
    <t xml:space="preserve">Oltre alle righe registrate, solo costi di incidenti (fuori perimetro)</t>
  </si>
  <si>
    <t xml:space="preserve">"Denmark cybersecurity market size USD" (EN)</t>
  </si>
  <si>
    <t xml:space="preserve">statista.com/outlook/tmo/cybersecurity/denmark, 6wresearch.com, grandviewresearch.com</t>
  </si>
  <si>
    <t xml:space="preserve">Statista oscurato, 6Wresearch senza valori, nessuna pagina Grand View</t>
  </si>
  <si>
    <t xml:space="preserve">"Eesti küberturbe sektor käive" (ET); "Estonia cybersecurity market size" (EN)</t>
  </si>
  <si>
    <t xml:space="preserve">statista.com/outlook/tmo/cybersecurity/estonia, 6wresearch.com, stat.ee</t>
  </si>
  <si>
    <t xml:space="preserve">Statista oscurato, 6Wresearch senza valori, Statistics Estonia senza dati</t>
  </si>
  <si>
    <t xml:space="preserve">"Estonian Information Security Association market" (EN, ET)</t>
  </si>
  <si>
    <t xml:space="preserve">infoturve.ee, ria.ee</t>
  </si>
  <si>
    <t xml:space="preserve">Nessun dato monetario sul mercato; RIA solo budget di progetti UE</t>
  </si>
  <si>
    <t xml:space="preserve">"ETLA kyberuhat yleistyvät kyberturvallisuusala liikevaihto" (FI)</t>
  </si>
  <si>
    <t xml:space="preserve">etla.fi</t>
  </si>
  <si>
    <t xml:space="preserve">Nessun valore monetario nazionale, solo dati globali</t>
  </si>
  <si>
    <t xml:space="preserve">"kyberturvallisuusala Suomessa liikevaihto" (FI); "Finland cybersecurity market" (EN)</t>
  </si>
  <si>
    <t xml:space="preserve">statista.com/outlook/tmo/cybersecurity/finland, 6wresearch.com</t>
  </si>
  <si>
    <t xml:space="preserve">Statista oscurato, 6Wresearch senza valori</t>
  </si>
  <si>
    <t xml:space="preserve">"Tilastokeskus tietoturva menot yritykset" (FI)</t>
  </si>
  <si>
    <t xml:space="preserve">stat.fi, businessfinland.fi</t>
  </si>
  <si>
    <t xml:space="preserve">Nessun dato monetario su spesa cyber</t>
  </si>
  <si>
    <t xml:space="preserve">"turvallisuusalan liikevaihto Suomessa" (FI)</t>
  </si>
  <si>
    <t xml:space="preserve">finnsecurity.fi, security.fi</t>
  </si>
  <si>
    <t xml:space="preserve">Dati sull'intero settore della sicurezza, fisica inclusa, fuori perimetro</t>
  </si>
  <si>
    <t xml:space="preserve">"ANSSI budget annuel millions programme 129" (FR)</t>
  </si>
  <si>
    <t xml:space="preserve">budget.gouv.fr; senat.fr</t>
  </si>
  <si>
    <t xml:space="preserve">Solo componenti parziali (crediti di funzionamento SSI 20,7 milioni in CP 2025; azione 2 del programma 129 di 425 milioni include intelligence e fondi speciali); nessun totale ANSSI isolato</t>
  </si>
  <si>
    <t xml:space="preserve">"Campus Cyber panorama filière chiffre d'affaires" (FR)</t>
  </si>
  <si>
    <t xml:space="preserve">campuscyber.fr</t>
  </si>
  <si>
    <t xml:space="preserve">Nessun dato monetario sulla filiera o sulla spesa</t>
  </si>
  <si>
    <t xml:space="preserve">"France cybersecurity market IMARC" (EN); "Fortune Business Insights France cybersecurity" (EN); "Ken Research France cybersecurity" (EN)</t>
  </si>
  <si>
    <t xml:space="preserve">imarcgroup.com; fortunebusinessinsights.com; kenresearch.com</t>
  </si>
  <si>
    <t xml:space="preserve">Nessuna pagina Francia con valori nell'estratto</t>
  </si>
  <si>
    <t xml:space="preserve">"Hexatrust chiffre d'affaires membres cybersécurité" (FR)</t>
  </si>
  <si>
    <t xml:space="preserve">hexatrust.com</t>
  </si>
  <si>
    <t xml:space="preserve">Fatturato cumulato dei membri (7-10 miliardi, cybersecurity e cloud di fiducia) non confrontabile con il perimetro cyber</t>
  </si>
  <si>
    <t xml:space="preserve">"IDC France dépenses cybersécurité 2024 7,2 milliards communiqué" (FR)</t>
  </si>
  <si>
    <t xml:space="preserve">idc.com; lemondeinformatique.fr</t>
  </si>
  <si>
    <t xml:space="preserve">Comunicato IDC originale non trovato; dato registrato da articolo terzo</t>
  </si>
  <si>
    <t xml:space="preserve">"Statista cybersécurité France marché" (FR); "Cybersecurity France Statista revenue" (EN)</t>
  </si>
  <si>
    <t xml:space="preserve">statista.com/outlook/tmo/cybersecurity/france; fr.statista.com</t>
  </si>
  <si>
    <t xml:space="preserve">"Bitkom IT-Sicherheit Markt 2026 it-sa 2026 Milliarden" (DE)</t>
  </si>
  <si>
    <t xml:space="preserve">bitkom.org</t>
  </si>
  <si>
    <t xml:space="preserve">Edizione it-sa 2026 non ancora trovata alla data di consultazione; ultima edizione disponibile 07/10/2025</t>
  </si>
  <si>
    <t xml:space="preserve">"Bitkom PAC IT-Sicherheit Markt öffentlicher Sektor Behörden" (DE); "Bitkom IT security market public sector included" (EN)</t>
  </si>
  <si>
    <t xml:space="preserve">bitkom.org; pac-online.com</t>
  </si>
  <si>
    <t xml:space="preserve">Verifica del perimetro clienti senza esito, nessun estratto dichiara l'inclusione del settore pubblico nella serie Bitkom PAC</t>
  </si>
  <si>
    <t xml:space="preserve">"Deloitte Global Future of Cyber Survey DACH Cyber Budget IT-Budget" (DE)</t>
  </si>
  <si>
    <t xml:space="preserve">image.marketing.deloitte.de; deloitte.com/de</t>
  </si>
  <si>
    <t xml:space="preserve">Dato solo DACH (19% del budget IT per la cybersecurity, Future of Cyber 2024); Future of Cyber 2026 Germania solo quote di imprese che aumentano il budget</t>
  </si>
  <si>
    <t xml:space="preserve">"Destatis Ausgaben IT-Sicherheit Unternehmen IKT-Sicherheit Kosten" (DE)</t>
  </si>
  <si>
    <t xml:space="preserve">destatis.de; genesis.destatis.de</t>
  </si>
  <si>
    <t xml:space="preserve">Nessun dato monetario, la rilevazione IKT riporta solo l'adozione di misure di sicurezza</t>
  </si>
  <si>
    <t xml:space="preserve">"eco IT-Sicherheitsumfrage Ausgaben IT-Sicherheit" (DE); "eco IT Security Survey 2025 budget" (EN)</t>
  </si>
  <si>
    <t xml:space="preserve">eco.de</t>
  </si>
  <si>
    <t xml:space="preserve">Nessun dato monetario, solo quote di imprese che aumentano la spesa (edizioni 2022-2025)</t>
  </si>
  <si>
    <t xml:space="preserve">"Germany cybersecurity market size Fortune Business Insights" (EN); "Technavio Germany cybersecurity" (EN)</t>
  </si>
  <si>
    <t xml:space="preserve">fortunebusinessinsights.com; technavio.com</t>
  </si>
  <si>
    <t xml:space="preserve">Nessuna pagina paese Germania con valori nell'estratto</t>
  </si>
  <si>
    <t xml:space="preserve">"IDC Deutschland Pressemitteilung Ausgaben Security Deutschland Milliarden" (DE); "IDC Germany security spending forecast" (EN)</t>
  </si>
  <si>
    <t xml:space="preserve">idc.com; event.idc.com; bitkom.org</t>
  </si>
  <si>
    <t xml:space="preserve">Nessun comunicato IDC con valori per la Germania; i dati IDC 2019-2024 sono disponibili solo tramite Bitkom</t>
  </si>
  <si>
    <t xml:space="preserve">"PwC Digital Trust Insights Deutschland Cyber-Budget" (DE); "KPMG Deutschland Cybersecurity Budget Prozent IT-Budget" (DE); "EY Datenklau Cyber Budget" (DE)</t>
  </si>
  <si>
    <t xml:space="preserve">pwc.de; kpmg.com/de; ey.com/de_de</t>
  </si>
  <si>
    <t xml:space="preserve">Nessun dato monetario, solo quote di imprese che intendono aumentare il budget cyber</t>
  </si>
  <si>
    <t xml:space="preserve">"Revenue in the Cybersecurity market Germany is projected to reach" (EN); "Cybersecurity Deutschland Statista Marktprognose Umsatz" (DE)</t>
  </si>
  <si>
    <t xml:space="preserve">statista.com/outlook/tmo/cybersecurity/germany; de.statista.com/outlook/tmo/cybersecurity/deutschland; statista.com/forecasts/1499020</t>
  </si>
  <si>
    <t xml:space="preserve">Pagine outlook con valori oscurati nell'estratto (****); la pagina forecasts riporta solo 'just under 10 billion euros' nel 2029, senza valore puntuale</t>
  </si>
  <si>
    <t xml:space="preserve">"TeleTrusT IT-Sicherheitsmarkt Deutschland Umsatz Studie" (DE)</t>
  </si>
  <si>
    <t xml:space="preserve">teletrust.de; it-sicherheit.de</t>
  </si>
  <si>
    <t xml:space="preserve">Solo studio BMWi del 2010 con dati 2008 (2,5 miliardi), edizione anteriore al 2018; nessuna stima TeleTrusT successiva</t>
  </si>
  <si>
    <t xml:space="preserve">"VOICE IT-Agenda Anteil IT-Security am IT-Budget" (DE); "IT-Agenda 2025 2026 Security Budget" (DE)</t>
  </si>
  <si>
    <t xml:space="preserve">voice-ev.org; metrics.biz; cio.de; computerwoche.de</t>
  </si>
  <si>
    <t xml:space="preserve">Dati solo per area DACH o Europa (quota sicurezza 9,6% del budget IT 2022; budget security +12,7% nel 2025, +11,6% nel 2026); fuori livello nazionale, da valutare per la traccia A</t>
  </si>
  <si>
    <t xml:space="preserve">"ELSTAT ICT usage enterprises security expenditure" (EN)</t>
  </si>
  <si>
    <t xml:space="preserve">statistics.gr</t>
  </si>
  <si>
    <t xml:space="preserve">Indagine ICT senza variabili di spesa cyber</t>
  </si>
  <si>
    <t xml:space="preserve">"statista forecasts cybersecurity market revenue Greece" (EN)</t>
  </si>
  <si>
    <t xml:space="preserve">statista.com, 6wresearch.com</t>
  </si>
  <si>
    <t xml:space="preserve">Nessuna pagina Statista o 6Wresearch con valori per la Grecia negli estratti</t>
  </si>
  <si>
    <t xml:space="preserve">"αγορά κυβερνοασφάλειας Ελλάδα ΣΕΠΕ" (EL); "Εθνική Αρχή Κυβερνοασφάλειας προϋπολογισμός" (EL)</t>
  </si>
  <si>
    <t xml:space="preserve">sepe.gr, cyber.gov.gr, nationalcoalition.gov.gr</t>
  </si>
  <si>
    <t xml:space="preserve">Nessuna stima SEPE reperita, la Strategia 2026-2030 ha una sezione sul finanziamento senza importi negli estratti</t>
  </si>
  <si>
    <t xml:space="preserve">"6Wresearch Ireland cybersecurity market size growth rate" (EN)</t>
  </si>
  <si>
    <t xml:space="preserve">6wresearch.com</t>
  </si>
  <si>
    <t xml:space="preserve">Pagine senza valori nell'estratto</t>
  </si>
  <si>
    <t xml:space="preserve">"CSO ICT usage enterprises security expenditure" (EN)</t>
  </si>
  <si>
    <t xml:space="preserve">cso.ie</t>
  </si>
  <si>
    <t xml:space="preserve">Nessun dato monetario sulla spesa cyber</t>
  </si>
  <si>
    <t xml:space="preserve">"Cybersecurity Ireland Statista market forecast revenue" (EN)</t>
  </si>
  <si>
    <t xml:space="preserve">statista.com/outlook/tmo/cybersecurity/ireland</t>
  </si>
  <si>
    <t xml:space="preserve">"Ireland cybersecurity market size" (EN)</t>
  </si>
  <si>
    <t xml:space="preserve">mordorintelligence.com, grandviewresearch.com, imarcgroup.com, kenresearch.com</t>
  </si>
  <si>
    <t xml:space="preserve">Nessuna pagina paese sulla cybersecurity</t>
  </si>
  <si>
    <t xml:space="preserve">"Irish businesses cyber security budget spend survey PwC KPMG Deloitte EY" (EN)</t>
  </si>
  <si>
    <t xml:space="preserve">pwc.ie, ey.com/en_ie, kpmg.com/ie</t>
  </si>
  <si>
    <t xml:space="preserve">Solo quote di imprese che aumentano il budget, nessun valore monetario</t>
  </si>
  <si>
    <t xml:space="preserve">"Banca d'Italia Invind spesa sicurezza informatica imprese" (IT)</t>
  </si>
  <si>
    <t xml:space="preserve">bancaditalia.it</t>
  </si>
  <si>
    <t xml:space="preserve">QEF 852/2024 su Invind 2022 riporta solo classi di spesa e quote di imprese senza valori puntuali</t>
  </si>
  <si>
    <t xml:space="preserve">"IDC Italia spesa sicurezza IT Italia 2024 2025 miliardi" (IT); "IDC security spending guide Italy" (EN)</t>
  </si>
  <si>
    <t xml:space="preserve">idc.com, my.idc.com, idcitalia.com, event.idc.com</t>
  </si>
  <si>
    <t xml:space="preserve">Nessun dato monetario specifico per l'Italia, solo CAGR europeo 9,4% al 2029</t>
  </si>
  <si>
    <t xml:space="preserve">"imarcgroup Italy cybersecurity market" (EN); "Italy cyber security market outlook grandviewresearch" (EN)</t>
  </si>
  <si>
    <t xml:space="preserve">imarcgroup.com, grandviewresearch.com</t>
  </si>
  <si>
    <t xml:space="preserve">IMARC senza pagina paese cyber (solo cyber insurance), Grand View solo nicchie (network security, SOAR, V2X, automotive)</t>
  </si>
  <si>
    <t xml:space="preserve">"Istat spesa delle imprese per sicurezza informatica" (IT)</t>
  </si>
  <si>
    <t xml:space="preserve">istat.it, dati.istat.it</t>
  </si>
  <si>
    <t xml:space="preserve">Solo indicatori di adozione di misure di sicurezza, nessun dato monetario</t>
  </si>
  <si>
    <t xml:space="preserve">"Rapporto Clusit mercato italiano sicurezza informatica spesa" (IT); "Rapporto Clusit IDC mercato Sicurezza IT 2020 2021" (IT)</t>
  </si>
  <si>
    <t xml:space="preserve">clusit.it</t>
  </si>
  <si>
    <t xml:space="preserve">Capitolo di mercato IDC reperito solo per l'edizione 2019, nessun dato monetario nelle edizioni 2020-2026 negli estratti</t>
  </si>
  <si>
    <t xml:space="preserve">"Statista Market Insights Cybersecurity Italy revenue" (EN); "Cybersicurezza Italia Statista previsioni ricavi" (IT); "Cybersecurity Italien Umsatz" (DE)</t>
  </si>
  <si>
    <t xml:space="preserve">statista.com/outlook/tmo/cybersecurity/italy, it.statista.com, de.statista.com</t>
  </si>
  <si>
    <t xml:space="preserve">Pagina outlook non leggibile, valori annuali e segmenti assenti dagli estratti</t>
  </si>
  <si>
    <t xml:space="preserve">"The European House Ambrosetti cybersecurity Italia filiera fatturato" (IT)</t>
  </si>
  <si>
    <t xml:space="preserve">ambrosetti.eu, leonardo.com</t>
  </si>
  <si>
    <t xml:space="preserve">Nessun dato monetario sul mercato o sulla spesa cyber</t>
  </si>
  <si>
    <t xml:space="preserve">"CSB IKT drošība uzņēmumos izdevumi" (LV)</t>
  </si>
  <si>
    <t xml:space="preserve">stat.gov.lv, cert.lv</t>
  </si>
  <si>
    <t xml:space="preserve">Nessun dato monetario su spesa o mercato cyber</t>
  </si>
  <si>
    <t xml:space="preserve">"Latvia cybersecurity market size USD" (EN); "kiberdrošības tirgus Latvijā" (LV)</t>
  </si>
  <si>
    <t xml:space="preserve">statista.com/outlook/tmo/cybersecurity/latvia, 6wresearch.com, mordorintelligence.com</t>
  </si>
  <si>
    <t xml:space="preserve">Statista oscurato, 6Wresearch senza valori, nessuna pagina Mordor</t>
  </si>
  <si>
    <t xml:space="preserve">"Lithuania cybersecurity sector companies revenue turnover" (EN); "kibernetinio saugumo rinka Lietuvoje" (LT)</t>
  </si>
  <si>
    <t xml:space="preserve">investlithuania.com, 6wresearch.com, statista.com/outlook/tmo/cybersecurity/lithuania</t>
  </si>
  <si>
    <t xml:space="preserve">Nessun valore di fatturato del settore, 6Wresearch senza valori, Statista oscurato</t>
  </si>
  <si>
    <t xml:space="preserve">"Valstybės duomenų agentūra kibernetinis saugumas išlaidos įmonės" (LT)</t>
  </si>
  <si>
    <t xml:space="preserve">osp.stat.gov.lt, vda.lt</t>
  </si>
  <si>
    <t xml:space="preserve">"Luxembourg cybersecurity ecosystem report market size turnover" (EN); "marché cybersécurité Luxembourg chiffre d'affaires" (FR)</t>
  </si>
  <si>
    <t xml:space="preserve">luxinnovation.lu; lhc.lu; cybersecurity-luxembourg.com</t>
  </si>
  <si>
    <t xml:space="preserve">Solo numero di imprese (310-311) e loro classificazione; nessun valore di mercato</t>
  </si>
  <si>
    <t xml:space="preserve">"Luxembourg cybersecurity market 6Wresearch" (EN); "Mordor Luxembourg cybersecurity" (EN)</t>
  </si>
  <si>
    <t xml:space="preserve">6wresearch.com; mordorintelligence.com</t>
  </si>
  <si>
    <t xml:space="preserve">6Wresearch senza valori nelle pagine gratuite; Mordor solo aggregato Benelux (CAGR 7,47%), da valutare per la traccia A</t>
  </si>
  <si>
    <t xml:space="preserve">"NC3 market study SME cybersecurity budget Luxembourg" (EN)</t>
  </si>
  <si>
    <t xml:space="preserve">observatory.nc3.lu; nc3.lu</t>
  </si>
  <si>
    <t xml:space="preserve">Nessun valore monetario, solo quote di CISO senza budget (57%) o insoddisfatti (45%)</t>
  </si>
  <si>
    <t xml:space="preserve">"NC3 providers survey 2024 Luxembourg cybersecurity turnover" (EN)</t>
  </si>
  <si>
    <t xml:space="preserve">observatory.nc3.lu</t>
  </si>
  <si>
    <t xml:space="preserve">Nessun fatturato, il rapporto riporta solo utili o perdite (449,5 milioni nel 2022 per 60 imprese) e passività, fuori perimetro</t>
  </si>
  <si>
    <t xml:space="preserve">"STATEC cybersécurité dépenses entreprises" (FR)</t>
  </si>
  <si>
    <t xml:space="preserve">statistiques.public.lu</t>
  </si>
  <si>
    <t xml:space="preserve">Nessun dato cyber</t>
  </si>
  <si>
    <t xml:space="preserve">"Statista Cybersecurity Luxemburg" (DE)</t>
  </si>
  <si>
    <t xml:space="preserve">de.statista.com/outlook/tmo/cybersecurity/luxemburg</t>
  </si>
  <si>
    <t xml:space="preserve">"Malta cybersecurity market size" (EN); "Statista Malta cyber solutions" (EN)</t>
  </si>
  <si>
    <t xml:space="preserve">6wresearch.com, statista.com, mordorintelligence.com</t>
  </si>
  <si>
    <t xml:space="preserve">6Wresearch e Statista senza valori negli estratti, nessuna pagina Mordor per Malta</t>
  </si>
  <si>
    <t xml:space="preserve">"Malta National Cybersecurity Strategy 2023-2026 budget MDIA" (EN)</t>
  </si>
  <si>
    <t xml:space="preserve">mdia.gov.mt, digitalskills.mdia.gov.mt, mita.gov.mt, ncc-mita.gov.mt</t>
  </si>
  <si>
    <t xml:space="preserve">Campo budget della scheda strategia vuoto, nessun importo della strategia</t>
  </si>
  <si>
    <t xml:space="preserve">"NSO Malta ICT usage enterprises ICT security" (EN)</t>
  </si>
  <si>
    <t xml:space="preserve">nso.gov.mt</t>
  </si>
  <si>
    <t xml:space="preserve">Solo indicatori di adozione di misure di sicurezza, nessuna spesa</t>
  </si>
  <si>
    <t xml:space="preserve">"CBS Cybersecuritymonitor uitgaven ICT-beveiliging bedrijven" (NL)</t>
  </si>
  <si>
    <t xml:space="preserve">cbs.nl</t>
  </si>
  <si>
    <t xml:space="preserve">Nessun dato di spesa in sicurezza nelle edizioni 2018-2025, solo misure adottate e costi degli incidenti (fuori perimetro)</t>
  </si>
  <si>
    <t xml:space="preserve">"cybersecurity statistieken Nederland 2026 marktomvang IT-budget" (NL)</t>
  </si>
  <si>
    <t xml:space="preserve">searchlab.nl</t>
  </si>
  <si>
    <t xml:space="preserve">Escluso, blog senza indicazione delle fonti (4,2 miliardi nel 2026; 11,2% del budget IT)</t>
  </si>
  <si>
    <t xml:space="preserve">"dcypher cybersecurity markt Nederland" (NL); "Rijksinspectie Digitale Infrastructuur cybersecurity markt" (NL); "TNO cybersecurity sector omvang" (NL)</t>
  </si>
  <si>
    <t xml:space="preserve">dcypher.nl; rdi.nl; tno.nl; securitydelta.nl</t>
  </si>
  <si>
    <t xml:space="preserve">Nessun dato dal 2018; studio TNO-HSD 2017 (spesa 0,9-1,8 miliardi) e studio SEO 2016 (fatturato 2014 6,9-7,5 miliardi) anteriori al 2018</t>
  </si>
  <si>
    <t xml:space="preserve">"Netherlands cybersecurity market Grand View Research" (EN); "IMARC Netherlands cybersecurity" (EN)</t>
  </si>
  <si>
    <t xml:space="preserve">Nessuna pagina Paesi Bassi con valori nell'estratto</t>
  </si>
  <si>
    <t xml:space="preserve">"Netherlands Cybersecurity SaaS &amp; Services Market Ken Research" (EN)</t>
  </si>
  <si>
    <t xml:space="preserve">marketresearch.com; kenresearch.com</t>
  </si>
  <si>
    <t xml:space="preserve">Escluso, pagina di rivenditore con valore (3,5 miliardi USD) senza anno di riferimento e perimetro SaaS e servizi</t>
  </si>
  <si>
    <t xml:space="preserve">"Statista Cybersecurity Netherlands" (EN)</t>
  </si>
  <si>
    <t xml:space="preserve">statista.com/outlook/tmo/cybersecurity/netherlands</t>
  </si>
  <si>
    <t xml:space="preserve">"GUS wydatki na bezpieczeństwo ICT przedsiębiorstwa" (PL); "Społeczeństwo informacyjne w Polsce cyberbezpieczeństwo wydatki" (PL)</t>
  </si>
  <si>
    <t xml:space="preserve">stat.gov.pl</t>
  </si>
  <si>
    <t xml:space="preserve">Nessun dato monetario, solo indicatori di adozione delle misure di sicurezza ICT</t>
  </si>
  <si>
    <t xml:space="preserve">"KPMG Barometr cyberbezpieczeństwa budżet procent budżetu IT" (PL); "Barometr cyberbezpieczeństwa 2024 2025 2026" (PL)</t>
  </si>
  <si>
    <t xml:space="preserve">kpmg.com/pl, assets.kpmg.com</t>
  </si>
  <si>
    <t xml:space="preserve">Nessun dato monetario, solo quote di imprese che aumentano il budget e priorità di investimento</t>
  </si>
  <si>
    <t xml:space="preserve">"NASK budżet cyberbezpieczeństwo" (PL); "IDC Polska wydatki na bezpieczeństwo 2024 2025" (PL)</t>
  </si>
  <si>
    <t xml:space="preserve">nask.pl, idc.com, my.idc.com</t>
  </si>
  <si>
    <t xml:space="preserve">Nessun comunicato IDC Polska primario reperito, nessun budget NASK oltre al CSIRT citato dal ministero</t>
  </si>
  <si>
    <t xml:space="preserve">"Poland cybersecurity market IMARC" (EN); "Grand View Research Poland cybersecurity market" (EN)</t>
  </si>
  <si>
    <t xml:space="preserve">Nessuna pagina paese per la Polonia trovata</t>
  </si>
  <si>
    <t xml:space="preserve">"Statista cybersecurity market Poland revenue" (EN); "Revenue in the Cybersecurity market Poland projected" (EN)</t>
  </si>
  <si>
    <t xml:space="preserve">statista.com/outlook/tmo/cybersecurity/poland</t>
  </si>
  <si>
    <t xml:space="preserve">Pagina leggibile ma valori oscurati nell'estratto, dato ripreso solo tramite CBI</t>
  </si>
  <si>
    <t xml:space="preserve">"AP2SI inquérito profissionais cibersegurança" (PT)</t>
  </si>
  <si>
    <t xml:space="preserve">cncs.gov.pt, ap2si.pt</t>
  </si>
  <si>
    <t xml:space="preserve">Survey sui professionisti e retribuzioni, nessuna spesa o mercato</t>
  </si>
  <si>
    <t xml:space="preserve">"INE Portugal inquérito utilização TIC empresas segurança despesa" (PT)</t>
  </si>
  <si>
    <t xml:space="preserve">ine.pt</t>
  </si>
  <si>
    <t xml:space="preserve">Solo indicatori di adozione di misure di sicurezza TIC, nessuna spesa</t>
  </si>
  <si>
    <t xml:space="preserve">"Portugal cybersecurity market size" (EN); "Statista Portugal cybersecurity" (EN)</t>
  </si>
  <si>
    <t xml:space="preserve">statista.com, 6wresearch.com, researchandmarkets.com</t>
  </si>
  <si>
    <t xml:space="preserve">Statista e 6Wresearch senza valori negli estratti, Research and Markets con valore senza anno (1,2 miliardi USD)</t>
  </si>
  <si>
    <t xml:space="preserve">"ČSÚ výdaje podniků na ICT bezpečnost" (CS); "Informační společnost v číslech bezpečnost ICT výdaje" (CS)</t>
  </si>
  <si>
    <t xml:space="preserve">csu.gov.cz</t>
  </si>
  <si>
    <t xml:space="preserve">Nessun dato monetario, solo incidenti e misure di sicurezza ICT e investimenti ICT complessivi</t>
  </si>
  <si>
    <t xml:space="preserve">"Cybersecurity Czechia Statista revenue projected" (EN); "Mordor Intelligence Czech Republic cybersecurity market size" (EN)</t>
  </si>
  <si>
    <t xml:space="preserve">statista.com, mordorintelligence.com</t>
  </si>
  <si>
    <t xml:space="preserve">Valori Statista oscurati nell'estratto, nessuna pagina Mordor cyber per la Repubblica Ceca</t>
  </si>
  <si>
    <t xml:space="preserve">"CzechInvest cybersecurity industry revenue" (EN); "CzechInvest kybernetická bezpečnost sektor" (CS)</t>
  </si>
  <si>
    <t xml:space="preserve">czechinvest.gov.cz</t>
  </si>
  <si>
    <t xml:space="preserve">Nessun dato monetario sul settore cyber, solo progetti NPO interni</t>
  </si>
  <si>
    <t xml:space="preserve">"IDC výdaje na IT bezpečnost Česko 2024 2025 miliard" (CS)</t>
  </si>
  <si>
    <t xml:space="preserve">idc.com, computertrends.cz, itbiz.cz</t>
  </si>
  <si>
    <t xml:space="preserve">Solo tassi di crescita IDC, nessun valore assoluto recente per la Repubblica Ceca</t>
  </si>
  <si>
    <t xml:space="preserve">"trh kybernetické bezpečnosti v České republice velikost miliard Kč" (CS); "Asociace kybernetické bezpečnosti trh" (CS)</t>
  </si>
  <si>
    <t xml:space="preserve">akb.cz, aavit.cz, tc.cz</t>
  </si>
  <si>
    <t xml:space="preserve">Nessuna stima di mercato dell'associazione cyber, solo lo studio TC Praha</t>
  </si>
  <si>
    <t xml:space="preserve">"ANIS studiu industria software securitate cibernetică cifra de afaceri" (RO)</t>
  </si>
  <si>
    <t xml:space="preserve">anis.ro, agerpres.ro, zf.ro</t>
  </si>
  <si>
    <t xml:space="preserve">Studio ANIS solo sul settore IT&amp;C complessivo, nessun dato cyber</t>
  </si>
  <si>
    <t xml:space="preserve">"Cyber Solutions Romania Statista Market Forecast" (EN)</t>
  </si>
  <si>
    <t xml:space="preserve">statista.com/outlook/tmo/cybersecurity/romania</t>
  </si>
  <si>
    <t xml:space="preserve">Valori oscurati nell'estratto, dato ripreso tramite Team France Export</t>
  </si>
  <si>
    <t xml:space="preserve">"INS cheltuieli securitate TIC întreprinderi" (RO); "piața de securitate cibernetică din România valoare milioane euro" (RO)</t>
  </si>
  <si>
    <t xml:space="preserve">insse.ro, zf.ro, economica.net</t>
  </si>
  <si>
    <t xml:space="preserve">Nessun dato monetario INS, solo ricavi di singole imprese cyber</t>
  </si>
  <si>
    <t xml:space="preserve">"PNRR Componenta 7 Investiția 14 securitate cibernetică buget milioane euro" (RO)</t>
  </si>
  <si>
    <t xml:space="preserve">mcid.gov.ro, adrcentru.ro, mfe.gov.ro</t>
  </si>
  <si>
    <t xml:space="preserve">Dotazione dell'investimento I14 non leggibile negli estratti</t>
  </si>
  <si>
    <t xml:space="preserve">"PwC Digital Trust Insights Slovensko rozpočet kybernetická bezpečnosť" (SK)</t>
  </si>
  <si>
    <t xml:space="preserve">pwc.com/sk</t>
  </si>
  <si>
    <t xml:space="preserve">Solo distribuzione delle intenzioni di variazione del budget, nessun valore monetario o rapporto di spesa</t>
  </si>
  <si>
    <t xml:space="preserve">"Slovakia cybersecurity market size USD 2025" (EN); "Cybersecurity - Slovakia Statista Market Forecast" (EN)</t>
  </si>
  <si>
    <t xml:space="preserve">statista.com, mordorintelligence.com, trade.gov</t>
  </si>
  <si>
    <t xml:space="preserve">Pagine Statista Slovacchia con valori oscurati, nessuna pagina Mordor cyber per la Slovacchia</t>
  </si>
  <si>
    <t xml:space="preserve">"Štatistický úrad SR výdavky na bezpečnosť IKT podniky" (SK)</t>
  </si>
  <si>
    <t xml:space="preserve">slovak.statistics.sk</t>
  </si>
  <si>
    <t xml:space="preserve">"trh kybernetickej bezpečnosti Slovensko veľkosť milióny eur" (SK); "IDC Slovensko výdavky na IT bezpečnosť" (SK)</t>
  </si>
  <si>
    <t xml:space="preserve">trend.sk, teraz.sk, finsider.sk, idc.com</t>
  </si>
  <si>
    <t xml:space="preserve">Nessun valore di mercato nazionale, solo dati globali IDC e percentuali PwC sulle intenzioni di aumento del budget</t>
  </si>
  <si>
    <t xml:space="preserve">"DIH Slovenija kibernetska varnost MSP vavčer" (SL)</t>
  </si>
  <si>
    <t xml:space="preserve">dihslovenia.si</t>
  </si>
  <si>
    <t xml:space="preserve">Solo massimali per singolo voucher, nessun totale</t>
  </si>
  <si>
    <t xml:space="preserve">"NOO Slovenija okrepitev kibernetske varnosti projekt vrednost" (SL)</t>
  </si>
  <si>
    <t xml:space="preserve">gov.si, enisa.europa.eu</t>
  </si>
  <si>
    <t xml:space="preserve">Valore del progetto NOO di URSIV non leggibile, cifre di 25 e 27 mln EUR non attribuibili con certezza alla cybersecurity</t>
  </si>
  <si>
    <t xml:space="preserve">"SI-CERT poročilo o kibernetski varnosti" (SL)</t>
  </si>
  <si>
    <t xml:space="preserve">cert.si</t>
  </si>
  <si>
    <t xml:space="preserve">Solo danni da frodi e incidenti, fuori perimetro</t>
  </si>
  <si>
    <t xml:space="preserve">"SURS izdatki podjetij za IKT varnost" (SL)</t>
  </si>
  <si>
    <t xml:space="preserve">stat.si</t>
  </si>
  <si>
    <t xml:space="preserve">"trg kibernetske varnosti Slovenija vrednost milijonov evrov" (SL); "Slovenia cybersecurity market size USD million 2025" (EN)</t>
  </si>
  <si>
    <t xml:space="preserve">24ur.com, delo.si, bloombergadria.com, 6wresearch.com, statista.com</t>
  </si>
  <si>
    <t xml:space="preserve">Nessun valore di mercato nazionale, pagine Statista e 6Wresearch senza valori leggibili</t>
  </si>
  <si>
    <t xml:space="preserve">"Ciberseguridad España Statista previsión de mercado" (ES); "Cybersecurity Spain statista outlook" (EN)</t>
  </si>
  <si>
    <t xml:space="preserve">statista.com/outlook/tmo/cybersecurity/spain, es.statista.com</t>
  </si>
  <si>
    <t xml:space="preserve">Pagina outlook non leggibile, valori annuali assenti dagli estratti</t>
  </si>
  <si>
    <t xml:space="preserve">"INE gasto total en seguridad TIC empresas" (ES); "INE nota de prensa uso TIC gasto seguridad" (ES)</t>
  </si>
  <si>
    <t xml:space="preserve">ine.es (tabelle jaxi tpx 71020, 71042, 76408, 59893), idescat.cat</t>
  </si>
  <si>
    <t xml:space="preserve">Pagina non leggibile, la variabile Gasto total en seguridad TIC (incluso personale interno) esiste ma il valore nazionale non compare negli estratti; dato catalano fuori perimetro</t>
  </si>
  <si>
    <t xml:space="preserve">"Ken Research Spain cybersecurity market" (EN); "marketsandmarkets Spain Cybersecurity Market" (EN)</t>
  </si>
  <si>
    <t xml:space="preserve">kenresearch.com, marketsandmarkets.com, grandviewresearch.com</t>
  </si>
  <si>
    <t xml:space="preserve">Ken Research con valori senza anno di riferimento (circa 5 miliardi USD), MarketsandMarkets senza pagina cyber totale per la Spagna</t>
  </si>
  <si>
    <t xml:space="preserve">"ONTSI sector ciberseguridad facturación" (ES)</t>
  </si>
  <si>
    <t xml:space="preserve">ontsi.es, observaciber.es</t>
  </si>
  <si>
    <t xml:space="preserve">Unico dato ONTSI sul fatturato del settore riferito al 2014 (edizione anteriore al 2018)</t>
  </si>
  <si>
    <t xml:space="preserve">"presupuesto de ciberseguridad empresas españolas porcentaje TI ISMS Forum AMETIC" (ES)</t>
  </si>
  <si>
    <t xml:space="preserve">ismsforum.es, ametic.es, camara.es</t>
  </si>
  <si>
    <t xml:space="preserve">ISMS Forum solo affermazione generica senza fonte (circa 10% del budget IT), Cámara de Comercio solo quote di imprese che aumentano il budget</t>
  </si>
  <si>
    <t xml:space="preserve">"cybersäkerhetsmarknaden i Sverige omsättning miljarder" (SV); "Sweden cybersecurity market size" (EN)</t>
  </si>
  <si>
    <t xml:space="preserve">statista.com/outlook/tmo/cybersecurity/sweden, de.statista.com</t>
  </si>
  <si>
    <t xml:space="preserve">Pagina Statista con valori oscurati</t>
  </si>
  <si>
    <t xml:space="preserve">"Säkerhetsbranschen omsätter miljarder" (SV)</t>
  </si>
  <si>
    <t xml:space="preserve">securityuser.com, sakerhetsforetagen.se</t>
  </si>
  <si>
    <t xml:space="preserve">Rapporto sulla sola sicurezza fisica, IT-säkerhet esclusa, fuori perimetro</t>
  </si>
  <si>
    <t xml:space="preserve">"SCB IT-säkerhet kostnader företag"; "MSB cybersäkerhet marknad" (SV)</t>
  </si>
  <si>
    <t xml:space="preserve">scb.se, msb.se, ncsc.se</t>
  </si>
  <si>
    <t xml:space="preserve">"Sweden cyber security market size outlook" (EN)</t>
  </si>
  <si>
    <t xml:space="preserve">grandviewresearch.com, cybercampus.se</t>
  </si>
  <si>
    <t xml:space="preserve">Nessuna pagina paese Grand View; Cybercampus senza dati monetari</t>
  </si>
  <si>
    <t xml:space="preserve">"ISACA információbiztonsági helyzetkép piac mérete" (HU)</t>
  </si>
  <si>
    <t xml:space="preserve">isaca.hu (higherlogicdownload)</t>
  </si>
  <si>
    <t xml:space="preserve">Solo percezioni dei responsabili IT su classi di dimensione del mercato, non una stima, esclusa</t>
  </si>
  <si>
    <t xml:space="preserve">"IVSZ kiberbiztonsági felmérés IT költségvetés százalék" (HU); "One Solutions IVSZ BellResearch kiberbiztonság 2026" (HU)</t>
  </si>
  <si>
    <t xml:space="preserve">ivsz.hu, hvg.hu, index.hu, itbusiness.hu</t>
  </si>
  <si>
    <t xml:space="preserve">Nessun rapporto di spesa, l'indagine dichiara che non si può determinare una quota rappresentativa sul budget IT</t>
  </si>
  <si>
    <t xml:space="preserve">"kiberbiztonsági piac Magyarország mérete milliárd forint" (HU); "IDC Magyarország IT biztonsági kiadások" (HU)</t>
  </si>
  <si>
    <t xml:space="preserve">itbusiness.hu, computertrends.hu, magyaridok.hu, makronom.eu</t>
  </si>
  <si>
    <t xml:space="preserve">Dato IDC Hungary sul mercato del software di sicurezza (30-35 mln USD, 90 mln USD con servizi) senza data leggibile, stima makronom 2030 senza fonte primaria, esclusi</t>
  </si>
  <si>
    <t xml:space="preserve">"KSH IKT biztonság vállalkozások költség" (HU); "NKI SZTFH költségvetés kiberbiztonság milliárd" (HU)</t>
  </si>
  <si>
    <t xml:space="preserve">ksh.hu, nki.gov.hu, sztfh.hu, njt.hu</t>
  </si>
  <si>
    <t xml:space="preserve">Nessun dato monetario sulla spesa cyber né bilancio dedicato delle autorità leggibile</t>
  </si>
  <si>
    <t xml:space="preserve">"Statista Hungary cybersecurity market revenue" (EN); "Helyreállítási terv kiberbiztonság milliárd forint" (HU)</t>
  </si>
  <si>
    <t xml:space="preserve">statista.com, kormany.hu, aeur.eu</t>
  </si>
  <si>
    <t xml:space="preserve">Valori Statista oscurati, nessuna quota cyber identificabile nel Piano di ripresa ungherese</t>
  </si>
  <si>
    <t xml:space="preserve">"Cyber Security Breaches Survey 2020 investment in cyber security mean spend" (EN)</t>
  </si>
  <si>
    <t xml:space="preserve">gov.uk, assets.publishing.service.gov.uk</t>
  </si>
  <si>
    <t xml:space="preserve">Domande sulla spesa eliminate dal 2020, nessun dato monetario nelle edizioni 2020-2026</t>
  </si>
  <si>
    <t xml:space="preserve">"IDC UK security spending forecast billion United Kingdom" (EN)</t>
  </si>
  <si>
    <t xml:space="preserve">idc.com, my.idc.com, silicon.co.uk</t>
  </si>
  <si>
    <t xml:space="preserve">Nessun valore per il Regno Unito, solo dati Europa e mondo</t>
  </si>
  <si>
    <t xml:space="preserve">"ONS cyber security spending businesses"; "NCSC annual review cyber sector worth" (EN)</t>
  </si>
  <si>
    <t xml:space="preserve">ons.gov.uk, ncsc.gov.uk</t>
  </si>
  <si>
    <t xml:space="preserve">ONS senza statistiche di spesa cyber; NCSC riprende solo i dati DSIT</t>
  </si>
  <si>
    <t xml:space="preserve">"Statista Market Insights cybersecurity United Kingdom revenue"; "United Kingdom cybersecurity market revenue 2026 CAGR" (EN)</t>
  </si>
  <si>
    <t xml:space="preserve">statista.com/outlook/tmo/cybersecurity/united-kingdom</t>
  </si>
  <si>
    <t xml:space="preserve">Valori della pagina outlook oscurati nell'estratto</t>
  </si>
  <si>
    <t xml:space="preserve">"Technavio cybersecurity market in UK"; "MarketsandMarkets UK cybersecurity market" (EN)</t>
  </si>
  <si>
    <t xml:space="preserve">technavio.com, marketsandmarkets.com</t>
  </si>
  <si>
    <t xml:space="preserve">Nessun valore specifico per il Regno Unito negli estratti</t>
  </si>
  <si>
    <t xml:space="preserve">"UK organisations cyber security budget percentage of IT budget survey" (EN)</t>
  </si>
  <si>
    <t xml:space="preserve">pwc.co.uk, kpmg.com, deloitte.com, techuk.org</t>
  </si>
  <si>
    <t xml:space="preserve">Solo indicatori di adozione e priorità, nessun valore monetario (salvo PwC Law Firms Survey registrata)</t>
  </si>
  <si>
    <t xml:space="preserve">"Forrester European security budgets spending billion" (EN)</t>
  </si>
  <si>
    <t xml:space="preserve">forrester.com</t>
  </si>
  <si>
    <t xml:space="preserve">Nessun dato monetario. Solo quote di intervistati che prevedono aumenti di budget (81%).</t>
  </si>
  <si>
    <t xml:space="preserve">"Frost &amp; Sullivan European cybersecurity market revenue" (EN)</t>
  </si>
  <si>
    <t xml:space="preserve">frost.com, store.frost.com</t>
  </si>
  <si>
    <t xml:space="preserve">Solo schede di rapporti a pagamento senza valori europei recenti; registrato solo il dato MSS 2015.</t>
  </si>
  <si>
    <t xml:space="preserve">"Gartner Forecasts IT Spending in Europe 2026 security" (EN)</t>
  </si>
  <si>
    <t xml:space="preserve">gartner.com, stampa specializzata</t>
  </si>
  <si>
    <t xml:space="preserve">Il comunicato 2025 sulla spesa IT europea 2026 non riporta il valore della sicurezza.</t>
  </si>
  <si>
    <t xml:space="preserve">"Ken Research Europe cybersecurity market size" (EN)</t>
  </si>
  <si>
    <t xml:space="preserve">kenresearch.com</t>
  </si>
  <si>
    <t xml:space="preserve">Valore di mercato non leggibile, solo CAGR. Pagina cloud con valore europeo senza anno, non registrato.</t>
  </si>
  <si>
    <t xml:space="preserve">"Research and Markets Europe Security Risk Management market" (EN)</t>
  </si>
  <si>
    <t xml:space="preserve">researchandmarkets.com</t>
  </si>
  <si>
    <t xml:space="preserve">Mercato security risk management (55,62 miliardi USD 2024) con perimetro non chiaramente cyber, non registrato.</t>
  </si>
  <si>
    <t xml:space="preserve">"Statista cybersecurity Europe revenue projected to reach" (EN); "Cybersecurity EU-27 Statista Market Forecast" (EN); "Security Services EU-27 Statista" (EN)</t>
  </si>
  <si>
    <t xml:space="preserve">statista.com (outlook Europe, EU-27, Central &amp; Western Europe, segmenti)</t>
  </si>
  <si>
    <t xml:space="preserve">Valori mascherati negli estratti delle pagine outlook (asterischi). Registrati solo i valori Europa 2024 e 2029 dell'aggiornamento 2024.</t>
  </si>
  <si>
    <t xml:space="preserve">"PAC IT Security by Segments Market Figures Western Europe" (EN)</t>
  </si>
  <si>
    <t xml:space="preserve">sitsi.pacanalyst.com</t>
  </si>
  <si>
    <t xml:space="preserve">Fonte a pagamento senza estratto numerico (datamart Excel).</t>
  </si>
  <si>
    <t xml:space="preserve">"PwC Digital Trust Insights Western Europe cyber budget" (EN)</t>
  </si>
  <si>
    <t xml:space="preserve">pwc.de, pwc.nl, cee.pwc.com, pwc.es</t>
  </si>
  <si>
    <t xml:space="preserve">Solo quote di imprese che prevedono aumenti di budget, nessun valore monetario o rapporto di spesa.</t>
  </si>
  <si>
    <t xml:space="preserve">"Central and Eastern Europe cybersecurity market size" (EN); "CEE cybersecurity market Mordor" (EN)</t>
  </si>
  <si>
    <t xml:space="preserve">mordorintelligence.com, ricerca generale</t>
  </si>
  <si>
    <t xml:space="preserve">Nessun rapporto CEE con valori leggibili. Disponibile solo il dato IDC 2019 (2,6 miliardi USD) ripreso da terzi.</t>
  </si>
  <si>
    <t xml:space="preserve">BALTICS</t>
  </si>
  <si>
    <t xml:space="preserve">Paesi baltici</t>
  </si>
  <si>
    <t xml:space="preserve">"Baltic states cybersecurity market size" (EN)</t>
  </si>
  <si>
    <t xml:space="preserve">ricerca generale</t>
  </si>
  <si>
    <t xml:space="preserve">Nessuna fonte con dati monetari per l'aggregato baltico.</t>
  </si>
  <si>
    <t xml:space="preserve">"Canalys cybersecurity EMEA Q2 2024 spending" (EN)</t>
  </si>
  <si>
    <t xml:space="preserve">canalys.com</t>
  </si>
  <si>
    <t xml:space="preserve">Valore EMEA Q2 2024 (crescita 9,8%) solo in articolo di terzi, comunicato Canalys non reperito; non registrato.</t>
  </si>
  <si>
    <t xml:space="preserve">"Omdia EMEA cybersecurity market size" (EN)</t>
  </si>
  <si>
    <t xml:space="preserve">omdia.tech.informa.com</t>
  </si>
  <si>
    <t xml:space="preserve">Fonte a pagamento senza estratto (EMEA Cybersecurity Market 4Q25, solo descrizione del prodotto).</t>
  </si>
  <si>
    <t xml:space="preserve">EU27 E STATI MEMBRI</t>
  </si>
  <si>
    <t xml:space="preserve">"Information security spending as a share of IT spending of OES/DSP surveyed per Member State" NIS Investments 2021 (EN)</t>
  </si>
  <si>
    <t xml:space="preserve">enisa.europa.eu (NIS Investments 2021, Figure 21)</t>
  </si>
  <si>
    <t xml:space="preserve">Valori per Stato membro solo in grafico, non leggibili nell'estratto.</t>
  </si>
  <si>
    <t xml:space="preserve">"IS spending per Member State (median values)" NIS Investments 2025 (EN); "NIS Investments 2025 companion document Figure 3 Germany France Spain Italy" (EN); "IT spending per Member State median" (EN)</t>
  </si>
  <si>
    <t xml:space="preserve">enisa.europa.eu (Survey data companion document 2025, due versioni del PDF)</t>
  </si>
  <si>
    <t xml:space="preserve">Mediane per Stato membro presenti solo come grafico a barre senza etichette numeriche leggibili nell'estratto. Nessuna riga paese registrata.</t>
  </si>
  <si>
    <t xml:space="preserve">Valuta</t>
  </si>
  <si>
    <t xml:space="preserve">Anno</t>
  </si>
  <si>
    <t xml:space="preserve">Chiave</t>
  </si>
  <si>
    <t xml:space="preserve">Unità di valuta per 1 euro</t>
  </si>
  <si>
    <t xml:space="preserve">Tipo</t>
  </si>
  <si>
    <t xml:space="preserve">Fattore verso milioni</t>
  </si>
  <si>
    <t xml:space="preserve">Media annua dei tassi di riferimento BCE</t>
  </si>
  <si>
    <t xml:space="preserve">https://www.bundesbank.de/resource/blob/810492/a2153174ba561731ab6e03a033024545/472B63F073F071307366337C94F8C870/wk1e1213-data.pdf</t>
  </si>
  <si>
    <t xml:space="preserve">https://www.bundesbank.de/resource/blob/885410/cedfb45cae43b25bd1e9ac07901c960c/mL/2022-02-15-12-43-18-wechselkursstatistik-data.pdf</t>
  </si>
  <si>
    <t xml:space="preserve">https://www.bundesbank.de/resource/blob/924916/bde72e0f521cb3ad79e4172dcf37bda2/mL/2024-02-15-13-49-26-wechselkursstatistik-data.pdf</t>
  </si>
  <si>
    <t xml:space="preserve">https://www.oenb.at/isawebstat/stabfrage/createReport?lang=EN&amp;report=2.14</t>
  </si>
  <si>
    <t xml:space="preserve">Parametri di conversione delle unità verso milioni. Celle gialle modificabili.</t>
  </si>
  <si>
    <t xml:space="preserve">Ultima media annua disponibile</t>
  </si>
  <si>
    <t xml:space="preserve">Media 2026 non disponibile, si usa la media 2025</t>
  </si>
  <si>
    <t xml:space="preserve">Media 2027 non disponibile, si usa la media 2025</t>
  </si>
  <si>
    <t xml:space="preserve">Media 2029 non disponibile, si usa la media 2025</t>
  </si>
  <si>
    <t xml:space="preserve">Media 2030 non disponibile, si usa la media 2025</t>
  </si>
  <si>
    <t xml:space="preserve">https://www.bundesbank.de/resource/blob/737356/9f1e7821ed984c99057fbadce69ef511/mL/2018-05-devisenkursstatistik-data.pdf</t>
  </si>
  <si>
    <t xml:space="preserve">https://www.bundesbank.de/resource/blob/709996/f36683564eccaa4c37976bbf02b4ffcf/mL/2018-01-devisenkursstatistik-data.pdf</t>
  </si>
  <si>
    <t xml:space="preserve">https://www.bundesbank.de/resource/blob/798980/188a2792b8578e3c7cff718eb35b4538/472B63F073F071307366337C94F8C870/2019-06-devisenkursstatistik-data.pdf</t>
  </si>
  <si>
    <t xml:space="preserve">https://www.bundesbank.de/resource/blob/828028/ebd9cdae8eb8e067e0965839011e311e/472B63F073F071307366337C94F8C870/2020-03-devisenkursstatistik-data.pdf</t>
  </si>
  <si>
    <t xml:space="preserve">https://www.bundesbank.de/resource/blob/810486/543ccafee008efc3df2f94f8e74c23eb/472B63F073F071307366337C94F8C870/ii-euro-referenzkurse-der-ezb-data.pdf</t>
  </si>
  <si>
    <t xml:space="preserve">https://www.bundesbank.de/resource/blob/913034/fabcc44214074f5a93c0a78eb9c10a96/mL/2023-07-17-10-49-26-wechselkursstatistik-data.pdf</t>
  </si>
  <si>
    <t xml:space="preserve">https://www.oenb.at/isawebstat/stabfrage/createReport;jsessionid=2C4AA6EA30652E6225478B954A4276D3?lang=EN&amp;report=2.14</t>
  </si>
  <si>
    <t xml:space="preserve">Media 2028 non disponibile, si usa la media 2025</t>
  </si>
  <si>
    <t xml:space="preserve">Media 2031 non disponibile, si usa la media 2025</t>
  </si>
  <si>
    <t xml:space="preserve">https://api.statistiken.bundesbank.de/rest/download/BBEX3/A.USD.EUR.BB.AC.A04?format=csv&amp;lang=en</t>
  </si>
  <si>
    <t xml:space="preserve">https://statistiken.bundesbank.de/statistiken-de/zeitreihen/BBEX3/A.USD.EUR.BB.AC.A04</t>
  </si>
  <si>
    <t xml:space="preserve">Media 2032 non disponibile, si usa la media 2025</t>
  </si>
  <si>
    <t xml:space="preserve">Media 2033 non disponibile, si usa la media 2025</t>
  </si>
  <si>
    <t xml:space="preserve">Media 2034 non disponibile, si usa la media 2025</t>
  </si>
  <si>
    <t xml:space="preserve">Media 2035 non disponibile, si usa la media 2025</t>
  </si>
</sst>
</file>

<file path=xl/styles.xml><?xml version="1.0" encoding="utf-8"?>
<styleSheet xmlns="http://schemas.openxmlformats.org/spreadsheetml/2006/main">
  <numFmts count="6">
    <numFmt numFmtId="164" formatCode="General"/>
    <numFmt numFmtId="165" formatCode="#,##0.00"/>
    <numFmt numFmtId="166" formatCode="General"/>
    <numFmt numFmtId="167" formatCode="#,##0.0"/>
    <numFmt numFmtId="168" formatCode="0.0000"/>
    <numFmt numFmtId="169" formatCode="0.00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0"/>
      <color rgb="FFFFFFFF"/>
      <name val="Arial"/>
      <family val="0"/>
      <charset val="1"/>
    </font>
    <font>
      <u val="single"/>
      <sz val="10"/>
      <color rgb="FF0563C1"/>
      <name val="Arial"/>
      <family val="0"/>
      <charset val="1"/>
    </font>
    <font>
      <sz val="10"/>
      <name val="WenQuanYi Zen Hei"/>
      <family val="2"/>
    </font>
  </fonts>
  <fills count="6">
    <fill>
      <patternFill patternType="none"/>
    </fill>
    <fill>
      <patternFill patternType="gray125"/>
    </fill>
    <fill>
      <patternFill patternType="solid">
        <fgColor rgb="FFDDEBF7"/>
        <bgColor rgb="FFCCFFFF"/>
      </patternFill>
    </fill>
    <fill>
      <patternFill patternType="solid">
        <fgColor rgb="FFFFFF00"/>
        <bgColor rgb="FFFFFF00"/>
      </patternFill>
    </fill>
    <fill>
      <patternFill patternType="solid">
        <fgColor rgb="FFF8CBAD"/>
        <bgColor rgb="FFBFBFB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9" fontId="6"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DDEBF7"/>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ata.consilium.europa.eu/doc/document/ST-5611-2026-INIT/en/pdf" TargetMode="External"/><Relationship Id="rId2" Type="http://schemas.openxmlformats.org/officeDocument/2006/relationships/hyperlink" Target="https://data.consilium.europa.eu/doc/document/ST-5611-2026-INIT/en/pdf" TargetMode="External"/><Relationship Id="rId3" Type="http://schemas.openxmlformats.org/officeDocument/2006/relationships/hyperlink" Target="https://ec.europa.eu/commission/presscorner/api/files/document/print/en/ip_23_2243/IP_23_2243_EN.pdf" TargetMode="External"/><Relationship Id="rId4" Type="http://schemas.openxmlformats.org/officeDocument/2006/relationships/hyperlink" Target="https://digital-strategy.ec.europa.eu/en/library/digital-europe-more-competitive-autonomous-and-sustainable-europe-brochure" TargetMode="External"/><Relationship Id="rId5" Type="http://schemas.openxmlformats.org/officeDocument/2006/relationships/hyperlink" Target="https://digital-strategy.ec.europa.eu/en/policies/cybersecurity-policies" TargetMode="External"/><Relationship Id="rId6" Type="http://schemas.openxmlformats.org/officeDocument/2006/relationships/hyperlink" Target="https://digital-strategy.ec.europa.eu/en/news/digital-europe-programme-fuels-digital-transformation-and-skills-development-across-europe" TargetMode="External"/><Relationship Id="rId7" Type="http://schemas.openxmlformats.org/officeDocument/2006/relationships/hyperlink" Target="https://secure.ipex.eu/IPEXL-WEB/download/file/082d29089070f71e019072c2e24e0036" TargetMode="External"/><Relationship Id="rId8" Type="http://schemas.openxmlformats.org/officeDocument/2006/relationships/hyperlink" Target="https://www.europarl.europa.eu/RegData/docs_autres_institutions/commission_europeenne/com/2025/0290/COM_COM(2025)0290(ANN)_EN.pdf" TargetMode="External"/><Relationship Id="rId9" Type="http://schemas.openxmlformats.org/officeDocument/2006/relationships/hyperlink" Target="https://ec.europa.eu/info/funding-tenders/opportunities/docs/2021-2027/horizon/wp-call/2025/wp-6-civil-security-for-society_horizon-2025_en.pdf" TargetMode="External"/><Relationship Id="rId10" Type="http://schemas.openxmlformats.org/officeDocument/2006/relationships/hyperlink" Target="https://www.eerstekamer.nl/bijlage/20210114/swd_2020_345_impact_assessment_7/document3/f=/vlfghch5jfhz.pdf" TargetMode="External"/><Relationship Id="rId11" Type="http://schemas.openxmlformats.org/officeDocument/2006/relationships/hyperlink" Target="https://www.eerstekamer.nl/bijlage/20210114/swd_2020_345_impact_assessment_7/document3/f=/vlfghch5jfhz.pdf" TargetMode="External"/><Relationship Id="rId12" Type="http://schemas.openxmlformats.org/officeDocument/2006/relationships/hyperlink" Target="https://www.eerstekamer.nl/bijlage/20210114/swd_2020_345_impact_assessment_5/document3/f=/vlfghbk7smnk.pdf" TargetMode="External"/><Relationship Id="rId13" Type="http://schemas.openxmlformats.org/officeDocument/2006/relationships/hyperlink" Target="https://www.eerstekamer.nl/bijlage/20210114/swd_2020_345_impact_assessment_5/document3/f=/vlfghbk7smnk.pdf" TargetMode="External"/><Relationship Id="rId14" Type="http://schemas.openxmlformats.org/officeDocument/2006/relationships/hyperlink" Target="https://www.eerstekamer.nl/bijlage/20210114/swd_2020_345_impact_assessment_7/document3/f=/vlfghch5jfhz.pdf" TargetMode="External"/><Relationship Id="rId15" Type="http://schemas.openxmlformats.org/officeDocument/2006/relationships/hyperlink" Target="https://www.eerstekamer.nl/bijlage/20210114/swd_2020_345_impact_assessment_7/document3/f=/vlfghch5jfhz.pdf" TargetMode="External"/><Relationship Id="rId16" Type="http://schemas.openxmlformats.org/officeDocument/2006/relationships/hyperlink" Target="https://www.eerstekamer.nl/bijlage/20210114/swd_2020_345_impact_assessment_7/document3/f=/vlfghch5jfhz.pdf" TargetMode="External"/><Relationship Id="rId17" Type="http://schemas.openxmlformats.org/officeDocument/2006/relationships/hyperlink" Target="https://www.eerstekamer.nl/bijlage/20210114/swd_2020_345_impact_assessment_7/document3/f=/vlfghch5jfhz.pdf" TargetMode="External"/><Relationship Id="rId18" Type="http://schemas.openxmlformats.org/officeDocument/2006/relationships/hyperlink" Target="https://www.eerstekamer.nl/bijlage/20210114/swd_2020_345_impact_assessment_7/document3/f=/vlfghch5jfhz.pdf" TargetMode="External"/><Relationship Id="rId19" Type="http://schemas.openxmlformats.org/officeDocument/2006/relationships/hyperlink" Target="https://www.eerstekamer.nl/bijlage/20210114/swd_2020_345_impact_assessment_7/document3/f=/vlfghch5jfhz.pdf" TargetMode="External"/><Relationship Id="rId20" Type="http://schemas.openxmlformats.org/officeDocument/2006/relationships/hyperlink" Target="https://www.eerstekamer.nl/bijlage/20210114/swd_2020_345_impact_assessment_7/document3/f=/vlfghch5jfhz.pdf" TargetMode="External"/><Relationship Id="rId21" Type="http://schemas.openxmlformats.org/officeDocument/2006/relationships/hyperlink" Target="https://op.europa.eu/o/opportal-service/download-handler?identifier=fa9b11af-6d4a-11f1-ae88-01aa75ed71a1&amp;format=PDF&amp;language=en&amp;productionSystem=cellar" TargetMode="External"/><Relationship Id="rId22" Type="http://schemas.openxmlformats.org/officeDocument/2006/relationships/hyperlink" Target="https://op.europa.eu/o/opportal-service/download-handler?identifier=fa9b11af-6d4a-11f1-ae88-01aa75ed71a1&amp;format=PDF&amp;language=en&amp;productionSystem=cellar" TargetMode="External"/><Relationship Id="rId23" Type="http://schemas.openxmlformats.org/officeDocument/2006/relationships/hyperlink" Target="https://op.europa.eu/o/opportal-service/download-handler?identifier=fa9b11af-6d4a-11f1-ae88-01aa75ed71a1&amp;format=PDF&amp;language=en&amp;productionSystem=cellar" TargetMode="External"/><Relationship Id="rId24" Type="http://schemas.openxmlformats.org/officeDocument/2006/relationships/hyperlink" Target="https://op.europa.eu/o/opportal-service/download-handler?identifier=fa9b11af-6d4a-11f1-ae88-01aa75ed71a1&amp;format=PDF&amp;language=en&amp;productionSystem=cellar" TargetMode="External"/><Relationship Id="rId25" Type="http://schemas.openxmlformats.org/officeDocument/2006/relationships/hyperlink" Target="https://www.eca.europa.eu/sites/cc/Lists/CCDocuments/Compendium_Cybersecurity/CC_Compendium_Cybersecurity_EN.pdf" TargetMode="External"/><Relationship Id="rId26" Type="http://schemas.openxmlformats.org/officeDocument/2006/relationships/hyperlink" Target="https://www.eca.europa.eu/sites/cc/Lists/CCDocuments/Compendium_Cybersecurity/CC_Compendium_Cybersecurity_EN.pdf" TargetMode="External"/><Relationship Id="rId27" Type="http://schemas.openxmlformats.org/officeDocument/2006/relationships/hyperlink" Target="https://cybersecurity-centre.europa.eu/document/download/8af166e1-69c5-4ccd-b38f-5a3ffe43ad73_en?filename=DEP%20WP2025-2027_March2025.pdf" TargetMode="External"/><Relationship Id="rId28" Type="http://schemas.openxmlformats.org/officeDocument/2006/relationships/hyperlink" Target="https://cybersecurity-centre.europa.eu/document/download/8af166e1-69c5-4ccd-b38f-5a3ffe43ad73_en?filename=DEP%20WP2025-2027_March2025.pdf" TargetMode="External"/><Relationship Id="rId29" Type="http://schemas.openxmlformats.org/officeDocument/2006/relationships/hyperlink" Target="https://cybersecurity-centre.europa.eu/document/download/8af166e1-69c5-4ccd-b38f-5a3ffe43ad73_en?filename=DEP%20WP2025-2027_March2025.pdf" TargetMode="External"/><Relationship Id="rId30" Type="http://schemas.openxmlformats.org/officeDocument/2006/relationships/hyperlink" Target="https://cybersecurity-centre.europa.eu/document/download/8af166e1-69c5-4ccd-b38f-5a3ffe43ad73_en?filename=DEP%20WP2025-2027_March2025.pdf" TargetMode="External"/><Relationship Id="rId31" Type="http://schemas.openxmlformats.org/officeDocument/2006/relationships/hyperlink" Target="https://cybersecurity-centre.europa.eu/document/download/a35f7be2-4464-43d3-a40f-6ec942036f48_en?filename=Amendment2cleanDEPcybersecurityWP2025-2027.pdf" TargetMode="External"/><Relationship Id="rId32" Type="http://schemas.openxmlformats.org/officeDocument/2006/relationships/hyperlink" Target="https://cybersecurity-centre.europa.eu/document/download/a35f7be2-4464-43d3-a40f-6ec942036f48_en?filename=Amendment2cleanDEPcybersecurityWP2025-2027.pdf" TargetMode="External"/><Relationship Id="rId33" Type="http://schemas.openxmlformats.org/officeDocument/2006/relationships/hyperlink" Target="https://cybersecurity-centre.europa.eu/document/download/a35f7be2-4464-43d3-a40f-6ec942036f48_en?filename=Amendment2cleanDEPcybersecurityWP2025-2027.pdf" TargetMode="External"/><Relationship Id="rId34" Type="http://schemas.openxmlformats.org/officeDocument/2006/relationships/hyperlink" Target="https://cybersecurity-centre.europa.eu/document/download/a35f7be2-4464-43d3-a40f-6ec942036f48_en?filename=Amendment2cleanDEPcybersecurityWP2025-2027.pdf" TargetMode="External"/><Relationship Id="rId35" Type="http://schemas.openxmlformats.org/officeDocument/2006/relationships/hyperlink" Target="https://cybersecurity-centre.europa.eu/document/download/a35f7be2-4464-43d3-a40f-6ec942036f48_en?filename=Amendment2cleanDEPcybersecurityWP2025-2027.pdf" TargetMode="External"/><Relationship Id="rId36" Type="http://schemas.openxmlformats.org/officeDocument/2006/relationships/hyperlink" Target="https://cybersecurity-centre.europa.eu/system/files/2024-01/ECCC%20GB%20Decision%20No%202023_8%20ECCC%20final%20SPD%202024-2026.pdf" TargetMode="External"/><Relationship Id="rId37" Type="http://schemas.openxmlformats.org/officeDocument/2006/relationships/hyperlink" Target="https://cybersecurity-centre.europa.eu/system/files/2024-01/ECCC%20GB%20Decision%20No%202023_8%20ECCC%20final%20SPD%202024-2026.pdf" TargetMode="External"/><Relationship Id="rId38" Type="http://schemas.openxmlformats.org/officeDocument/2006/relationships/hyperlink" Target="https://cybersecurity-centre.europa.eu/system/files/2024-01/ECCC%20GB%20Decision%20No%202023_8%20ECCC%20final%20SPD%202024-2026.pdf" TargetMode="External"/><Relationship Id="rId39" Type="http://schemas.openxmlformats.org/officeDocument/2006/relationships/hyperlink" Target="https://cybersecurity-centre.europa.eu/system/files/2024-01/ECCC%20GB%20Decision%20No%202023_8%20ECCC%20final%20SPD%202024-2026.pdf" TargetMode="External"/><Relationship Id="rId40" Type="http://schemas.openxmlformats.org/officeDocument/2006/relationships/hyperlink" Target="https://ecs-org.eu/ecso-uploads/2024/12/ECSO-Cybersecurity-Market-Analysis-and-Recommendations-v1.1.pdf" TargetMode="External"/><Relationship Id="rId41" Type="http://schemas.openxmlformats.org/officeDocument/2006/relationships/hyperlink" Target="https://ecs-org.eu/ecso-uploads/2024/12/ECSO-Cybersecurity-Market-Analysis-and-Recommendations-v1.1.pdf" TargetMode="External"/><Relationship Id="rId42" Type="http://schemas.openxmlformats.org/officeDocument/2006/relationships/hyperlink" Target="https://ecs-org.eu/ecso-uploads/2024/12/ECSO-Cybersecurity-Market-Analysis-and-Recommendations-v1.1.pdf" TargetMode="External"/><Relationship Id="rId43" Type="http://schemas.openxmlformats.org/officeDocument/2006/relationships/hyperlink" Target="https://ecs-org.eu/ecso-uploads/2024/12/ECSO-Cybersecurity-Market-Analysis-and-Recommendations-v1.1.pdf" TargetMode="External"/><Relationship Id="rId44" Type="http://schemas.openxmlformats.org/officeDocument/2006/relationships/hyperlink" Target="https://ecs-org.eu/ecso-uploads/2024/12/ECSO-Cybersecurity-Market-Analysis-and-Recommendations-v1.1.pdf" TargetMode="External"/><Relationship Id="rId45" Type="http://schemas.openxmlformats.org/officeDocument/2006/relationships/hyperlink" Target="https://ecs-org.eu/ecso-uploads/2024/12/ECSO-Cybersecurity-Market-Analysis-and-Recommendations-v1.1.pdf" TargetMode="External"/><Relationship Id="rId46" Type="http://schemas.openxmlformats.org/officeDocument/2006/relationships/hyperlink" Target="https://www.enisa.europa.eu/sites/default/files/2025-06/Consolidated%20Annual%20Activity%20Report%202024.pdf" TargetMode="External"/><Relationship Id="rId47" Type="http://schemas.openxmlformats.org/officeDocument/2006/relationships/hyperlink" Target="https://www.enisa.europa.eu/sites/default/files/2025-06/Consolidated%20Annual%20Activity%20Report%202024.pdf" TargetMode="External"/><Relationship Id="rId48" Type="http://schemas.openxmlformats.org/officeDocument/2006/relationships/hyperlink" Target="https://www.enisa.europa.eu/sites/default/files/publications/ENISA%20-%20NIS%20Investments%20Report.pdf" TargetMode="External"/><Relationship Id="rId49" Type="http://schemas.openxmlformats.org/officeDocument/2006/relationships/hyperlink" Target="https://www.enisa.europa.eu/sites/default/files/publications/ENISA%20Report%20-%20NIS%20Investments%202021.pdf" TargetMode="External"/><Relationship Id="rId50" Type="http://schemas.openxmlformats.org/officeDocument/2006/relationships/hyperlink" Target="https://www.enisa.europa.eu/sites/default/files/publications/ENISA%20Report%20-%20NIS%20Investments%202021.pdf" TargetMode="External"/><Relationship Id="rId51" Type="http://schemas.openxmlformats.org/officeDocument/2006/relationships/hyperlink" Target="https://www.enisa.europa.eu/sites/default/files/publications/ENISA%20Report%20-%20NIS%20Investments%202021.pdf" TargetMode="External"/><Relationship Id="rId52" Type="http://schemas.openxmlformats.org/officeDocument/2006/relationships/hyperlink" Target="https://www.enisa.europa.eu/sites/default/files/publications/ENISA%20Report%20-%20NIS%20Investments%202021.pdf" TargetMode="External"/><Relationship Id="rId53" Type="http://schemas.openxmlformats.org/officeDocument/2006/relationships/hyperlink" Target="https://www.enisa.europa.eu/sites/default/files/publications/ENISA%20Report%20-%20NIS%20Investments%202021.pdf" TargetMode="External"/><Relationship Id="rId54" Type="http://schemas.openxmlformats.org/officeDocument/2006/relationships/hyperlink" Target="https://www.enisa.europa.eu/sites/default/files/publications/ENISA%20Report%20-%20NIS%20Investments%202021.pdf" TargetMode="External"/><Relationship Id="rId55" Type="http://schemas.openxmlformats.org/officeDocument/2006/relationships/hyperlink" Target="https://www.enisa.europa.eu/sites/default/files/publications/ENISA%20Report%20-%20NIS%20Investments%202021.pdf" TargetMode="External"/><Relationship Id="rId56" Type="http://schemas.openxmlformats.org/officeDocument/2006/relationships/hyperlink" Target="https://www.enisa.europa.eu/sites/default/files/publications/ENISA%20Report%20-%20NIS%20Investments%202021.pdf" TargetMode="External"/><Relationship Id="rId57" Type="http://schemas.openxmlformats.org/officeDocument/2006/relationships/hyperlink" Target="https://www.enisa.europa.eu/sites/default/files/publications/ENISA%20Report%20-%20NIS%20Investments%202021.pdf" TargetMode="External"/><Relationship Id="rId58" Type="http://schemas.openxmlformats.org/officeDocument/2006/relationships/hyperlink" Target="https://www.enisa.europa.eu/sites/default/files/publications/NIS%20Investments%202022.pdf" TargetMode="External"/><Relationship Id="rId59" Type="http://schemas.openxmlformats.org/officeDocument/2006/relationships/hyperlink" Target="https://www.enisa.europa.eu/sites/default/files/publications/NIS%20Investments%202022.pdf" TargetMode="External"/><Relationship Id="rId60" Type="http://schemas.openxmlformats.org/officeDocument/2006/relationships/hyperlink" Target="https://www.enisa.europa.eu/sites/default/files/publications/NIS%20Investments%202022.pdf" TargetMode="External"/><Relationship Id="rId61" Type="http://schemas.openxmlformats.org/officeDocument/2006/relationships/hyperlink" Target="https://www.enisa.europa.eu/sites/default/files/publications/NIS%20Investments%202022.pdf" TargetMode="External"/><Relationship Id="rId62" Type="http://schemas.openxmlformats.org/officeDocument/2006/relationships/hyperlink" Target="https://www.enisa.europa.eu/sites/default/files/publications/NIS%20Investments%202022.pdf" TargetMode="External"/><Relationship Id="rId63" Type="http://schemas.openxmlformats.org/officeDocument/2006/relationships/hyperlink" Target="https://www.enisa.europa.eu/sites/default/files/publications/NIS%20Investments%202022.pdf" TargetMode="External"/><Relationship Id="rId64" Type="http://schemas.openxmlformats.org/officeDocument/2006/relationships/hyperlink" Target="https://www.enisa.europa.eu/sites/default/files/publications/NIS%20Investments%202022.pdf" TargetMode="External"/><Relationship Id="rId65" Type="http://schemas.openxmlformats.org/officeDocument/2006/relationships/hyperlink" Target="https://www.enisa.europa.eu/sites/default/files/publications/NIS%20Investments%202022.pdf" TargetMode="External"/><Relationship Id="rId66" Type="http://schemas.openxmlformats.org/officeDocument/2006/relationships/hyperlink" Target="https://www.enisa.europa.eu/sites/default/files/publications/NIS%20Investments%202022.pdf" TargetMode="External"/><Relationship Id="rId67" Type="http://schemas.openxmlformats.org/officeDocument/2006/relationships/hyperlink" Target="https://www.enisa.europa.eu/sites/default/files/publications/NIS%20Investments%202022.pdf" TargetMode="External"/><Relationship Id="rId68" Type="http://schemas.openxmlformats.org/officeDocument/2006/relationships/hyperlink" Target="https://www.enisa.europa.eu/sites/default/files/publications/NIS%20Investments%202022.pdf" TargetMode="External"/><Relationship Id="rId69" Type="http://schemas.openxmlformats.org/officeDocument/2006/relationships/hyperlink" Target="https://www.enisa.europa.eu/sites/default/files/publications/NIS%20Investments%202022.pdf" TargetMode="External"/><Relationship Id="rId70" Type="http://schemas.openxmlformats.org/officeDocument/2006/relationships/hyperlink" Target="https://www.enisa.europa.eu/sites/default/files/publications/NIS%20Investments%202022.pdf" TargetMode="External"/><Relationship Id="rId71" Type="http://schemas.openxmlformats.org/officeDocument/2006/relationships/hyperlink" Target="https://www.enisa.europa.eu/sites/default/files/publications/CSPA%20-%20NIS%20Investments%20-%202023.pdf" TargetMode="External"/><Relationship Id="rId72" Type="http://schemas.openxmlformats.org/officeDocument/2006/relationships/hyperlink" Target="https://www.enisa.europa.eu/sites/default/files/publications/CSPA%20-%20NIS%20Investments%20-%202023.pdf" TargetMode="External"/><Relationship Id="rId73" Type="http://schemas.openxmlformats.org/officeDocument/2006/relationships/hyperlink" Target="https://www.enisa.europa.eu/sites/default/files/publications/CSPA%20-%20NIS%20Investments%20-%202023.pdf" TargetMode="External"/><Relationship Id="rId74" Type="http://schemas.openxmlformats.org/officeDocument/2006/relationships/hyperlink" Target="https://www.enisa.europa.eu/sites/default/files/publications/CSPA%20-%20NIS%20Investments%20-%202023.pdf" TargetMode="External"/><Relationship Id="rId75" Type="http://schemas.openxmlformats.org/officeDocument/2006/relationships/hyperlink" Target="https://www.enisa.europa.eu/sites/default/files/publications/CSPA%20-%20NIS%20Investments%20-%202023.pdf" TargetMode="External"/><Relationship Id="rId76" Type="http://schemas.openxmlformats.org/officeDocument/2006/relationships/hyperlink" Target="https://www.enisa.europa.eu/sites/default/files/publications/CSPA%20-%20NIS%20Investments%20-%202023.pdf" TargetMode="External"/><Relationship Id="rId77" Type="http://schemas.openxmlformats.org/officeDocument/2006/relationships/hyperlink" Target="https://www.enisa.europa.eu/sites/default/files/publications/CSPA%20-%20NIS%20Investments%20-%202023.pdf" TargetMode="External"/><Relationship Id="rId78" Type="http://schemas.openxmlformats.org/officeDocument/2006/relationships/hyperlink" Target="https://www.enisa.europa.eu/sites/default/files/publications/CSPA%20-%20NIS%20Investments%20-%202023.pdf" TargetMode="External"/><Relationship Id="rId79" Type="http://schemas.openxmlformats.org/officeDocument/2006/relationships/hyperlink" Target="https://www.enisa.europa.eu/sites/default/files/publications/CSPA%20-%20NIS%20Investments%20-%202023.pdf" TargetMode="External"/><Relationship Id="rId80" Type="http://schemas.openxmlformats.org/officeDocument/2006/relationships/hyperlink" Target="https://www.enisa.europa.eu/sites/default/files/publications/CSPA%20-%20NIS%20Investments%20-%202023.pdf" TargetMode="External"/><Relationship Id="rId81" Type="http://schemas.openxmlformats.org/officeDocument/2006/relationships/hyperlink" Target="https://www.enisa.europa.eu/sites/default/files/2024-11/CSPA%20-%20NIS%20Investments%20-%202024_0.pdf" TargetMode="External"/><Relationship Id="rId82" Type="http://schemas.openxmlformats.org/officeDocument/2006/relationships/hyperlink" Target="https://www.enisa.europa.eu/sites/default/files/2024-11/CSPA%20-%20NIS%20Investments%20-%202024_0.pdf" TargetMode="External"/><Relationship Id="rId83" Type="http://schemas.openxmlformats.org/officeDocument/2006/relationships/hyperlink" Target="https://www.enisa.europa.eu/sites/default/files/2024-11/CSPA%20-%20NIS%20Investments%20-%202024_0.pdf" TargetMode="External"/><Relationship Id="rId84" Type="http://schemas.openxmlformats.org/officeDocument/2006/relationships/hyperlink" Target="https://www.enisa.europa.eu/sites/default/files/2024-11/CSPA%20-%20NIS%20Investments%20-%202024_0.pdf" TargetMode="External"/><Relationship Id="rId85" Type="http://schemas.openxmlformats.org/officeDocument/2006/relationships/hyperlink" Target="https://www.enisa.europa.eu/sites/default/files/2024-11/CSPA%20-%20NIS%20Investments%20-%202024_0.pdf" TargetMode="External"/><Relationship Id="rId86" Type="http://schemas.openxmlformats.org/officeDocument/2006/relationships/hyperlink" Target="https://www.enisa.europa.eu/sites/default/files/2024-11/CSPA%20-%20NIS%20Investments%20-%202024_0.pdf" TargetMode="External"/><Relationship Id="rId87" Type="http://schemas.openxmlformats.org/officeDocument/2006/relationships/hyperlink" Target="https://www.enisa.europa.eu/sites/default/files/2024-11/CSPA%20-%20NIS%20Investments%20-%202024_0.pdf" TargetMode="External"/><Relationship Id="rId88" Type="http://schemas.openxmlformats.org/officeDocument/2006/relationships/hyperlink" Target="https://www.enisa.europa.eu/sites/default/files/2024-11/CSPA%20-%20NIS%20Investments%20-%202024_0.pdf" TargetMode="External"/><Relationship Id="rId89" Type="http://schemas.openxmlformats.org/officeDocument/2006/relationships/hyperlink" Target="https://www.enisa.europa.eu/sites/default/files/2024-11/CSPA%20-%20NIS%20Investments%20-%202024_0.pdf" TargetMode="External"/><Relationship Id="rId90" Type="http://schemas.openxmlformats.org/officeDocument/2006/relationships/hyperlink" Target="https://www.enisa.europa.eu/sites/default/files/2024-11/CSPA%20-%20NIS%20Investments%20-%202024_0.pdf" TargetMode="External"/><Relationship Id="rId91" Type="http://schemas.openxmlformats.org/officeDocument/2006/relationships/hyperlink" Target="https://www.enisa.europa.eu/sites/default/files/2024-11/CSPA%20-%20NIS%20Investments%20-%202024_0.pdf" TargetMode="External"/><Relationship Id="rId92" Type="http://schemas.openxmlformats.org/officeDocument/2006/relationships/hyperlink" Target="https://www.enisa.europa.eu/sites/default/files/2024-11/CSPA%20-%20NIS%20Investments%20-%202024_0.pdf" TargetMode="External"/><Relationship Id="rId93" Type="http://schemas.openxmlformats.org/officeDocument/2006/relationships/hyperlink" Target="https://www.enisa.europa.eu/sites/default/files/2026-02/NIS%20Investments%202025%20-%20Main%20report.pdf" TargetMode="External"/><Relationship Id="rId94" Type="http://schemas.openxmlformats.org/officeDocument/2006/relationships/hyperlink" Target="https://www.enisa.europa.eu/sites/default/files/2025-12/NIS%20Investments%202025%20-%20Main%20report.pdf" TargetMode="External"/><Relationship Id="rId95" Type="http://schemas.openxmlformats.org/officeDocument/2006/relationships/hyperlink" Target="https://www.enisa.europa.eu/sites/default/files/2025-12/NIS%20Investments%202025%20-%20Main%20report.pdf" TargetMode="External"/><Relationship Id="rId96" Type="http://schemas.openxmlformats.org/officeDocument/2006/relationships/hyperlink" Target="https://www.enisa.europa.eu/sites/default/files/2025-12/NIS%20Investments%202025%20-%20Main%20report.pdf" TargetMode="External"/><Relationship Id="rId97" Type="http://schemas.openxmlformats.org/officeDocument/2006/relationships/hyperlink" Target="https://www.frontier-economics.com/media/izyk5rgz/assessing-the-economic-cost-of-eu-initiatives-on-cybersecurity.pdf" TargetMode="External"/><Relationship Id="rId98" Type="http://schemas.openxmlformats.org/officeDocument/2006/relationships/hyperlink" Target="https://www.frontier-economics.com/media/izyk5rgz/assessing-the-economic-cost-of-eu-initiatives-on-cybersecurity.pdf" TargetMode="External"/><Relationship Id="rId99" Type="http://schemas.openxmlformats.org/officeDocument/2006/relationships/hyperlink" Target="https://www.frontier-economics.com/media/izyk5rgz/assessing-the-economic-cost-of-eu-initiatives-on-cybersecurity.pdf" TargetMode="External"/><Relationship Id="rId100" Type="http://schemas.openxmlformats.org/officeDocument/2006/relationships/hyperlink" Target="https://www.frontier-economics.com/media/izyk5rgz/assessing-the-economic-cost-of-eu-initiatives-on-cybersecurity.pdf" TargetMode="External"/><Relationship Id="rId101" Type="http://schemas.openxmlformats.org/officeDocument/2006/relationships/hyperlink" Target="https://www.frontier-economics.com/media/izyk5rgz/assessing-the-economic-cost-of-eu-initiatives-on-cybersecurity.pdf" TargetMode="External"/><Relationship Id="rId102" Type="http://schemas.openxmlformats.org/officeDocument/2006/relationships/hyperlink" Target="https://www.frontier-economics.com/media/izyk5rgz/assessing-the-economic-cost-of-eu-initiatives-on-cybersecurity.pdf" TargetMode="External"/><Relationship Id="rId103" Type="http://schemas.openxmlformats.org/officeDocument/2006/relationships/hyperlink" Target="https://www.frontier-economics.com/media/izyk5rgz/assessing-the-economic-cost-of-eu-initiatives-on-cybersecurity.pdf" TargetMode="External"/><Relationship Id="rId104" Type="http://schemas.openxmlformats.org/officeDocument/2006/relationships/hyperlink" Target="https://otrenix.com/europa-cybersecurity-market/" TargetMode="External"/><Relationship Id="rId105" Type="http://schemas.openxmlformats.org/officeDocument/2006/relationships/hyperlink" Target="https://otrenix.com/europa-cybersecurity-market/" TargetMode="External"/><Relationship Id="rId106" Type="http://schemas.openxmlformats.org/officeDocument/2006/relationships/hyperlink" Target="https://www.europarl.europa.eu/RegData/etudes/BRIE/2025/772881/EPRS_BRI(2025)772881_EN.pdf" TargetMode="External"/><Relationship Id="rId107" Type="http://schemas.openxmlformats.org/officeDocument/2006/relationships/hyperlink" Target="https://www.europarl.europa.eu/RegData/etudes/STUD/2025/778576/ECTI_STU(2025)778576_EN.pdf" TargetMode="External"/><Relationship Id="rId108" Type="http://schemas.openxmlformats.org/officeDocument/2006/relationships/hyperlink" Target="https://www.europarl.europa.eu/RegData/etudes/STUD/2025/778576/ECTI_STU(2025)778576_EN.pdf" TargetMode="External"/><Relationship Id="rId109" Type="http://schemas.openxmlformats.org/officeDocument/2006/relationships/hyperlink" Target="https://edz.bib.uni-mannheim.de/www-edz/pdf/swd/2017/swd-2017-0500-4-en.pdf" TargetMode="External"/><Relationship Id="rId110" Type="http://schemas.openxmlformats.org/officeDocument/2006/relationships/hyperlink" Target="https://edz.bib.uni-mannheim.de/www-edz/pdf/swd/2017/swd-2017-0500-4-en.pdf" TargetMode="External"/><Relationship Id="rId111" Type="http://schemas.openxmlformats.org/officeDocument/2006/relationships/hyperlink" Target="https://edz.bib.uni-mannheim.de/www-edz/pdf/swd/2017/swd-2017-0500-5-en.pdf" TargetMode="External"/><Relationship Id="rId112" Type="http://schemas.openxmlformats.org/officeDocument/2006/relationships/hyperlink" Target="https://edz.bib.uni-mannheim.de/www-edz/pdf/swd/2017/swd-2017-0500-5-en.pdf" TargetMode="External"/><Relationship Id="rId113" Type="http://schemas.openxmlformats.org/officeDocument/2006/relationships/hyperlink" Target="https://edz.bib.uni-mannheim.de/www-edz/pdf/swd/2017/swd-2017-0500-5-en.pdf" TargetMode="External"/><Relationship Id="rId114" Type="http://schemas.openxmlformats.org/officeDocument/2006/relationships/hyperlink" Target="https://edz.bib.uni-mannheim.de/www-edz/pdf/swd/2017/swd-2017-0500-5-en.pdf" TargetMode="External"/><Relationship Id="rId115" Type="http://schemas.openxmlformats.org/officeDocument/2006/relationships/hyperlink" Target="https://www.eca.europa.eu/Lists/ECADocuments/BRP_CYBERSECURITY/BRP_CYBERSECURITY_EN.pdf" TargetMode="External"/><Relationship Id="rId116" Type="http://schemas.openxmlformats.org/officeDocument/2006/relationships/hyperlink" Target="https://www.eca.europa.eu/Lists/ECADocuments/BRP_CYBERSECURITY/BRP_CYBERSECURITY_EN.pdf" TargetMode="External"/><Relationship Id="rId117" Type="http://schemas.openxmlformats.org/officeDocument/2006/relationships/hyperlink" Target="https://www.eca.europa.eu/Lists/ECADocuments/BRP_CYBERSECURITY/BRP_CYBERSECURITY_EN.pdf" TargetMode="External"/><Relationship Id="rId118" Type="http://schemas.openxmlformats.org/officeDocument/2006/relationships/hyperlink" Target="https://www.eca.europa.eu/Lists/ECADocuments/BRP_CYBERSECURITY/BRP_CYBERSECURITY_EN.pdf" TargetMode="External"/><Relationship Id="rId119" Type="http://schemas.openxmlformats.org/officeDocument/2006/relationships/hyperlink" Target="https://www.eunity-project.eu/m/filer_public/4b/62/4b6262dc-3bca-4145-a84b-b514049156ce/1_lsec_japan_eunity_ecso_wg2_cima_seldeslachts_ulrich_20190124881.pdf" TargetMode="External"/><Relationship Id="rId120" Type="http://schemas.openxmlformats.org/officeDocument/2006/relationships/hyperlink" Target="https://www.eunity-project.eu/m/filer_public/4b/62/4b6262dc-3bca-4145-a84b-b514049156ce/1_lsec_japan_eunity_ecso_wg2_cima_seldeslachts_ulrich_20190124881.pdf" TargetMode="External"/><Relationship Id="rId121" Type="http://schemas.openxmlformats.org/officeDocument/2006/relationships/hyperlink" Target="https://www.eunity-project.eu/m/filer_public/4b/62/4b6262dc-3bca-4145-a84b-b514049156ce/1_lsec_japan_eunity_ecso_wg2_cima_seldeslachts_ulrich_20190124881.pdf" TargetMode="External"/><Relationship Id="rId122" Type="http://schemas.openxmlformats.org/officeDocument/2006/relationships/hyperlink" Target="https://www.eunity-project.eu/m/filer_public/4b/62/4b6262dc-3bca-4145-a84b-b514049156ce/1_lsec_japan_eunity_ecso_wg2_cima_seldeslachts_ulrich_20190124881.pdf" TargetMode="External"/><Relationship Id="rId123" Type="http://schemas.openxmlformats.org/officeDocument/2006/relationships/hyperlink" Target="https://www.eunity-project.eu/m/filer_public/4b/62/4b6262dc-3bca-4145-a84b-b514049156ce/1_lsec_japan_eunity_ecso_wg2_cima_seldeslachts_ulrich_20190124881.pdf" TargetMode="External"/><Relationship Id="rId124" Type="http://schemas.openxmlformats.org/officeDocument/2006/relationships/hyperlink" Target="https://www.eunity-project.eu/m/filer_public/4b/62/4b6262dc-3bca-4145-a84b-b514049156ce/1_lsec_japan_eunity_ecso_wg2_cima_seldeslachts_ulrich_20190124881.pdf" TargetMode="External"/><Relationship Id="rId125" Type="http://schemas.openxmlformats.org/officeDocument/2006/relationships/hyperlink" Target="https://www.eunity-project.eu/m/filer_public/4b/62/4b6262dc-3bca-4145-a84b-b514049156ce/1_lsec_japan_eunity_ecso_wg2_cima_seldeslachts_ulrich_20190124881.pdf" TargetMode="External"/><Relationship Id="rId126" Type="http://schemas.openxmlformats.org/officeDocument/2006/relationships/hyperlink" Target="https://www.europarl.europa.eu/RegData/etudes/STUD/2017/603948/EPRS_STU(2017)603948_EN.pdf" TargetMode="External"/><Relationship Id="rId127" Type="http://schemas.openxmlformats.org/officeDocument/2006/relationships/hyperlink" Target="https://www.ey.com/de_at/insights/cybersecurity/ey-cybersecurity-studie" TargetMode="External"/><Relationship Id="rId128" Type="http://schemas.openxmlformats.org/officeDocument/2006/relationships/hyperlink" Target="https://www.mordorintelligence.com/industry-reports/austria-cybersecurity-market/market-size" TargetMode="External"/><Relationship Id="rId129" Type="http://schemas.openxmlformats.org/officeDocument/2006/relationships/hyperlink" Target="https://www.trade.gov/country-commercial-guides/austria-cyber-security" TargetMode="External"/><Relationship Id="rId130" Type="http://schemas.openxmlformats.org/officeDocument/2006/relationships/hyperlink" Target="https://www.trade.gov/country-commercial-guides/austria-cyber-security" TargetMode="External"/><Relationship Id="rId131" Type="http://schemas.openxmlformats.org/officeDocument/2006/relationships/hyperlink" Target="https://www.trade.gov/country-commercial-guides/austria-cyber-security" TargetMode="External"/><Relationship Id="rId132" Type="http://schemas.openxmlformats.org/officeDocument/2006/relationships/hyperlink" Target="https://www.trade.gov/country-commercial-guides/austria-cyber-security" TargetMode="External"/><Relationship Id="rId133" Type="http://schemas.openxmlformats.org/officeDocument/2006/relationships/hyperlink" Target="https://www.trade.gov/market-intelligence/austria-cybersecurity-opportunities" TargetMode="External"/><Relationship Id="rId134" Type="http://schemas.openxmlformats.org/officeDocument/2006/relationships/hyperlink" Target="https://www.ruv.at/wp-content/uploads/kpmg-studie-cybersecurity-in-oesterreich-2023_1x1.pdf" TargetMode="External"/><Relationship Id="rId135" Type="http://schemas.openxmlformats.org/officeDocument/2006/relationships/hyperlink" Target="https://www.ruv.at/wp-content/uploads/kpmg-studie-cybersecurity-in-oesterreich-2023_1x1.pdf" TargetMode="External"/><Relationship Id="rId136" Type="http://schemas.openxmlformats.org/officeDocument/2006/relationships/hyperlink" Target="https://metastatinsight.com/report/austria-cybersecurity-market" TargetMode="External"/><Relationship Id="rId137" Type="http://schemas.openxmlformats.org/officeDocument/2006/relationships/hyperlink" Target="https://metastatinsight.com/report/austria-cybersecurity-market" TargetMode="External"/><Relationship Id="rId138" Type="http://schemas.openxmlformats.org/officeDocument/2006/relationships/hyperlink" Target="https://www.mordorintelligence.com/de/industry-reports/austria-cybersecurity-market" TargetMode="External"/><Relationship Id="rId139" Type="http://schemas.openxmlformats.org/officeDocument/2006/relationships/hyperlink" Target="https://www.mordorintelligence.com/de/industry-reports/austria-cybersecurity-market" TargetMode="External"/><Relationship Id="rId140" Type="http://schemas.openxmlformats.org/officeDocument/2006/relationships/hyperlink" Target="https://www.mordorintelligence.com/de/industry-reports/austria-cybersecurity-market" TargetMode="External"/><Relationship Id="rId141" Type="http://schemas.openxmlformats.org/officeDocument/2006/relationships/hyperlink" Target="https://www.mordorintelligence.com/de/industry-reports/austria-cybersecurity-market" TargetMode="External"/><Relationship Id="rId142" Type="http://schemas.openxmlformats.org/officeDocument/2006/relationships/hyperlink" Target="https://www.mordorintelligence.com/de/industry-reports/austria-cybersecurity-market" TargetMode="External"/><Relationship Id="rId143" Type="http://schemas.openxmlformats.org/officeDocument/2006/relationships/hyperlink" Target="https://www.mordorintelligence.com/de/industry-reports/austria-cybersecurity-market" TargetMode="External"/><Relationship Id="rId144" Type="http://schemas.openxmlformats.org/officeDocument/2006/relationships/hyperlink" Target="https://www.parlament.gv.at/dokument/budgetdienst/untergliederungsanalysen/BD-UG-10-Bundeskanzleramt-Budgets-2025-und-2026_BF.pdf" TargetMode="External"/><Relationship Id="rId145" Type="http://schemas.openxmlformats.org/officeDocument/2006/relationships/hyperlink" Target="https://www.parlament.gv.at/dokument/budgetdienst/untergliederungsanalysen/BD-UG-10-Bundeskanzleramt-Budgets-2025-und-2026_BF.pdf" TargetMode="External"/><Relationship Id="rId146" Type="http://schemas.openxmlformats.org/officeDocument/2006/relationships/hyperlink" Target="https://www.parlament.gv.at/dokument/fachinfos/zukunftsthemen/Cybersecurity-Endbericht_2021-12-17.pdf" TargetMode="External"/><Relationship Id="rId147" Type="http://schemas.openxmlformats.org/officeDocument/2006/relationships/hyperlink" Target="https://www.parlament.gv.at/dokument/XXVII/ME/326/imfname_1621137.pdf" TargetMode="External"/><Relationship Id="rId148" Type="http://schemas.openxmlformats.org/officeDocument/2006/relationships/hyperlink" Target="https://www.parlament.gv.at/dokument/XXVII/ME/326/imfname_1621137.pdf" TargetMode="External"/><Relationship Id="rId149" Type="http://schemas.openxmlformats.org/officeDocument/2006/relationships/hyperlink" Target="https://www.parlament.gv.at/dokument/XXVII/ME/326/imfname_1621137.pdf" TargetMode="External"/><Relationship Id="rId150" Type="http://schemas.openxmlformats.org/officeDocument/2006/relationships/hyperlink" Target="https://www.parlament.gv.at/dokument/XXVII/ME/326/imfname_1621137.pdf" TargetMode="External"/><Relationship Id="rId151" Type="http://schemas.openxmlformats.org/officeDocument/2006/relationships/hyperlink" Target="https://www.parlament.gv.at/dokument/XXVII/ME/326/imfname_1621137.pdf" TargetMode="External"/><Relationship Id="rId152" Type="http://schemas.openxmlformats.org/officeDocument/2006/relationships/hyperlink" Target="https://www.parlament.gv.at/dokument/XXVIII/I/308/imfname_1723248.pdf" TargetMode="External"/><Relationship Id="rId153" Type="http://schemas.openxmlformats.org/officeDocument/2006/relationships/hyperlink" Target="https://www.parlament.gv.at/dokument/XXVIII/I/308/imfname_1723248.pdf" TargetMode="External"/><Relationship Id="rId154" Type="http://schemas.openxmlformats.org/officeDocument/2006/relationships/hyperlink" Target="https://www.parlament.gv.at/dokument/XXVIII/I/308/imfname_1723248.pdf" TargetMode="External"/><Relationship Id="rId155" Type="http://schemas.openxmlformats.org/officeDocument/2006/relationships/hyperlink" Target="https://www.parlament.gv.at/dokument/XXVIII/I/308/imfname_1723248.pdf" TargetMode="External"/><Relationship Id="rId156" Type="http://schemas.openxmlformats.org/officeDocument/2006/relationships/hyperlink" Target="https://www.parlament.gv.at/dokument/XXVIII/I/308/imfname_1723248.pdf" TargetMode="External"/><Relationship Id="rId157" Type="http://schemas.openxmlformats.org/officeDocument/2006/relationships/hyperlink" Target="https://www.verifiedmarketresearch.com/product/austria-cybersecurity-market/" TargetMode="External"/><Relationship Id="rId158" Type="http://schemas.openxmlformats.org/officeDocument/2006/relationships/hyperlink" Target="https://www.verifiedmarketresearch.com/product/austria-cybersecurity-market/" TargetMode="External"/><Relationship Id="rId159" Type="http://schemas.openxmlformats.org/officeDocument/2006/relationships/hyperlink" Target="https://www.verifiedmarketresearch.com/product/austria-ict-market/" TargetMode="External"/><Relationship Id="rId160" Type="http://schemas.openxmlformats.org/officeDocument/2006/relationships/hyperlink" Target="https://www.agoria.be/en/services/expertise/digitalisation/cybersecurity/belgian-cyber-sector-set-to-double-in-size-within-five-years-4000-experts-needed" TargetMode="External"/><Relationship Id="rId161" Type="http://schemas.openxmlformats.org/officeDocument/2006/relationships/hyperlink" Target="https://www.agoria.be/en/services/expertise/digitalisation/cybersecurity/first-step-taken-towards-israeli-cyber-reference-model-now-to-invest-in-a-number-of-experts" TargetMode="External"/><Relationship Id="rId162" Type="http://schemas.openxmlformats.org/officeDocument/2006/relationships/hyperlink" Target="https://www.agoria.be/en/services/expertise/digitalisation/cybersecurity/first-step-taken-towards-israeli-cyber-reference-model-now-to-invest-in-a-number-of-experts" TargetMode="External"/><Relationship Id="rId163" Type="http://schemas.openxmlformats.org/officeDocument/2006/relationships/hyperlink" Target="https://cdn.assets.prezly.com/243be490-ca27-4a42-aec1-1dc14b8d6a41/-/inline/no/Agoria_Socio-Economic-Study-Belgian-Cybersecurity-Sector.pdf" TargetMode="External"/><Relationship Id="rId164" Type="http://schemas.openxmlformats.org/officeDocument/2006/relationships/hyperlink" Target="https://cdn.assets.prezly.com/243be490-ca27-4a42-aec1-1dc14b8d6a41/-/inline/no/Agoria_Socio-Economic-Study-Belgian-Cybersecurity-Sector.pdf" TargetMode="External"/><Relationship Id="rId165" Type="http://schemas.openxmlformats.org/officeDocument/2006/relationships/hyperlink" Target="https://cdn.assets.prezly.com/243be490-ca27-4a42-aec1-1dc14b8d6a41/-/inline/no/Agoria_Socio-Economic-Study-Belgian-Cybersecurity-Sector.pdf" TargetMode="External"/><Relationship Id="rId166" Type="http://schemas.openxmlformats.org/officeDocument/2006/relationships/hyperlink" Target="https://www.agoria.be/nl/diensten/expertise/conjunctuur-prijzen/conjunctuur/trends-en-toekomst-van-de-belgische-ict-bedrijven" TargetMode="External"/><Relationship Id="rId167" Type="http://schemas.openxmlformats.org/officeDocument/2006/relationships/hyperlink" Target="https://www.agoria.be/nl/diensten/expertise/conjunctuur-prijzen/conjunctuur/trends-en-toekomst-van-de-belgische-ict-bedrijven" TargetMode="External"/><Relationship Id="rId168" Type="http://schemas.openxmlformats.org/officeDocument/2006/relationships/hyperlink" Target="https://www.bdo.nl/getmedia/46087d8a-7d9a-4831-8e1c-fe8482cb676a/Global-and-European-Cybersecurity-Industry.pdf" TargetMode="External"/><Relationship Id="rId169" Type="http://schemas.openxmlformats.org/officeDocument/2006/relationships/hyperlink" Target="https://www.bdo.nl/getmedia/46087d8a-7d9a-4831-8e1c-fe8482cb676a/Global-and-European-Cybersecurity-Industry.pdf" TargetMode="External"/><Relationship Id="rId170" Type="http://schemas.openxmlformats.org/officeDocument/2006/relationships/hyperlink" Target="https://www.bdo.nl/getmedia/46087d8a-7d9a-4831-8e1c-fe8482cb676a/Global-and-European-Cybersecurity-Industry.pdf" TargetMode="External"/><Relationship Id="rId171" Type="http://schemas.openxmlformats.org/officeDocument/2006/relationships/hyperlink" Target="https://www.bdo.nl/getmedia/46087d8a-7d9a-4831-8e1c-fe8482cb676a/Global-and-European-Cybersecurity-Industry.pdf" TargetMode="External"/><Relationship Id="rId172" Type="http://schemas.openxmlformats.org/officeDocument/2006/relationships/hyperlink" Target="https://www.bdo.nl/getmedia/46087d8a-7d9a-4831-8e1c-fe8482cb676a/Global-and-European-Cybersecurity-Industry.pdf" TargetMode="External"/><Relationship Id="rId173" Type="http://schemas.openxmlformats.org/officeDocument/2006/relationships/hyperlink" Target="https://www.bdo.nl/getmedia/46087d8a-7d9a-4831-8e1c-fe8482cb676a/Global-and-European-Cybersecurity-Industry.pdf" TargetMode="External"/><Relationship Id="rId174" Type="http://schemas.openxmlformats.org/officeDocument/2006/relationships/hyperlink" Target="https://www.bdo.nl/getmedia/46087d8a-7d9a-4831-8e1c-fe8482cb676a/Global-and-European-Cybersecurity-Industry.pdf" TargetMode="External"/><Relationship Id="rId175" Type="http://schemas.openxmlformats.org/officeDocument/2006/relationships/hyperlink" Target="https://www.bdo.nl/getmedia/46087d8a-7d9a-4831-8e1c-fe8482cb676a/Global-and-European-Cybersecurity-Industry.pdf" TargetMode="External"/><Relationship Id="rId176" Type="http://schemas.openxmlformats.org/officeDocument/2006/relationships/hyperlink" Target="https://www.bdo.nl/getmedia/46087d8a-7d9a-4831-8e1c-fe8482cb676a/Global-and-European-Cybersecurity-Industry.pdf" TargetMode="External"/><Relationship Id="rId177" Type="http://schemas.openxmlformats.org/officeDocument/2006/relationships/hyperlink" Target="https://www.bdo.nl/getmedia/46087d8a-7d9a-4831-8e1c-fe8482cb676a/Global-and-European-Cybersecurity-Industry.pdf" TargetMode="External"/><Relationship Id="rId178" Type="http://schemas.openxmlformats.org/officeDocument/2006/relationships/hyperlink" Target="https://ccb.belgium.be/sites/default/files/2025-12/251204_CCB_Publicatie_10j_FR.pdf" TargetMode="External"/><Relationship Id="rId179" Type="http://schemas.openxmlformats.org/officeDocument/2006/relationships/hyperlink" Target="https://ccb.belgium.be/sites/default/files/2025-12/251204_CCB_Publicatie_10j_FR.pdf" TargetMode="External"/><Relationship Id="rId180" Type="http://schemas.openxmlformats.org/officeDocument/2006/relationships/hyperlink" Target="https://www.consultancy.nl/nieuws/69608/cybersecuritymarkt-groeit-door-tot-bijna-250-miljard-in-2030" TargetMode="External"/><Relationship Id="rId181" Type="http://schemas.openxmlformats.org/officeDocument/2006/relationships/hyperlink" Target="https://blog.forumforthefuture.be/fr/article/quand-la-cour-des-comptes-se-penche-sur-la-politique-nationale-de-cybersecurite/32385" TargetMode="External"/><Relationship Id="rId182" Type="http://schemas.openxmlformats.org/officeDocument/2006/relationships/hyperlink" Target="https://blog.forumforthefuture.be/fr/article/quand-la-cour-des-comptes-se-penche-sur-la-politique-nationale-de-cybersecurite/32385" TargetMode="External"/><Relationship Id="rId183" Type="http://schemas.openxmlformats.org/officeDocument/2006/relationships/hyperlink" Target="https://www.icex.es/content/dam/icex/centros/belgica/documentos/2025/estudio-mercado-ciberseguridad-belgica-2025-resumen.pdf" TargetMode="External"/><Relationship Id="rId184" Type="http://schemas.openxmlformats.org/officeDocument/2006/relationships/hyperlink" Target="https://www.icex.es/content/dam/icex/centros/belgica/documentos/2025/estudio-mercado-ciberseguridad-belgica-2025-resumen.pdf" TargetMode="External"/><Relationship Id="rId185" Type="http://schemas.openxmlformats.org/officeDocument/2006/relationships/hyperlink" Target="https://www.icex.es/content/dam/icex/centros/belgica/documentos/2025/estudio-mercado-ciberseguridad-belgica-2025-resumen.pdf" TargetMode="External"/><Relationship Id="rId186" Type="http://schemas.openxmlformats.org/officeDocument/2006/relationships/hyperlink" Target="https://www.mordorintelligence.com/fr/industry-reports/belgium-cybersecurity-market" TargetMode="External"/><Relationship Id="rId187" Type="http://schemas.openxmlformats.org/officeDocument/2006/relationships/hyperlink" Target="https://www.mordorintelligence.com/fr/industry-reports/belgium-cybersecurity-market" TargetMode="External"/><Relationship Id="rId188" Type="http://schemas.openxmlformats.org/officeDocument/2006/relationships/hyperlink" Target="https://www.mordorintelligence.com/fr/industry-reports/belgium-cybersecurity-market" TargetMode="External"/><Relationship Id="rId189" Type="http://schemas.openxmlformats.org/officeDocument/2006/relationships/hyperlink" Target="https://www.europarl.europa.eu/RegData/etudes/BRIE/2025/772881/EPRS_BRI(2025)772881_EN.pdf" TargetMode="External"/><Relationship Id="rId190" Type="http://schemas.openxmlformats.org/officeDocument/2006/relationships/hyperlink" Target="https://bosa.belgium.be/sites/default/files/publications/documents/Assessment%20report%20spending%20reviews%20FR%20def.pdf" TargetMode="External"/><Relationship Id="rId191" Type="http://schemas.openxmlformats.org/officeDocument/2006/relationships/hyperlink" Target="https://bosa.belgium.be/sites/default/files/publications/documents/Assessment%20report%20spending%20reviews%20FR%20def.pdf" TargetMode="External"/><Relationship Id="rId192" Type="http://schemas.openxmlformats.org/officeDocument/2006/relationships/hyperlink" Target="https://bosa.belgium.be/sites/default/files/publications/documents/Assessment%20report%20spending%20reviews%20FR%20def.pdf" TargetMode="External"/><Relationship Id="rId193" Type="http://schemas.openxmlformats.org/officeDocument/2006/relationships/hyperlink" Target="https://bosa.belgium.be/sites/default/files/publications/documents/Assessment%20report%20spending%20reviews%20FR%20def.pdf" TargetMode="External"/><Relationship Id="rId194" Type="http://schemas.openxmlformats.org/officeDocument/2006/relationships/hyperlink" Target="https://bosa.belgium.be/sites/default/files/publications/documents/Assessment%20report%20spending%20reviews%20FR%20def.pdf" TargetMode="External"/><Relationship Id="rId195" Type="http://schemas.openxmlformats.org/officeDocument/2006/relationships/hyperlink" Target="https://bosa.belgium.be/sites/default/files/content/documents/Spending%20review%20-%20Cybersecurity%20-%20Rapport%20DEFI-PUBLI.pdf" TargetMode="External"/><Relationship Id="rId196" Type="http://schemas.openxmlformats.org/officeDocument/2006/relationships/hyperlink" Target="https://www.vrt.be/vrtnws/fr/2025/05/30/le-gouvernement-federal-prevoit-55-millions-d-euros-pour-la-cybe/" TargetMode="External"/><Relationship Id="rId197" Type="http://schemas.openxmlformats.org/officeDocument/2006/relationships/hyperlink" Target="https://digitalk.bg/security/2025/06/05/4789735_cbn_durjavata_e_poharchila_223_mln_leva_za/" TargetMode="External"/><Relationship Id="rId198" Type="http://schemas.openxmlformats.org/officeDocument/2006/relationships/hyperlink" Target="https://digitalk.bg/security/2025/06/05/4789735_cbn_durjavata_e_poharchila_223_mln_leva_za/" TargetMode="External"/><Relationship Id="rId199" Type="http://schemas.openxmlformats.org/officeDocument/2006/relationships/hyperlink" Target="https://digitalk.bg/security/2025/06/05/4789735_cbn_durjavata_e_poharchila_223_mln_leva_za/" TargetMode="External"/><Relationship Id="rId200" Type="http://schemas.openxmlformats.org/officeDocument/2006/relationships/hyperlink" Target="https://www.ipa.government.bg/sites/default/files/digidecade_bg-bg.pdf" TargetMode="External"/><Relationship Id="rId201" Type="http://schemas.openxmlformats.org/officeDocument/2006/relationships/hyperlink" Target="https://e-security.bg/balgarskiyat-pazar-na-kibersigurnost-dostiga-8264-miliona-dolara-prez-2025-g/" TargetMode="External"/><Relationship Id="rId202" Type="http://schemas.openxmlformats.org/officeDocument/2006/relationships/hyperlink" Target="https://e-security.bg/balgarskiyat-pazar-na-kibersigurnost-dostiga-8264-miliona-dolara-prez-2025-g/" TargetMode="External"/><Relationship Id="rId203" Type="http://schemas.openxmlformats.org/officeDocument/2006/relationships/hyperlink" Target="https://e-security.bg/balgarskiyat-pazar-na-kibersigurnost-dostiga-8264-miliona-dolara-prez-2025-g/" TargetMode="External"/><Relationship Id="rId204" Type="http://schemas.openxmlformats.org/officeDocument/2006/relationships/hyperlink" Target="https://e-security.bg/balgarskiyat-pazar-na-kibersigurnost-dostiga-8264-miliona-dolara-prez-2025-g/" TargetMode="External"/><Relationship Id="rId205" Type="http://schemas.openxmlformats.org/officeDocument/2006/relationships/hyperlink" Target="https://www.investor.bg/a/571-it-i-telekomunikatsii/432073-kibersigurnostta-veche-e-bitka-za-hora-ne-samo-za-tehnologii" TargetMode="External"/><Relationship Id="rId206" Type="http://schemas.openxmlformats.org/officeDocument/2006/relationships/hyperlink" Target="https://www.investor.bg/a/571-it-i-telekomunikatsii/432073-kibersigurnostta-veche-e-bitka-za-hora-ne-samo-za-tehnologii" TargetMode="External"/><Relationship Id="rId207" Type="http://schemas.openxmlformats.org/officeDocument/2006/relationships/hyperlink" Target="https://www.europarl.europa.eu/RegData/etudes/BRIE/2025/772881/EPRS_BRI(2025)772881_EN.pdf" TargetMode="External"/><Relationship Id="rId208" Type="http://schemas.openxmlformats.org/officeDocument/2006/relationships/hyperlink" Target="https://e-gov.bg/wps/portal/agency/all-projects/projects-DAEU/projects-mis" TargetMode="External"/><Relationship Id="rId209" Type="http://schemas.openxmlformats.org/officeDocument/2006/relationships/hyperlink" Target="https://e-gov.bg/wps/wcm/connect/e-gov.bg-18083/f8d63fb3-47b8-42f9-9f03-75168d028271/Putna_karta_public_v.0.7_Website.pdf?MOD=AJPERES" TargetMode="External"/><Relationship Id="rId210" Type="http://schemas.openxmlformats.org/officeDocument/2006/relationships/hyperlink" Target="https://e-gov.bg/wps/wcm/connect/e-gov.bg-18083/f8d63fb3-47b8-42f9-9f03-75168d028271/Putna_karta_public_v.0.7_Website.pdf?MOD=AJPERES" TargetMode="External"/><Relationship Id="rId211" Type="http://schemas.openxmlformats.org/officeDocument/2006/relationships/hyperlink" Target="https://www.mig.government.bg/wp-content/uploads/2023/08/11.-selection-criteria_cs1_-central-components.pdf" TargetMode="External"/><Relationship Id="rId212" Type="http://schemas.openxmlformats.org/officeDocument/2006/relationships/hyperlink" Target="https://data.consilium.europa.eu/doc/document/ST-10476-2026-ADD-34/en/pdf" TargetMode="External"/><Relationship Id="rId213" Type="http://schemas.openxmlformats.org/officeDocument/2006/relationships/hyperlink" Target="https://data.consilium.europa.eu/doc/document/ST-10476-2026-ADD-34/en/pdf" TargetMode="External"/><Relationship Id="rId214" Type="http://schemas.openxmlformats.org/officeDocument/2006/relationships/hyperlink" Target="https://data.consilium.europa.eu/doc/document/ST-10476-2026-ADD-34/en/pdf" TargetMode="External"/><Relationship Id="rId215" Type="http://schemas.openxmlformats.org/officeDocument/2006/relationships/hyperlink" Target="https://data.consilium.europa.eu/doc/document/ST-10476-2026-ADD-34/en/pdf" TargetMode="External"/><Relationship Id="rId216" Type="http://schemas.openxmlformats.org/officeDocument/2006/relationships/hyperlink" Target="https://interoperable-europe.ec.europa.eu/sites/default/files/inline-files/DPA_Factsheets_2023_Cyprus_vFINAL_rev.pdf" TargetMode="External"/><Relationship Id="rId217" Type="http://schemas.openxmlformats.org/officeDocument/2006/relationships/hyperlink" Target="https://www.trade.gov/country-commercial-guides/croatia-information-and-communication-technology" TargetMode="External"/><Relationship Id="rId218" Type="http://schemas.openxmlformats.org/officeDocument/2006/relationships/hyperlink" Target="https://mpudt.gov.hr/vijesti-8/republika-hrvatska-dodatno-se-pozicionirala-kao-predvodnica-u-jacanju-europskog-ekosustava-kiberneticke-sigurnosti/29877?lang=cs" TargetMode="External"/><Relationship Id="rId219" Type="http://schemas.openxmlformats.org/officeDocument/2006/relationships/hyperlink" Target="https://mup.gov.hr/vijesti/investicija-c2-3-r3-i2-jacanje-kapaciteta-policije-za-suzbijanje-kibernetickog-kriminaliteta-u-okviru-nacionalnog-programa-oporavka-i-otpornosti/294007" TargetMode="External"/><Relationship Id="rId220" Type="http://schemas.openxmlformats.org/officeDocument/2006/relationships/hyperlink" Target="https://www.europarl.europa.eu/RegData/etudes/BRIE/2025/772881/EPRS_BRI(2025)772881_EN.pdf" TargetMode="External"/><Relationship Id="rId221" Type="http://schemas.openxmlformats.org/officeDocument/2006/relationships/hyperlink" Target="https://www.poslovni.hr/sci-tech/stize-novac-za-ulaganja-u-kiberneticku-sigurnost-a-time-i-opasnost-od-guljenja-4493636" TargetMode="External"/><Relationship Id="rId222" Type="http://schemas.openxmlformats.org/officeDocument/2006/relationships/hyperlink" Target="https://vlada.gov.hr/UserDocsImages/2016/Sjednice/2025/Prosinac/136_sjednica_VRH/136%20-%206.docx" TargetMode="External"/><Relationship Id="rId223" Type="http://schemas.openxmlformats.org/officeDocument/2006/relationships/hyperlink" Target="https://www.zsis.hr/default.aspx?id=470" TargetMode="External"/><Relationship Id="rId224" Type="http://schemas.openxmlformats.org/officeDocument/2006/relationships/hyperlink" Target="https://www.zsis.hr/default.aspx?id=663" TargetMode="External"/><Relationship Id="rId225" Type="http://schemas.openxmlformats.org/officeDocument/2006/relationships/hyperlink" Target="https://www.zsis.hr/default.aspx?id=663" TargetMode="External"/><Relationship Id="rId226" Type="http://schemas.openxmlformats.org/officeDocument/2006/relationships/hyperlink" Target="https://www.zsis.hr/default.aspx?id=663" TargetMode="External"/><Relationship Id="rId227" Type="http://schemas.openxmlformats.org/officeDocument/2006/relationships/hyperlink" Target="https://www.danskindustri.dk/globalassets/politik-og-analyser/politiske-udspil/2025/cybersikkerhed/cyberpolitisk-rapport_2025_web.pdf?v=250526" TargetMode="External"/><Relationship Id="rId228" Type="http://schemas.openxmlformats.org/officeDocument/2006/relationships/hyperlink" Target="https://www.danskindustri.dk/globalassets/politik-og-analyser/politiske-udspil/2025/cybersikkerhed/cyberpolitisk-rapport_2025_web.pdf?v=250526" TargetMode="External"/><Relationship Id="rId229" Type="http://schemas.openxmlformats.org/officeDocument/2006/relationships/hyperlink" Target="https://finans.dk/tech/ECE11311839/danske-virksomheder-bruger-milliarder-paa-at-holde-hackerne-vaek/" TargetMode="External"/><Relationship Id="rId230" Type="http://schemas.openxmlformats.org/officeDocument/2006/relationships/hyperlink" Target="https://finans.dk/tech/ECE11311839/danske-virksomheder-bruger-milliarder-paa-at-holde-hackerne-vaek/" TargetMode="External"/><Relationship Id="rId231" Type="http://schemas.openxmlformats.org/officeDocument/2006/relationships/hyperlink" Target="https://finans.dk/tech/ECE11311839/danske-virksomheder-bruger-milliarder-paa-at-holde-hackerne-vaek/" TargetMode="External"/><Relationship Id="rId232" Type="http://schemas.openxmlformats.org/officeDocument/2006/relationships/hyperlink" Target="https://finans.dk/tech/ECE11311839/danske-virksomheder-bruger-milliarder-paa-at-holde-hackerne-vaek/" TargetMode="External"/><Relationship Id="rId233" Type="http://schemas.openxmlformats.org/officeDocument/2006/relationships/hyperlink" Target="https://finans.dk/tech/ECE14053355/nye-krav-til-cybersikkerhed-sender-milliardregning-videre-til-danske-virksomheder/" TargetMode="External"/><Relationship Id="rId234" Type="http://schemas.openxmlformats.org/officeDocument/2006/relationships/hyperlink" Target="https://itb.dk/tema/it-branchens-talunivers/tal-cybersikkerhed/" TargetMode="External"/><Relationship Id="rId235" Type="http://schemas.openxmlformats.org/officeDocument/2006/relationships/hyperlink" Target="https://mssb.dk/media/5jdlnv41/aftaletekst.pdf" TargetMode="External"/><Relationship Id="rId236" Type="http://schemas.openxmlformats.org/officeDocument/2006/relationships/hyperlink" Target="https://mssb.dk/media/4ifhls3a/aftaletekst-strategi-for-cyber-og-informationssikkerhed-2026-2029.pdf" TargetMode="External"/><Relationship Id="rId237" Type="http://schemas.openxmlformats.org/officeDocument/2006/relationships/hyperlink" Target="https://mssb.dk/media/4ifhls3a/aftaletekst-strategi-for-cyber-og-informationssikkerhed-2026-2029.pdf" TargetMode="External"/><Relationship Id="rId238" Type="http://schemas.openxmlformats.org/officeDocument/2006/relationships/hyperlink" Target="https://mssb.dk/media/4ifhls3a/aftaletekst-strategi-for-cyber-og-informationssikkerhed-2026-2029.pdf" TargetMode="External"/><Relationship Id="rId239" Type="http://schemas.openxmlformats.org/officeDocument/2006/relationships/hyperlink" Target="https://www.mordorintelligence.com/industry-reports/denmark-cybersecurity-market" TargetMode="External"/><Relationship Id="rId240" Type="http://schemas.openxmlformats.org/officeDocument/2006/relationships/hyperlink" Target="https://www.mordorintelligence.com/industry-reports/denmark-cybersecurity-market" TargetMode="External"/><Relationship Id="rId241" Type="http://schemas.openxmlformats.org/officeDocument/2006/relationships/hyperlink" Target="https://www.mordorintelligence.com/industry-reports/denmark-cybersecurity-market" TargetMode="External"/><Relationship Id="rId242" Type="http://schemas.openxmlformats.org/officeDocument/2006/relationships/hyperlink" Target="https://www.mordorintelligence.com/industry-reports/denmark-cybersecurity-market" TargetMode="External"/><Relationship Id="rId243" Type="http://schemas.openxmlformats.org/officeDocument/2006/relationships/hyperlink" Target="https://www.mordorintelligence.com/industry-reports/denmark-cybersecurity-market" TargetMode="External"/><Relationship Id="rId244" Type="http://schemas.openxmlformats.org/officeDocument/2006/relationships/hyperlink" Target="https://www.mordorintelligence.com/industry-reports/denmark-cybersecurity-market" TargetMode="External"/><Relationship Id="rId245" Type="http://schemas.openxmlformats.org/officeDocument/2006/relationships/hyperlink" Target="https://www.cfcs.dk/globalassets/cfcs/dokumenter/2022/ncis_2022-2024_en.pdf" TargetMode="External"/><Relationship Id="rId246" Type="http://schemas.openxmlformats.org/officeDocument/2006/relationships/hyperlink" Target="https://www.cfcs.dk/globalassets/cfcs/dokumenter/2022/ncis_2022-2024_en.pdf" TargetMode="External"/><Relationship Id="rId247" Type="http://schemas.openxmlformats.org/officeDocument/2006/relationships/hyperlink" Target="https://eis.ee/ettev&#245;tjad-saavad-t&#228;nasest-taotleda-k&#252;berturbe-taseme-t&#245;stmise-toetust/" TargetMode="External"/><Relationship Id="rId248" Type="http://schemas.openxmlformats.org/officeDocument/2006/relationships/hyperlink" Target="https://www.mkm.ee/sites/default/files/documents/2024-07/Kyberturvalisuse%20strateegia%202024-2030_labivalt_IT_vaatlik_Eesti.pdf" TargetMode="External"/><Relationship Id="rId249" Type="http://schemas.openxmlformats.org/officeDocument/2006/relationships/hyperlink" Target="https://www.mkm.ee/sites/default/files/documents/2024-07/Kyberturvalisuse%20strateegia%202024-2030_labivalt_IT_vaatlik_Eesti.pdf" TargetMode="External"/><Relationship Id="rId250" Type="http://schemas.openxmlformats.org/officeDocument/2006/relationships/hyperlink" Target="https://www.mkm.ee/sites/default/files/documents/2024-07/Kyberturvalisuse%20strateegia%202024-2030_labivalt_IT_vaatlik_Eesti.pdf" TargetMode="External"/><Relationship Id="rId251" Type="http://schemas.openxmlformats.org/officeDocument/2006/relationships/hyperlink" Target="https://www.mkm.ee/sites/default/files/documents/2024-07/Kyberturvalisuse%20strateegia%202024-2030_labivalt_IT_vaatlik_Eesti.pdf" TargetMode="External"/><Relationship Id="rId252" Type="http://schemas.openxmlformats.org/officeDocument/2006/relationships/hyperlink" Target="https://www.praxis.ee/uploads/2018/04/K&#252;berturbe-uuring_aruanne-23_04_2019.pdf" TargetMode="External"/><Relationship Id="rId253" Type="http://schemas.openxmlformats.org/officeDocument/2006/relationships/hyperlink" Target="https://www.fin.ee/sites/default/files/documents/2026-01/8.%20Digital%20society_0.pdf" TargetMode="External"/><Relationship Id="rId254" Type="http://schemas.openxmlformats.org/officeDocument/2006/relationships/hyperlink" Target="https://www.fin.ee/sites/default/files/documents/2026-01/8.%20Digital%20society_0.pdf" TargetMode="External"/><Relationship Id="rId255" Type="http://schemas.openxmlformats.org/officeDocument/2006/relationships/hyperlink" Target="https://startupestonia.ee/wp-content/uploads/2024/01/CyberTech-koondulevaade.pdf" TargetMode="External"/><Relationship Id="rId256" Type="http://schemas.openxmlformats.org/officeDocument/2006/relationships/hyperlink" Target="https://startupestonia.ee/wp-content/uploads/2024/01/CyberTech-koondulevaade.pdf" TargetMode="External"/><Relationship Id="rId257" Type="http://schemas.openxmlformats.org/officeDocument/2006/relationships/hyperlink" Target="https://www.alliedict.fi/wp-content/uploads/2021/06/3.Kyberturvallisuus_Suomessa_2019-2029.pdf" TargetMode="External"/><Relationship Id="rId258" Type="http://schemas.openxmlformats.org/officeDocument/2006/relationships/hyperlink" Target="https://ek.fi/wp-content/uploads/2022/03/Kyberturvallisuuswebinaari-31032022_jaettava.pdf" TargetMode="External"/><Relationship Id="rId259" Type="http://schemas.openxmlformats.org/officeDocument/2006/relationships/hyperlink" Target="https://valtioneuvosto.fi/-/1410829/kyberturvallisuusstrategian-toimeenpanoon-tarvitaan-pysyvaa-rahoitusta" TargetMode="External"/><Relationship Id="rId260" Type="http://schemas.openxmlformats.org/officeDocument/2006/relationships/hyperlink" Target="https://valtioneuvosto.fi/-/1410829/kyberturvallisuusstrategian-toimeenpanoon-tarvitaan-pysyvaa-rahoitusta" TargetMode="External"/><Relationship Id="rId261" Type="http://schemas.openxmlformats.org/officeDocument/2006/relationships/hyperlink" Target="https://www.mordorintelligence.com/industry-reports/finland-cybersecurity-market/market-size" TargetMode="External"/><Relationship Id="rId262" Type="http://schemas.openxmlformats.org/officeDocument/2006/relationships/hyperlink" Target="https://www.mordorintelligence.com/industry-reports/finland-cybersecurity-market/market-size" TargetMode="External"/><Relationship Id="rId263" Type="http://schemas.openxmlformats.org/officeDocument/2006/relationships/hyperlink" Target="https://www.mordorintelligence.com/industry-reports/finland-cybersecurity-market" TargetMode="External"/><Relationship Id="rId264" Type="http://schemas.openxmlformats.org/officeDocument/2006/relationships/hyperlink" Target="https://www.mordorintelligence.com/industry-reports/finland-cybersecurity-market" TargetMode="External"/><Relationship Id="rId265" Type="http://schemas.openxmlformats.org/officeDocument/2006/relationships/hyperlink" Target="https://www.mordorintelligence.com/industry-reports/finland-cybersecurity-market" TargetMode="External"/><Relationship Id="rId266" Type="http://schemas.openxmlformats.org/officeDocument/2006/relationships/hyperlink" Target="https://teknologiateollisuus.fi/katsaus-kyberturvallisuuden-osaamistarpeisiin-uudet-teknologiat-laajentavat-osaamistarvetta/" TargetMode="External"/><Relationship Id="rId267" Type="http://schemas.openxmlformats.org/officeDocument/2006/relationships/hyperlink" Target="https://vuosiraportit.traficom.fi/fi/kyberturvallisuuden-vuosi-2025/kyberturvallisuuskeskuksen-toimintoja-2025" TargetMode="External"/><Relationship Id="rId268" Type="http://schemas.openxmlformats.org/officeDocument/2006/relationships/hyperlink" Target="https://www.kyberturvallisuuskeskus.fi/fi/toimintamme/kyberturvallisuuden-tutkimuksen-kehityksen-ja-innovaatioiden-kansallinen-koordinointikeskus/kansalliset-rahoitustuet" TargetMode="External"/><Relationship Id="rId269" Type="http://schemas.openxmlformats.org/officeDocument/2006/relationships/hyperlink" Target="https://budjetti.vm.fi/sisalto.jsp?year=2025&amp;lang=fi&amp;maindoc=/2025/tae/valtiovarainministerionKanta/valtiovarainministerionKanta.xml&amp;opennode=0:1:241:941:943:" TargetMode="External"/><Relationship Id="rId270" Type="http://schemas.openxmlformats.org/officeDocument/2006/relationships/hyperlink" Target="https://budjetti.vm.fi/indox/sisalto.jsp?year=2027&amp;lang=fi&amp;maindoc=/2027/tae/hallituksenEsitys/hallituksenEsitys.xml&amp;id=/2027/tae/hallituksenEsitys/YksityiskohtaisetPerustelut/31/01/02/02.html" TargetMode="External"/><Relationship Id="rId271" Type="http://schemas.openxmlformats.org/officeDocument/2006/relationships/hyperlink" Target="https://www.globalsecuritymag.fr/IMG/pdf/Observatoire_ACN_de_la_Confiance_numerique_2019.pdf" TargetMode="External"/><Relationship Id="rId272" Type="http://schemas.openxmlformats.org/officeDocument/2006/relationships/hyperlink" Target="https://www.globalsecuritymag.fr/IMG/pdf/Observatoire_ACN_de_la_Confiance_numerique_2019.pdf" TargetMode="External"/><Relationship Id="rId273" Type="http://schemas.openxmlformats.org/officeDocument/2006/relationships/hyperlink" Target="https://www.globalsecuritymag.fr/IMG/pdf/Observatoire_ACN_de_la_Confiance_numerique_2019.pdf" TargetMode="External"/><Relationship Id="rId274" Type="http://schemas.openxmlformats.org/officeDocument/2006/relationships/hyperlink" Target="http://www.decision.eu/wp-content/uploads/2021/01/Observatoire-ACN-2020.pdf" TargetMode="External"/><Relationship Id="rId275" Type="http://schemas.openxmlformats.org/officeDocument/2006/relationships/hyperlink" Target="http://www.decision.eu/wp-content/uploads/2021/01/Observatoire-ACN-2020.pdf" TargetMode="External"/><Relationship Id="rId276" Type="http://schemas.openxmlformats.org/officeDocument/2006/relationships/hyperlink" Target="http://www.decision.eu/wp-content/uploads/2021/01/Observatoire-ACN-2020.pdf" TargetMode="External"/><Relationship Id="rId277" Type="http://schemas.openxmlformats.org/officeDocument/2006/relationships/hyperlink" Target="https://www.confiance-numerique.fr/wp-content/uploads/2023/11/Observatoire-ACN-2021-de-la-confiance-numerique.pdf" TargetMode="External"/><Relationship Id="rId278" Type="http://schemas.openxmlformats.org/officeDocument/2006/relationships/hyperlink" Target="https://www.confiance-numerique.fr/wp-content/uploads/2023/11/Observatoire-ACN-2021-de-la-confiance-numerique.pdf" TargetMode="External"/><Relationship Id="rId279" Type="http://schemas.openxmlformats.org/officeDocument/2006/relationships/hyperlink" Target="https://www.confiance-numerique.fr/wp-content/uploads/2023/11/Observatoire-ACN-2021-de-la-confiance-numerique.pdf" TargetMode="External"/><Relationship Id="rId280" Type="http://schemas.openxmlformats.org/officeDocument/2006/relationships/hyperlink" Target="http://www.decision.eu/wp-content/uploads/2022/05/Observatoire-ACN-2022.pdf" TargetMode="External"/><Relationship Id="rId281" Type="http://schemas.openxmlformats.org/officeDocument/2006/relationships/hyperlink" Target="http://www.decision.eu/wp-content/uploads/2022/05/Observatoire-ACN-2022.pdf" TargetMode="External"/><Relationship Id="rId282" Type="http://schemas.openxmlformats.org/officeDocument/2006/relationships/hyperlink" Target="http://www.decision.eu/wp-content/uploads/2022/05/Observatoire-ACN-2022.pdf" TargetMode="External"/><Relationship Id="rId283" Type="http://schemas.openxmlformats.org/officeDocument/2006/relationships/hyperlink" Target="http://www.decision.eu/wp-content/uploads/2022/05/Observatoire-ACN-2022.pdf" TargetMode="External"/><Relationship Id="rId284" Type="http://schemas.openxmlformats.org/officeDocument/2006/relationships/hyperlink" Target="https://www.confiance-numerique.fr/wp-content/uploads/2023/11/Observatoire-ACN-2023-de-la-confiance-numerique-bd.pdf" TargetMode="External"/><Relationship Id="rId285" Type="http://schemas.openxmlformats.org/officeDocument/2006/relationships/hyperlink" Target="https://www.confiance-numerique.fr/wp-content/uploads/2023/11/Observatoire-ACN-2023-de-la-confiance-numerique-bd.pdf" TargetMode="External"/><Relationship Id="rId286" Type="http://schemas.openxmlformats.org/officeDocument/2006/relationships/hyperlink" Target="https://www.confiance-numerique.fr/wp-content/uploads/2023/11/Observatoire-ACN-2023-de-la-confiance-numerique-bd.pdf" TargetMode="External"/><Relationship Id="rId287" Type="http://schemas.openxmlformats.org/officeDocument/2006/relationships/hyperlink" Target="https://www.confiance-numerique.fr/wp-content/uploads/2023/11/Observatoire-ACN-2023-de-la-confiance-numerique-bd.pdf" TargetMode="External"/><Relationship Id="rId288" Type="http://schemas.openxmlformats.org/officeDocument/2006/relationships/hyperlink" Target="https://www.confiance-numerique.fr/wp-content/uploads/2024/05/ACN-Observatoire-de-la-filiere-de-la-confiance-numerique2024-bd.pdf" TargetMode="External"/><Relationship Id="rId289" Type="http://schemas.openxmlformats.org/officeDocument/2006/relationships/hyperlink" Target="https://www.confiance-numerique.fr/wp-content/uploads/2024/05/ACN-Observatoire-de-la-filiere-de-la-confiance-numerique2024-bd.pdf" TargetMode="External"/><Relationship Id="rId290" Type="http://schemas.openxmlformats.org/officeDocument/2006/relationships/hyperlink" Target="https://www.confiance-numerique.fr/wp-content/uploads/2024/05/ACN-Observatoire-de-la-filiere-de-la-confiance-numerique2024-bd.pdf" TargetMode="External"/><Relationship Id="rId291" Type="http://schemas.openxmlformats.org/officeDocument/2006/relationships/hyperlink" Target="https://www.confiance-numerique.fr/wp-content/uploads/2024/05/ACN-Observatoire-de-la-filiere-de-la-confiance-numerique2024-bd.pdf" TargetMode="External"/><Relationship Id="rId292" Type="http://schemas.openxmlformats.org/officeDocument/2006/relationships/hyperlink" Target="https://www.confiance-numerique.fr/wp-content/uploads/2024/05/ACN-Observatoire-de-la-filiere-de-la-confiance-numerique2024-bd.pdf" TargetMode="External"/><Relationship Id="rId293" Type="http://schemas.openxmlformats.org/officeDocument/2006/relationships/hyperlink" Target="https://www.confiance-numerique.fr/lobservatoire-de-la-confiance-numerique/" TargetMode="External"/><Relationship Id="rId294" Type="http://schemas.openxmlformats.org/officeDocument/2006/relationships/hyperlink" Target="https://www.confiance-numerique.fr/lobservatoire-de-la-confiance-numerique/" TargetMode="External"/><Relationship Id="rId295" Type="http://schemas.openxmlformats.org/officeDocument/2006/relationships/hyperlink" Target="https://www.confiance-numerique.fr/lobservatoire-de-la-confiance-numerique/" TargetMode="External"/><Relationship Id="rId296" Type="http://schemas.openxmlformats.org/officeDocument/2006/relationships/hyperlink" Target="https://www.confiance-numerique.fr/https-www-confiance-numerique-fr-wp-content-uploads-2026-06-observatoire-acn-2026-de-la-confiance-numerique-bd-pdf/" TargetMode="External"/><Relationship Id="rId297" Type="http://schemas.openxmlformats.org/officeDocument/2006/relationships/hyperlink" Target="https://www.confiance-numerique.fr/https-www-confiance-numerique-fr-wp-content-uploads-2026-06-observatoire-acn-2026-de-la-confiance-numerique-bd-pdf/" TargetMode="External"/><Relationship Id="rId298" Type="http://schemas.openxmlformats.org/officeDocument/2006/relationships/hyperlink" Target="https://www.confiance-numerique.fr/https-www-confiance-numerique-fr-wp-content-uploads-2026-06-observatoire-acn-2026-de-la-confiance-numerique-bd-pdf/" TargetMode="External"/><Relationship Id="rId299" Type="http://schemas.openxmlformats.org/officeDocument/2006/relationships/hyperlink" Target="https://www.cbi.eu/market-information/outsourcing-itobpo/cybersecurity/market-potential" TargetMode="External"/><Relationship Id="rId300" Type="http://schemas.openxmlformats.org/officeDocument/2006/relationships/hyperlink" Target="https://cesin.fr/document.php?d=69772236858eb&amp;share=1" TargetMode="External"/><Relationship Id="rId301" Type="http://schemas.openxmlformats.org/officeDocument/2006/relationships/hyperlink" Target="https://cesin.fr/document.php?d=69772236858eb&amp;share=1" TargetMode="External"/><Relationship Id="rId302" Type="http://schemas.openxmlformats.org/officeDocument/2006/relationships/hyperlink" Target="https://cesin.fr/document.php?d=69772236858eb&amp;share=1" TargetMode="External"/><Relationship Id="rId303" Type="http://schemas.openxmlformats.org/officeDocument/2006/relationships/hyperlink" Target="https://cesin.fr/document.php?d=69772236858eb&amp;share=1" TargetMode="External"/><Relationship Id="rId304" Type="http://schemas.openxmlformats.org/officeDocument/2006/relationships/hyperlink" Target="https://cesin.fr/document.php?d=69772236858eb&amp;share=1" TargetMode="External"/><Relationship Id="rId305" Type="http://schemas.openxmlformats.org/officeDocument/2006/relationships/hyperlink" Target="https://cesin.fr/document.php?d=69772236858eb&amp;share=1" TargetMode="External"/><Relationship Id="rId306" Type="http://schemas.openxmlformats.org/officeDocument/2006/relationships/hyperlink" Target="https://www.channelnews.fr/le-marche-francais-de-la-cybersecurite-va-encore-progresser-de-10-en-2025-145191" TargetMode="External"/><Relationship Id="rId307" Type="http://schemas.openxmlformats.org/officeDocument/2006/relationships/hyperlink" Target="https://www.channelnews.fr/le-marche-francais-de-la-cybersecurite-va-encore-progresser-de-10-en-2025-145191" TargetMode="External"/><Relationship Id="rId308" Type="http://schemas.openxmlformats.org/officeDocument/2006/relationships/hyperlink" Target="https://www.channelnews.fr/le-marche-francais-de-la-cybersecurite-va-encore-progresser-de-10-en-2025-145191" TargetMode="External"/><Relationship Id="rId309" Type="http://schemas.openxmlformats.org/officeDocument/2006/relationships/hyperlink" Target="https://www.channelnews.fr/le-marche-francais-de-la-cybersecurite-va-encore-progresser-de-10-en-2025-145191" TargetMode="External"/><Relationship Id="rId310" Type="http://schemas.openxmlformats.org/officeDocument/2006/relationships/hyperlink" Target="https://www.channelnews.fr/le-marche-francais-de-la-cybersecurite-va-encore-progresser-de-10-en-2025-145191" TargetMode="External"/><Relationship Id="rId311" Type="http://schemas.openxmlformats.org/officeDocument/2006/relationships/hyperlink" Target="https://www.entreprises.gouv.fr/files/files/Entites/CNI/2025/contrat-filiere-industries-securite.pdf" TargetMode="External"/><Relationship Id="rId312" Type="http://schemas.openxmlformats.org/officeDocument/2006/relationships/hyperlink" Target="https://www.entreprises.gouv.fr/secteurs-dactivite/le-secteur-du-numerique-en-france/la-cybersecurite" TargetMode="External"/><Relationship Id="rId313" Type="http://schemas.openxmlformats.org/officeDocument/2006/relationships/hyperlink" Target="https://research.exaegis.com/cybersecurite" TargetMode="External"/><Relationship Id="rId314" Type="http://schemas.openxmlformats.org/officeDocument/2006/relationships/hyperlink" Target="https://www.info.gouv.fr/actualite/un-plan-a-1-milliard-d-euros-pour-renforcer-la-cybersecurite" TargetMode="External"/><Relationship Id="rId315" Type="http://schemas.openxmlformats.org/officeDocument/2006/relationships/hyperlink" Target="https://www.grandviewresearch.com/horizon/outlook/cyber-security-market/france" TargetMode="External"/><Relationship Id="rId316" Type="http://schemas.openxmlformats.org/officeDocument/2006/relationships/hyperlink" Target="https://www.grandviewresearch.com/horizon/outlook/cyber-security-market/france" TargetMode="External"/><Relationship Id="rId317" Type="http://schemas.openxmlformats.org/officeDocument/2006/relationships/hyperlink" Target="https://www.grandviewresearch.com/horizon/outlook/cyber-security-market/france" TargetMode="External"/><Relationship Id="rId318" Type="http://schemas.openxmlformats.org/officeDocument/2006/relationships/hyperlink" Target="https://www.grandviewresearch.com/horizon/outlook/cyber-security-services-market/france" TargetMode="External"/><Relationship Id="rId319" Type="http://schemas.openxmlformats.org/officeDocument/2006/relationships/hyperlink" Target="https://www.grandviewresearch.com/horizon/outlook/cyber-security-services-market/france" TargetMode="External"/><Relationship Id="rId320" Type="http://schemas.openxmlformats.org/officeDocument/2006/relationships/hyperlink" Target="https://incyber.org/article/croissance-marche-francais-cybersecurite-reste-trop-fragmente/" TargetMode="External"/><Relationship Id="rId321" Type="http://schemas.openxmlformats.org/officeDocument/2006/relationships/hyperlink" Target="https://incyber.org/article/croissance-marche-francais-cybersecurite-reste-trop-fragmente/" TargetMode="External"/><Relationship Id="rId322" Type="http://schemas.openxmlformats.org/officeDocument/2006/relationships/hyperlink" Target="https://incyber.org/article/croissance-marche-francais-cybersecurite-reste-trop-fragmente/" TargetMode="External"/><Relationship Id="rId323" Type="http://schemas.openxmlformats.org/officeDocument/2006/relationships/hyperlink" Target="https://incyber.org/article/croissance-marche-francais-cybersecurite-reste-trop-fragmente/" TargetMode="External"/><Relationship Id="rId324" Type="http://schemas.openxmlformats.org/officeDocument/2006/relationships/hyperlink" Target="https://www.indexpresse-delphes.fr/sites/www.indexpresse-delphes.fr/files/etudes/T3.2110.74-CYBERSECURITE.pdf" TargetMode="External"/><Relationship Id="rId325" Type="http://schemas.openxmlformats.org/officeDocument/2006/relationships/hyperlink" Target="https://www.indexpresse-delphes.fr/sites/www.indexpresse-delphes.fr/files/etudes/T3.2110.74-CYBERSECURITE.pdf" TargetMode="External"/><Relationship Id="rId326" Type="http://schemas.openxmlformats.org/officeDocument/2006/relationships/hyperlink" Target="https://www.indexpresse-delphes.fr/sites/www.indexpresse-delphes.fr/files/etudes/T3.2110.74-CYBERSECURITE.pdf" TargetMode="External"/><Relationship Id="rId327" Type="http://schemas.openxmlformats.org/officeDocument/2006/relationships/hyperlink" Target="https://www.marketresearchfuture.com/reports/france-cybersecurity-market-46038" TargetMode="External"/><Relationship Id="rId328" Type="http://schemas.openxmlformats.org/officeDocument/2006/relationships/hyperlink" Target="https://www.marketresearchfuture.com/reports/france-cybersecurity-market-46038" TargetMode="External"/><Relationship Id="rId329" Type="http://schemas.openxmlformats.org/officeDocument/2006/relationships/hyperlink" Target="https://www.marketsandmarkets.com/Market-Reports/geography/cyber-security-market/france" TargetMode="External"/><Relationship Id="rId330" Type="http://schemas.openxmlformats.org/officeDocument/2006/relationships/hyperlink" Target="https://www.marketsandmarkets.com/Market-Reports/geography/cyber-security-market/france" TargetMode="External"/><Relationship Id="rId331" Type="http://schemas.openxmlformats.org/officeDocument/2006/relationships/hyperlink" Target="https://www.economie.gouv.fr/strategie-nationale-acceleration-cybersecurite" TargetMode="External"/><Relationship Id="rId332" Type="http://schemas.openxmlformats.org/officeDocument/2006/relationships/hyperlink" Target="https://www.economie.gouv.fr/strategie-nationale-acceleration-cybersecurite" TargetMode="External"/><Relationship Id="rId333" Type="http://schemas.openxmlformats.org/officeDocument/2006/relationships/hyperlink" Target="https://www.economie.gouv.fr/strategie-nationale-acceleration-cybersecurite" TargetMode="External"/><Relationship Id="rId334" Type="http://schemas.openxmlformats.org/officeDocument/2006/relationships/hyperlink" Target="https://www.mordorintelligence.com/fr/industry-reports/france-cybersecurity-market" TargetMode="External"/><Relationship Id="rId335" Type="http://schemas.openxmlformats.org/officeDocument/2006/relationships/hyperlink" Target="https://www.mordorintelligence.com/fr/industry-reports/france-cybersecurity-market" TargetMode="External"/><Relationship Id="rId336" Type="http://schemas.openxmlformats.org/officeDocument/2006/relationships/hyperlink" Target="https://www.mordorintelligence.com/fr/industry-reports/france-cybersecurity-market" TargetMode="External"/><Relationship Id="rId337" Type="http://schemas.openxmlformats.org/officeDocument/2006/relationships/hyperlink" Target="https://www.mordorintelligence.com/fr/industry-reports/france-cybersecurity-market" TargetMode="External"/><Relationship Id="rId338" Type="http://schemas.openxmlformats.org/officeDocument/2006/relationships/hyperlink" Target="https://www.mordorintelligence.com/fr/industry-reports/france-cybersecurity-market" TargetMode="External"/><Relationship Id="rId339" Type="http://schemas.openxmlformats.org/officeDocument/2006/relationships/hyperlink" Target="https://www.mordorintelligence.com/fr/industry-reports/france-cybersecurity-market" TargetMode="External"/><Relationship Id="rId340" Type="http://schemas.openxmlformats.org/officeDocument/2006/relationships/hyperlink" Target="https://numeum.fr/wp-content/uploads/2025/03/CP20Numeum_ConfC3A9rence20semestrielle20juin202024.pdf.pdf" TargetMode="External"/><Relationship Id="rId341" Type="http://schemas.openxmlformats.org/officeDocument/2006/relationships/hyperlink" Target="https://numeum.fr/wp-content/uploads/2025/03/CP20Numeum_ConfC3A9rence20semestrielle20S2-2024.pdf.pdf" TargetMode="External"/><Relationship Id="rId342" Type="http://schemas.openxmlformats.org/officeDocument/2006/relationships/hyperlink" Target="https://www.europarl.europa.eu/RegData/etudes/BRIE/2025/772881/EPRS_BRI(2025)772881_EN.pdf" TargetMode="External"/><Relationship Id="rId343" Type="http://schemas.openxmlformats.org/officeDocument/2006/relationships/hyperlink" Target="https://www.senat.fr/rap/r22-638/r22-6381.pdf" TargetMode="External"/><Relationship Id="rId344" Type="http://schemas.openxmlformats.org/officeDocument/2006/relationships/hyperlink" Target="https://www.senat.fr/rap/r22-638/r22-6381.pdf" TargetMode="External"/><Relationship Id="rId345" Type="http://schemas.openxmlformats.org/officeDocument/2006/relationships/hyperlink" Target="https://www.senat.fr/rap/r22-638/r22-6381.pdf" TargetMode="External"/><Relationship Id="rId346" Type="http://schemas.openxmlformats.org/officeDocument/2006/relationships/hyperlink" Target="https://www.silicon.fr/business-1367/les-benchmarks-de-lit-2026-les-solutions-de-cybersecurite-226696" TargetMode="External"/><Relationship Id="rId347" Type="http://schemas.openxmlformats.org/officeDocument/2006/relationships/hyperlink" Target="https://publika.skema.edu/fr/cybersecurite-francaise-une-offre-qui-croit-plus-vite-que-son-absorption/" TargetMode="External"/><Relationship Id="rId348" Type="http://schemas.openxmlformats.org/officeDocument/2006/relationships/hyperlink" Target="https://publika.skema.edu/fr/cybersecurite-francaise-une-offre-qui-croit-plus-vite-que-son-absorption/" TargetMode="External"/><Relationship Id="rId349" Type="http://schemas.openxmlformats.org/officeDocument/2006/relationships/hyperlink" Target="https://publika.skema.edu/fr/cybersecurite-francaise-une-offre-qui-croit-plus-vite-que-son-absorption/" TargetMode="External"/><Relationship Id="rId350" Type="http://schemas.openxmlformats.org/officeDocument/2006/relationships/hyperlink" Target="https://publika.skema.edu/fr/cybersecurite-francaise-une-offre-qui-croit-plus-vite-que-son-absorption/" TargetMode="External"/><Relationship Id="rId351" Type="http://schemas.openxmlformats.org/officeDocument/2006/relationships/hyperlink" Target="https://www.xerfi.com/presentationetude/le-marche-de-la-cybersecurite_sae24" TargetMode="External"/><Relationship Id="rId352" Type="http://schemas.openxmlformats.org/officeDocument/2006/relationships/hyperlink" Target="https://www.6wresearch.com/industry-report/germany-cyber-security-market-2020-2026" TargetMode="External"/><Relationship Id="rId353" Type="http://schemas.openxmlformats.org/officeDocument/2006/relationships/hyperlink" Target="https://www.6wresearch.com/industry-report/germany-cyber-security-market-2020-2026" TargetMode="External"/><Relationship Id="rId354" Type="http://schemas.openxmlformats.org/officeDocument/2006/relationships/hyperlink" Target="https://www.bdo.nl/getmedia/46087d8a-7d9a-4831-8e1c-fe8482cb676a/Global-and-European-Cybersecurity-Industry.pdf" TargetMode="External"/><Relationship Id="rId355" Type="http://schemas.openxmlformats.org/officeDocument/2006/relationships/hyperlink" Target="https://www.bdo.nl/getmedia/46087d8a-7d9a-4831-8e1c-fe8482cb676a/Global-and-European-Cybersecurity-Industry.pdf" TargetMode="External"/><Relationship Id="rId356" Type="http://schemas.openxmlformats.org/officeDocument/2006/relationships/hyperlink" Target="https://www.bdo.nl/getmedia/46087d8a-7d9a-4831-8e1c-fe8482cb676a/Global-and-European-Cybersecurity-Industry.pdf" TargetMode="External"/><Relationship Id="rId357" Type="http://schemas.openxmlformats.org/officeDocument/2006/relationships/hyperlink" Target="https://www.bdo.nl/getmedia/46087d8a-7d9a-4831-8e1c-fe8482cb676a/Global-and-European-Cybersecurity-Industry.pdf" TargetMode="External"/><Relationship Id="rId358" Type="http://schemas.openxmlformats.org/officeDocument/2006/relationships/hyperlink" Target="https://www.bdo.nl/getmedia/46087d8a-7d9a-4831-8e1c-fe8482cb676a/Global-and-European-Cybersecurity-Industry.pdf" TargetMode="External"/><Relationship Id="rId359" Type="http://schemas.openxmlformats.org/officeDocument/2006/relationships/hyperlink" Target="https://www.bdo.nl/getmedia/46087d8a-7d9a-4831-8e1c-fe8482cb676a/Global-and-European-Cybersecurity-Industry.pdf" TargetMode="External"/><Relationship Id="rId360" Type="http://schemas.openxmlformats.org/officeDocument/2006/relationships/hyperlink" Target="https://www.bdo.nl/getmedia/46087d8a-7d9a-4831-8e1c-fe8482cb676a/Global-and-European-Cybersecurity-Industry.pdf" TargetMode="External"/><Relationship Id="rId361" Type="http://schemas.openxmlformats.org/officeDocument/2006/relationships/hyperlink" Target="https://www.bdo.nl/getmedia/46087d8a-7d9a-4831-8e1c-fe8482cb676a/Global-and-European-Cybersecurity-Industry.pdf" TargetMode="External"/><Relationship Id="rId362" Type="http://schemas.openxmlformats.org/officeDocument/2006/relationships/hyperlink" Target="https://www.bdo.nl/getmedia/46087d8a-7d9a-4831-8e1c-fe8482cb676a/Global-and-European-Cybersecurity-Industry.pdf" TargetMode="External"/><Relationship Id="rId363" Type="http://schemas.openxmlformats.org/officeDocument/2006/relationships/hyperlink" Target="https://www.bdo.nl/getmedia/46087d8a-7d9a-4831-8e1c-fe8482cb676a/Global-and-European-Cybersecurity-Industry.pdf" TargetMode="External"/><Relationship Id="rId364" Type="http://schemas.openxmlformats.org/officeDocument/2006/relationships/hyperlink" Target="https://www.bitkom.org/Presse/Presseinformation/Digitalbranche-waechst-aber-nicht-ueberall" TargetMode="External"/><Relationship Id="rId365" Type="http://schemas.openxmlformats.org/officeDocument/2006/relationships/hyperlink" Target="https://www.bitkom.org/Presse/Presseinformation/Digitalbranche-waechst-aber-nicht-ueberall" TargetMode="External"/><Relationship Id="rId366" Type="http://schemas.openxmlformats.org/officeDocument/2006/relationships/hyperlink" Target="https://www.bitkom.org/Presse/Presseinformation/Lichtblick-Rezession-Digitalbranche-waechst" TargetMode="External"/><Relationship Id="rId367" Type="http://schemas.openxmlformats.org/officeDocument/2006/relationships/hyperlink" Target="https://www.bitkom.org/Presse/Presseinformation/Rekordjahr-im-Markt-fuer-IT-Sicherheit" TargetMode="External"/><Relationship Id="rId368" Type="http://schemas.openxmlformats.org/officeDocument/2006/relationships/hyperlink" Target="https://www.bitkom.org/Presse/Presseinformation/Rekordjahr-im-Markt-fuer-IT-Sicherheit" TargetMode="External"/><Relationship Id="rId369" Type="http://schemas.openxmlformats.org/officeDocument/2006/relationships/hyperlink" Target="https://www.bitkom.org/Presse/Presseinformation/Rekordjahr-im-Markt-fuer-IT-Sicherheit" TargetMode="External"/><Relationship Id="rId370" Type="http://schemas.openxmlformats.org/officeDocument/2006/relationships/hyperlink" Target="https://www.bitkom.org/Presse/Presseinformation/Rekordjahr-im-Markt-fuer-IT-Sicherheit" TargetMode="External"/><Relationship Id="rId371" Type="http://schemas.openxmlformats.org/officeDocument/2006/relationships/hyperlink" Target="https://www.bitkom.org/Presse/Presseinformation/Rekordjahr-im-Markt-fuer-IT-Sicherheit" TargetMode="External"/><Relationship Id="rId372" Type="http://schemas.openxmlformats.org/officeDocument/2006/relationships/hyperlink" Target="https://www.bitkom.org/Presse/Presseinformation/Markt-fuer-IT-Sicherheit-auf-Allzeithoch" TargetMode="External"/><Relationship Id="rId373" Type="http://schemas.openxmlformats.org/officeDocument/2006/relationships/hyperlink" Target="https://www.bitkom.org/Presse/Presseinformation/Markt-fuer-IT-Sicherheit-auf-Allzeithoch" TargetMode="External"/><Relationship Id="rId374" Type="http://schemas.openxmlformats.org/officeDocument/2006/relationships/hyperlink" Target="https://www.bitkom.org/Presse/Presseinformation/Markt-fuer-IT-Sicherheit-auf-Allzeithoch" TargetMode="External"/><Relationship Id="rId375" Type="http://schemas.openxmlformats.org/officeDocument/2006/relationships/hyperlink" Target="https://www.bitkom.org/Presse/Presseinformation/Markt-fuer-IT-Sicherheit-auf-Allzeithoch" TargetMode="External"/><Relationship Id="rId376" Type="http://schemas.openxmlformats.org/officeDocument/2006/relationships/hyperlink" Target="https://www.bitkom.org/Presse/Presseinformation/Markt-fuer-IT-Sicherheit-auf-Allzeithoch" TargetMode="External"/><Relationship Id="rId377" Type="http://schemas.openxmlformats.org/officeDocument/2006/relationships/hyperlink" Target="https://www.bitkom.org/Presse/Presseinformation/Markt-fuer-IT-Sicherheit-bricht-Umsatzrekord" TargetMode="External"/><Relationship Id="rId378" Type="http://schemas.openxmlformats.org/officeDocument/2006/relationships/hyperlink" Target="https://www.bitkom.org/Presse/Presseinformation/Markt-fuer-IT-Sicherheit-bricht-Umsatzrekord" TargetMode="External"/><Relationship Id="rId379" Type="http://schemas.openxmlformats.org/officeDocument/2006/relationships/hyperlink" Target="https://www.bitkom.org/Presse/Presseinformation/Markt-fuer-IT-Sicherheit-bricht-Umsatzrekord" TargetMode="External"/><Relationship Id="rId380" Type="http://schemas.openxmlformats.org/officeDocument/2006/relationships/hyperlink" Target="https://www.bitkom.org/Presse/Presseinformation/Markt-fuer-IT-Sicherheit-bricht-Umsatzrekord" TargetMode="External"/><Relationship Id="rId381" Type="http://schemas.openxmlformats.org/officeDocument/2006/relationships/hyperlink" Target="https://www.bitkom.org/Presse/Presseinformation/Markt-fuer-IT-Sicherheit-bricht-Umsatzrekord" TargetMode="External"/><Relationship Id="rId382" Type="http://schemas.openxmlformats.org/officeDocument/2006/relationships/hyperlink" Target="https://www.bitkom.org/Presse/Presseinformation/Markt-fuer-IT-Sicherheit-bricht-Umsatzrekord" TargetMode="External"/><Relationship Id="rId383" Type="http://schemas.openxmlformats.org/officeDocument/2006/relationships/hyperlink" Target="https://www.bitkom.org/Presse/Presseinformation/Markt-fuer-IT-Sicherheit-bricht-Umsatzrekord" TargetMode="External"/><Relationship Id="rId384" Type="http://schemas.openxmlformats.org/officeDocument/2006/relationships/hyperlink" Target="https://www.bitkom.org/Presse/Presseinformation/7-8-Milliarden-Euro-Markt-fuer-IT-Sicherheit-waechst-2022-um-13-Prozent" TargetMode="External"/><Relationship Id="rId385" Type="http://schemas.openxmlformats.org/officeDocument/2006/relationships/hyperlink" Target="https://www.bitkom.org/Presse/Presseinformation/7-8-Milliarden-Euro-Markt-fuer-IT-Sicherheit-waechst-2022-um-13-Prozent" TargetMode="External"/><Relationship Id="rId386" Type="http://schemas.openxmlformats.org/officeDocument/2006/relationships/hyperlink" Target="https://www.bitkom.org/Presse/Presseinformation/7-8-Milliarden-Euro-Markt-fuer-IT-Sicherheit-waechst-2022-um-13-Prozent" TargetMode="External"/><Relationship Id="rId387" Type="http://schemas.openxmlformats.org/officeDocument/2006/relationships/hyperlink" Target="https://www.bitkom.org/Presse/Presseinformation/7-8-Milliarden-Euro-Markt-fuer-IT-Sicherheit-waechst-2022-um-13-Prozent" TargetMode="External"/><Relationship Id="rId388" Type="http://schemas.openxmlformats.org/officeDocument/2006/relationships/hyperlink" Target="https://www.bitkom.org/Presse/Presseinformation/7-8-Milliarden-Euro-Markt-fuer-IT-Sicherheit-waechst-2022-um-13-Prozent" TargetMode="External"/><Relationship Id="rId389" Type="http://schemas.openxmlformats.org/officeDocument/2006/relationships/hyperlink" Target="https://www.bitkom.org/Presse/Presseinformation/Markt-IT-Sicherheit-waechst-mehr-9-Milliarden-Euro" TargetMode="External"/><Relationship Id="rId390" Type="http://schemas.openxmlformats.org/officeDocument/2006/relationships/hyperlink" Target="https://www.bitkom.org/Presse/Presseinformation/Markt-IT-Sicherheit-waechst-mehr-9-Milliarden-Euro" TargetMode="External"/><Relationship Id="rId391" Type="http://schemas.openxmlformats.org/officeDocument/2006/relationships/hyperlink" Target="https://www.bitkom.org/Presse/Presseinformation/Markt-IT-Sicherheit-waechst-mehr-9-Milliarden-Euro" TargetMode="External"/><Relationship Id="rId392" Type="http://schemas.openxmlformats.org/officeDocument/2006/relationships/hyperlink" Target="https://www.bitkom.org/Presse/Presseinformation/Markt-IT-Sicherheit-waechst-mehr-9-Milliarden-Euro" TargetMode="External"/><Relationship Id="rId393" Type="http://schemas.openxmlformats.org/officeDocument/2006/relationships/hyperlink" Target="https://www.bitkom.org/Presse/Presseinformation/Markt-IT-Sicherheit-waechst-mehr-9-Milliarden-Euro" TargetMode="External"/><Relationship Id="rId394" Type="http://schemas.openxmlformats.org/officeDocument/2006/relationships/hyperlink" Target="https://www.bitkom.org/Presse/Presseinformation/Erstmals-mehr-als-10-Milliarden-Euro-fuer-Deutschlands-Cybersicherheit" TargetMode="External"/><Relationship Id="rId395" Type="http://schemas.openxmlformats.org/officeDocument/2006/relationships/hyperlink" Target="https://www.bitkom.org/Presse/Presseinformation/Erstmals-mehr-als-10-Milliarden-Euro-fuer-Deutschlands-Cybersicherheit" TargetMode="External"/><Relationship Id="rId396" Type="http://schemas.openxmlformats.org/officeDocument/2006/relationships/hyperlink" Target="https://www.bitkom.org/Presse/Presseinformation/Erstmals-mehr-als-10-Milliarden-Euro-fuer-Deutschlands-Cybersicherheit" TargetMode="External"/><Relationship Id="rId397" Type="http://schemas.openxmlformats.org/officeDocument/2006/relationships/hyperlink" Target="https://www.bitkom.org/Presse/Presseinformation/Erstmals-mehr-als-10-Milliarden-Euro-fuer-Deutschlands-Cybersicherheit" TargetMode="External"/><Relationship Id="rId398" Type="http://schemas.openxmlformats.org/officeDocument/2006/relationships/hyperlink" Target="https://www.bitkom.org/sites/main/files/2025-10/bitkom-charts-cybercrime-und-der-markt-fuer-it-sicherheit-2025.pdf" TargetMode="External"/><Relationship Id="rId399" Type="http://schemas.openxmlformats.org/officeDocument/2006/relationships/hyperlink" Target="https://www.bitkom.org/sites/main/files/2025-10/bitkom-charts-cybercrime-und-der-markt-fuer-it-sicherheit-2025.pdf" TargetMode="External"/><Relationship Id="rId400" Type="http://schemas.openxmlformats.org/officeDocument/2006/relationships/hyperlink" Target="https://www.bitkom.org/sites/main/files/2025-10/bitkom-charts-cybercrime-und-der-markt-fuer-it-sicherheit-2025.pdf" TargetMode="External"/><Relationship Id="rId401" Type="http://schemas.openxmlformats.org/officeDocument/2006/relationships/hyperlink" Target="https://www.bitkom.org/sites/main/files/2025-10/bitkom-charts-cybercrime-und-der-markt-fuer-it-sicherheit-2025.pdf" TargetMode="External"/><Relationship Id="rId402" Type="http://schemas.openxmlformats.org/officeDocument/2006/relationships/hyperlink" Target="https://www.bitkom.org/sites/main/files/2025-10/bitkom-charts-cybercrime-und-der-markt-fuer-it-sicherheit-2025.pdf" TargetMode="External"/><Relationship Id="rId403" Type="http://schemas.openxmlformats.org/officeDocument/2006/relationships/hyperlink" Target="https://www.bitkom.org/sites/main/files/2025-10/bitkom-charts-cybercrime-und-der-markt-fuer-it-sicherheit-2025.pdf" TargetMode="External"/><Relationship Id="rId404" Type="http://schemas.openxmlformats.org/officeDocument/2006/relationships/hyperlink" Target="https://www.bitkom.org/sites/main/files/2025-10/bitkom-charts-cybercrime-und-der-markt-fuer-it-sicherheit-2025.pdf" TargetMode="External"/><Relationship Id="rId405" Type="http://schemas.openxmlformats.org/officeDocument/2006/relationships/hyperlink" Target="https://www.bitkom.org/sites/main/files/2025-10/bitkom-charts-cybercrime-und-der-markt-fuer-it-sicherheit-2025.pdf" TargetMode="External"/><Relationship Id="rId406" Type="http://schemas.openxmlformats.org/officeDocument/2006/relationships/hyperlink" Target="https://www.bitkom.org/sites/main/files/2025-10/bitkom-charts-cybercrime-und-der-markt-fuer-it-sicherheit-2025.pdf" TargetMode="External"/><Relationship Id="rId407" Type="http://schemas.openxmlformats.org/officeDocument/2006/relationships/hyperlink" Target="https://www.bitkom.org/sites/main/files/2025-10/bitkom-charts-cybercrime-und-der-markt-fuer-it-sicherheit-2025.pdf" TargetMode="External"/><Relationship Id="rId408" Type="http://schemas.openxmlformats.org/officeDocument/2006/relationships/hyperlink" Target="https://www.bitkom.org/sites/main/files/2025-10/bitkom-charts-cybercrime-und-der-markt-fuer-it-sicherheit-2025.pdf" TargetMode="External"/><Relationship Id="rId409" Type="http://schemas.openxmlformats.org/officeDocument/2006/relationships/hyperlink" Target="https://www.bitkom.org/sites/main/files/2025-10/bitkom-charts-cybercrime-und-der-markt-fuer-it-sicherheit-2025.pdf" TargetMode="External"/><Relationship Id="rId410" Type="http://schemas.openxmlformats.org/officeDocument/2006/relationships/hyperlink" Target="https://www.bitkom.org/sites/main/files/2025-10/bitkom-charts-cybercrime-und-der-markt-fuer-it-sicherheit-2025.pdf" TargetMode="External"/><Relationship Id="rId411" Type="http://schemas.openxmlformats.org/officeDocument/2006/relationships/hyperlink" Target="https://www.bitkom.org/sites/main/files/2025-10/bitkom-charts-cybercrime-und-der-markt-fuer-it-sicherheit-2025.pdf" TargetMode="External"/><Relationship Id="rId412" Type="http://schemas.openxmlformats.org/officeDocument/2006/relationships/hyperlink" Target="https://www.bitkom.org/sites/main/files/2025-10/bitkom-charts-cybercrime-und-der-markt-fuer-it-sicherheit-2025.pdf" TargetMode="External"/><Relationship Id="rId413" Type="http://schemas.openxmlformats.org/officeDocument/2006/relationships/hyperlink" Target="https://www.bitkom.org/sites/main/files/2025-10/bitkom-charts-cybercrime-und-der-markt-fuer-it-sicherheit-2025.pdf" TargetMode="External"/><Relationship Id="rId414" Type="http://schemas.openxmlformats.org/officeDocument/2006/relationships/hyperlink" Target="https://www.bitkom.org/Presse/Presseinformation/Cybersicherheit-Deutscher-Markt-ueber-10-Milliarden-Marke" TargetMode="External"/><Relationship Id="rId415" Type="http://schemas.openxmlformats.org/officeDocument/2006/relationships/hyperlink" Target="https://www.bitkom.org/Presse/Presseinformation/Cybersicherheit-Deutscher-Markt-ueber-10-Milliarden-Marke" TargetMode="External"/><Relationship Id="rId416" Type="http://schemas.openxmlformats.org/officeDocument/2006/relationships/hyperlink" Target="https://www.bitkom.org/Presse/Presseinformation/Cybersicherheit-Deutscher-Markt-ueber-10-Milliarden-Marke" TargetMode="External"/><Relationship Id="rId417" Type="http://schemas.openxmlformats.org/officeDocument/2006/relationships/hyperlink" Target="https://www.bitkom.org/Presse/Presseinformation/Cybersicherheit-Deutscher-Markt-ueber-10-Milliarden-Marke" TargetMode="External"/><Relationship Id="rId418" Type="http://schemas.openxmlformats.org/officeDocument/2006/relationships/hyperlink" Target="https://www.bitkom.org/Presse/Presseinformation/Cybersicherheit-Deutscher-Markt-ueber-10-Milliarden-Marke" TargetMode="External"/><Relationship Id="rId419" Type="http://schemas.openxmlformats.org/officeDocument/2006/relationships/hyperlink" Target="https://www.bitkom.org/sites/main/files/2025-12/bitkom-studienbericht-wirtschaftsschutz-2025.pdf" TargetMode="External"/><Relationship Id="rId420" Type="http://schemas.openxmlformats.org/officeDocument/2006/relationships/hyperlink" Target="https://www.bitkom.org/sites/main/files/2026-09/bitkom-studienbericht-wirtschaftsschutz-2026.pdf" TargetMode="External"/><Relationship Id="rId421" Type="http://schemas.openxmlformats.org/officeDocument/2006/relationships/hyperlink" Target="https://www.bitkom.org/sites/main/files/2026-09/bitkom-studienbericht-wirtschaftsschutz-2026.pdf" TargetMode="External"/><Relationship Id="rId422" Type="http://schemas.openxmlformats.org/officeDocument/2006/relationships/hyperlink" Target="https://www.bitkom.org/sites/main/files/2026-09/bitkom-studienbericht-wirtschaftsschutz-2026.pdf" TargetMode="External"/><Relationship Id="rId423" Type="http://schemas.openxmlformats.org/officeDocument/2006/relationships/hyperlink" Target="https://www.bitkom.org/sites/main/files/2026-09/bitkom-studienbericht-wirtschaftsschutz-2026.pdf" TargetMode="External"/><Relationship Id="rId424" Type="http://schemas.openxmlformats.org/officeDocument/2006/relationships/hyperlink" Target="https://www.bitkom.org/sites/main/files/2026-09/bitkom-studienbericht-wirtschaftsschutz-2026.pdf" TargetMode="External"/><Relationship Id="rId425" Type="http://schemas.openxmlformats.org/officeDocument/2006/relationships/hyperlink" Target="https://www.bsi.bund.de/DE/Das-BSI/Auftrag/BSI-Kurzprofil/kurzprofil_node.html" TargetMode="External"/><Relationship Id="rId426" Type="http://schemas.openxmlformats.org/officeDocument/2006/relationships/hyperlink" Target="https://www.cbi.eu/market-information/outsourcing-itobpo/cybersecurity/market-potential" TargetMode="External"/><Relationship Id="rId427" Type="http://schemas.openxmlformats.org/officeDocument/2006/relationships/hyperlink" Target="https://it-sicherheit.de/wp-content/uploads/2024/09/Deloitte_Studie_Cybersecurity_im_Mittelstand.pdf" TargetMode="External"/><Relationship Id="rId428" Type="http://schemas.openxmlformats.org/officeDocument/2006/relationships/hyperlink" Target="https://www.bundestag.de/dokumente/textarchiv/2025/kw38-de-inneres-1104014" TargetMode="External"/><Relationship Id="rId429" Type="http://schemas.openxmlformats.org/officeDocument/2006/relationships/hyperlink" Target="https://www.bundestag.de/dokumente/textarchiv/2025/kw38-de-inneres-1104014" TargetMode="External"/><Relationship Id="rId430" Type="http://schemas.openxmlformats.org/officeDocument/2006/relationships/hyperlink" Target="https://www.bundestag.de/dokumente/textarchiv/2025/kw48-de-inneres-1126080" TargetMode="External"/><Relationship Id="rId431" Type="http://schemas.openxmlformats.org/officeDocument/2006/relationships/hyperlink" Target="https://www.expertmarketresearch.com/de/reports/germany-cyber-security-market" TargetMode="External"/><Relationship Id="rId432" Type="http://schemas.openxmlformats.org/officeDocument/2006/relationships/hyperlink" Target="https://www.expertmarketresearch.com/de/reports/germany-cyber-security-market" TargetMode="External"/><Relationship Id="rId433" Type="http://schemas.openxmlformats.org/officeDocument/2006/relationships/hyperlink" Target="https://www.grandviewresearch.com/horizon/outlook/cyber-security-market/germany" TargetMode="External"/><Relationship Id="rId434" Type="http://schemas.openxmlformats.org/officeDocument/2006/relationships/hyperlink" Target="https://www.grandviewresearch.com/horizon/outlook/cyber-security-market/germany" TargetMode="External"/><Relationship Id="rId435" Type="http://schemas.openxmlformats.org/officeDocument/2006/relationships/hyperlink" Target="https://www.grandviewresearch.com/horizon/outlook/cyber-security-market/germany" TargetMode="External"/><Relationship Id="rId436" Type="http://schemas.openxmlformats.org/officeDocument/2006/relationships/hyperlink" Target="https://www.grandviewresearch.com/horizon/outlook/cyber-security-services-market/germany" TargetMode="External"/><Relationship Id="rId437" Type="http://schemas.openxmlformats.org/officeDocument/2006/relationships/hyperlink" Target="https://www.grandviewresearch.com/horizon/outlook/cyber-security-services-market/germany" TargetMode="External"/><Relationship Id="rId438" Type="http://schemas.openxmlformats.org/officeDocument/2006/relationships/hyperlink" Target="https://www.imarcgroup.com/germany-cybersecurity-market" TargetMode="External"/><Relationship Id="rId439" Type="http://schemas.openxmlformats.org/officeDocument/2006/relationships/hyperlink" Target="https://www.imarcgroup.com/germany-cybersecurity-market" TargetMode="External"/><Relationship Id="rId440" Type="http://schemas.openxmlformats.org/officeDocument/2006/relationships/hyperlink" Target="https://www.kenresearch.com/germany-cybersecurity-and-cloud-security-market" TargetMode="External"/><Relationship Id="rId441" Type="http://schemas.openxmlformats.org/officeDocument/2006/relationships/hyperlink" Target="https://www.kenresearch.com/germany-cybersecurity-and-cloud-security-market" TargetMode="External"/><Relationship Id="rId442" Type="http://schemas.openxmlformats.org/officeDocument/2006/relationships/hyperlink" Target="https://www.luenendonk.de/luenendonk-listen-2025-it-dienstleister-blicken-nach-durchwachsenem-jahr-2024-optimistisch-in-die-zukunft/" TargetMode="External"/><Relationship Id="rId443" Type="http://schemas.openxmlformats.org/officeDocument/2006/relationships/hyperlink" Target="https://www.marketresearchfuture.com/reports/germany-cybersecurity-market-46036" TargetMode="External"/><Relationship Id="rId444" Type="http://schemas.openxmlformats.org/officeDocument/2006/relationships/hyperlink" Target="https://www.marketresearchfuture.com/reports/germany-cybersecurity-market-46036" TargetMode="External"/><Relationship Id="rId445" Type="http://schemas.openxmlformats.org/officeDocument/2006/relationships/hyperlink" Target="https://www.marketsandmarkets.com/Market-Reports/germany-cybersecurity-market-91945586.html" TargetMode="External"/><Relationship Id="rId446" Type="http://schemas.openxmlformats.org/officeDocument/2006/relationships/hyperlink" Target="https://www.marketsandmarkets.com/Market-Reports/germany-cybersecurity-market-91945586.html" TargetMode="External"/><Relationship Id="rId447" Type="http://schemas.openxmlformats.org/officeDocument/2006/relationships/hyperlink" Target="https://www.marketsandmarkets.com/Market-Reports/germany-cybersecurity-market-91945586.html" TargetMode="External"/><Relationship Id="rId448" Type="http://schemas.openxmlformats.org/officeDocument/2006/relationships/hyperlink" Target="https://www.marketsandmarkets.com/Market-Reports/geography/cyber-security-market/germany" TargetMode="External"/><Relationship Id="rId449" Type="http://schemas.openxmlformats.org/officeDocument/2006/relationships/hyperlink" Target="https://www.marketsandmarkets.com/Market-Reports/geography/cyber-security-market/germany" TargetMode="External"/><Relationship Id="rId450" Type="http://schemas.openxmlformats.org/officeDocument/2006/relationships/hyperlink" Target="https://www.marketsandmarkets.com/Market-Reports/geography/government-public-sector-cybersecurity-market/Germany" TargetMode="External"/><Relationship Id="rId451" Type="http://schemas.openxmlformats.org/officeDocument/2006/relationships/hyperlink" Target="https://www.marketsandmarkets.com/Market-Reports/geography/government-public-sector-cybersecurity-market/Germany" TargetMode="External"/><Relationship Id="rId452" Type="http://schemas.openxmlformats.org/officeDocument/2006/relationships/hyperlink" Target="https://static.messe-essen-digitalmedia.de/uploads/E302/presstexts/3_marktdaten.pdf" TargetMode="External"/><Relationship Id="rId453" Type="http://schemas.openxmlformats.org/officeDocument/2006/relationships/hyperlink" Target="https://www.mordorintelligence.com/de/industry-reports/germany-cybersecurity-market" TargetMode="External"/><Relationship Id="rId454" Type="http://schemas.openxmlformats.org/officeDocument/2006/relationships/hyperlink" Target="https://www.mordorintelligence.com/de/industry-reports/germany-cybersecurity-market" TargetMode="External"/><Relationship Id="rId455" Type="http://schemas.openxmlformats.org/officeDocument/2006/relationships/hyperlink" Target="https://www.mordorintelligence.com/de/industry-reports/germany-cybersecurity-market" TargetMode="External"/><Relationship Id="rId456" Type="http://schemas.openxmlformats.org/officeDocument/2006/relationships/hyperlink" Target="https://www.mordorintelligence.com/de/industry-reports/germany-cybersecurity-market" TargetMode="External"/><Relationship Id="rId457" Type="http://schemas.openxmlformats.org/officeDocument/2006/relationships/hyperlink" Target="https://www.europarl.europa.eu/RegData/etudes/BRIE/2025/772881/EPRS_BRI(2025)772881_EN.pdf" TargetMode="External"/><Relationship Id="rId458" Type="http://schemas.openxmlformats.org/officeDocument/2006/relationships/hyperlink" Target="https://de.statista.com/infografik/36097/geschaetzter-weltweiter-umsatz-mit-cyber-security/" TargetMode="External"/><Relationship Id="rId459" Type="http://schemas.openxmlformats.org/officeDocument/2006/relationships/hyperlink" Target="https://www.wifor.com/uploads/2019/08/it-sicherheitsmarkt-in-deutschland-studie-2019.pdf" TargetMode="External"/><Relationship Id="rId460" Type="http://schemas.openxmlformats.org/officeDocument/2006/relationships/hyperlink" Target="https://www.wifor.com/uploads/2019/08/it-sicherheitsmarkt-in-deutschland-studie-2019.pdf" TargetMode="External"/><Relationship Id="rId461" Type="http://schemas.openxmlformats.org/officeDocument/2006/relationships/hyperlink" Target="https://www.wifor.com/uploads/2019/08/it-sicherheitsmarkt-in-deutschland-studie-2019.pdf" TargetMode="External"/><Relationship Id="rId462" Type="http://schemas.openxmlformats.org/officeDocument/2006/relationships/hyperlink" Target="https://www.wifor.com/uploads/2019/08/it-sicherheitsmarkt-in-deutschland-studie-2019.pdf" TargetMode="External"/><Relationship Id="rId463" Type="http://schemas.openxmlformats.org/officeDocument/2006/relationships/hyperlink" Target="https://www.wifor.com/uploads/2019/08/it-sicherheitsmarkt-in-deutschland-studie-2019.pdf" TargetMode="External"/><Relationship Id="rId464" Type="http://schemas.openxmlformats.org/officeDocument/2006/relationships/hyperlink" Target="https://www.idealholdings.gr/media/cgub5m1l/ideal-holdings_morgan-stanley-athex-greek-investment-conference-dec-25.pdf" TargetMode="External"/><Relationship Id="rId465" Type="http://schemas.openxmlformats.org/officeDocument/2006/relationships/hyperlink" Target="https://www.idealholdings.gr/media/cgub5m1l/ideal-holdings_morgan-stanley-athex-greek-investment-conference-dec-25.pdf" TargetMode="External"/><Relationship Id="rId466" Type="http://schemas.openxmlformats.org/officeDocument/2006/relationships/hyperlink" Target="https://www.mordorintelligence.com/industry-reports/greece-cybersecurity-market" TargetMode="External"/><Relationship Id="rId467" Type="http://schemas.openxmlformats.org/officeDocument/2006/relationships/hyperlink" Target="https://www.mordorintelligence.com/industry-reports/greece-cybersecurity-market" TargetMode="External"/><Relationship Id="rId468" Type="http://schemas.openxmlformats.org/officeDocument/2006/relationships/hyperlink" Target="https://www.mordorintelligence.com/industry-reports/greece-cybersecurity-market" TargetMode="External"/><Relationship Id="rId469" Type="http://schemas.openxmlformats.org/officeDocument/2006/relationships/hyperlink" Target="https://www.mordorintelligence.com/industry-reports/greece-cybersecurity-market" TargetMode="External"/><Relationship Id="rId470" Type="http://schemas.openxmlformats.org/officeDocument/2006/relationships/hyperlink" Target="https://www.mordorintelligence.com/industry-reports/greece-cybersecurity-market" TargetMode="External"/><Relationship Id="rId471" Type="http://schemas.openxmlformats.org/officeDocument/2006/relationships/hyperlink" Target="https://www.mordorintelligence.com/industry-reports/greece-cybersecurity-market" TargetMode="External"/><Relationship Id="rId472" Type="http://schemas.openxmlformats.org/officeDocument/2006/relationships/hyperlink" Target="https://www.newmoney.gr/roh/palmos-oikonomias/epixeiriseis/prooptiki-gia-tziro-e-34-dis-se-pliroforiki-ke-kivernoasfalia-stin-ellada-eos-to-2029-grafima/" TargetMode="External"/><Relationship Id="rId473" Type="http://schemas.openxmlformats.org/officeDocument/2006/relationships/hyperlink" Target="https://www.ot.gr/2025/06/23/epixeiriseis/kyvernoasfaleia-oi-xakers-kratoun-ksagrypnes-tis-ellinikes-etaireies-oi-amynes-pou-stinoun/" TargetMode="External"/><Relationship Id="rId474" Type="http://schemas.openxmlformats.org/officeDocument/2006/relationships/hyperlink" Target="https://www.europarl.europa.eu/RegData/etudes/BRIE/2025/772881/EPRS_BRI(2025)772881_EN.pdf" TargetMode="External"/><Relationship Id="rId475" Type="http://schemas.openxmlformats.org/officeDocument/2006/relationships/hyperlink" Target="https://cyberireland.ie/wp-content/uploads/2022/05/State-of-the-Cyber-Security-Sector-in-Ireland-2022-Report.pdf" TargetMode="External"/><Relationship Id="rId476" Type="http://schemas.openxmlformats.org/officeDocument/2006/relationships/hyperlink" Target="https://cyberireland.ie/wp-content/uploads/2022/05/State-of-the-Cyber-Security-Sector-in-Ireland-2022-Report.pdf" TargetMode="External"/><Relationship Id="rId477" Type="http://schemas.openxmlformats.org/officeDocument/2006/relationships/hyperlink" Target="https://cyberireland.ie/wp-content/uploads/2022/05/State-of-the-Cyber-Security-Sector-in-Ireland-2022-Report.pdf" TargetMode="External"/><Relationship Id="rId478" Type="http://schemas.openxmlformats.org/officeDocument/2006/relationships/hyperlink" Target="https://cyberireland.ie/wp-content/uploads/2025/06/PE-All-Island-Cyber-Security-Sector-Research-Report-FINAL.pdf" TargetMode="External"/><Relationship Id="rId479" Type="http://schemas.openxmlformats.org/officeDocument/2006/relationships/hyperlink" Target="https://cyberireland.ie/wp-content/uploads/2025/06/PE-All-Island-Cyber-Security-Sector-Research-Report-FINAL.pdf" TargetMode="External"/><Relationship Id="rId480" Type="http://schemas.openxmlformats.org/officeDocument/2006/relationships/hyperlink" Target="https://www.gov.ie/en/department-of-justice-home-affairs-and-migration/press-releases/minister-jim-ocallaghan-secures-record-allocation-of-over-617-billion-for-the-justice-sector-in-budget-2026/" TargetMode="External"/><Relationship Id="rId481" Type="http://schemas.openxmlformats.org/officeDocument/2006/relationships/hyperlink" Target="https://assets.gov.ie/static/documents/72c5df9c/NDP_Sectoral_Investment_Plan-JusticeSector.pdf" TargetMode="External"/><Relationship Id="rId482" Type="http://schemas.openxmlformats.org/officeDocument/2006/relationships/hyperlink" Target="https://assets.gov.ie/static/documents/national-cyber-security-annual-update-2023.pdf" TargetMode="External"/><Relationship Id="rId483" Type="http://schemas.openxmlformats.org/officeDocument/2006/relationships/hyperlink" Target="https://assets.gov.ie/static/documents/national-cyber-security-annual-update-2023.pdf" TargetMode="External"/><Relationship Id="rId484" Type="http://schemas.openxmlformats.org/officeDocument/2006/relationships/hyperlink" Target="https://assets.gov.ie/static/documents/national-cyber-security-annual-update-2023.pdf" TargetMode="External"/><Relationship Id="rId485" Type="http://schemas.openxmlformats.org/officeDocument/2006/relationships/hyperlink" Target="https://assets.gov.ie/static/documents/national-cyber-security-annual-update-2023.pdf" TargetMode="External"/><Relationship Id="rId486" Type="http://schemas.openxmlformats.org/officeDocument/2006/relationships/hyperlink" Target="https://my.idc.com/getdoc.jsp?containerId=prEUR253305325" TargetMode="External"/><Relationship Id="rId487" Type="http://schemas.openxmlformats.org/officeDocument/2006/relationships/hyperlink" Target="https://www.audit.gov.ie/en/find-report/publications/2024/vote-29-environment-climate-and-communications.pdf" TargetMode="External"/><Relationship Id="rId488" Type="http://schemas.openxmlformats.org/officeDocument/2006/relationships/hyperlink" Target="https://www.audit.gov.ie/en/find-report/publications/2024/vote-29-environment-climate-and-communications.pdf" TargetMode="External"/><Relationship Id="rId489" Type="http://schemas.openxmlformats.org/officeDocument/2006/relationships/hyperlink" Target="https://www.audit.gov.ie/media/jxiaibps/24-vote-24-justice-home-affairs-and-migration.pdf" TargetMode="External"/><Relationship Id="rId490" Type="http://schemas.openxmlformats.org/officeDocument/2006/relationships/hyperlink" Target="https://www.audit.gov.ie/media/jxiaibps/24-vote-24-justice-home-affairs-and-migration.pdf" TargetMode="External"/><Relationship Id="rId491" Type="http://schemas.openxmlformats.org/officeDocument/2006/relationships/hyperlink" Target="https://www.researchandmarkets.com/reports/6072107/ireland-application-security-market-opportunity" TargetMode="External"/><Relationship Id="rId492" Type="http://schemas.openxmlformats.org/officeDocument/2006/relationships/hyperlink" Target="https://www.researchandmarkets.com/reports/6248575/ireland-application-security-market-opportunity" TargetMode="External"/><Relationship Id="rId493" Type="http://schemas.openxmlformats.org/officeDocument/2006/relationships/hyperlink" Target="https://www.researchandmarkets.com/reports/6248575/ireland-application-security-market-opportunity" TargetMode="External"/><Relationship Id="rId494" Type="http://schemas.openxmlformats.org/officeDocument/2006/relationships/hyperlink" Target="https://www.researchandmarkets.com/reports/6248575/ireland-application-security-market-opportunity" TargetMode="External"/><Relationship Id="rId495" Type="http://schemas.openxmlformats.org/officeDocument/2006/relationships/hyperlink" Target="https://www.techcentral.ie/cyber-security-industry-contributed-e1-2bn-to-economy-last-year-report/" TargetMode="External"/><Relationship Id="rId496" Type="http://schemas.openxmlformats.org/officeDocument/2006/relationships/hyperlink" Target="https://www.techcentral.ie/cyber-security-industry-contributed-e1-2bn-to-economy-last-year-report/" TargetMode="External"/><Relationship Id="rId497" Type="http://schemas.openxmlformats.org/officeDocument/2006/relationships/hyperlink" Target="https://www.acn.gov.it/portale/documents/d/guest/acn-bilancio-esercizio-2023" TargetMode="External"/><Relationship Id="rId498" Type="http://schemas.openxmlformats.org/officeDocument/2006/relationships/hyperlink" Target="https://www.acn.gov.it/portale/w/strategia-nazionale-di-cybersicurezza.-pubblicato-il-dpcm-per-la-ripartizione-dei-fondi-nel-triennio-2024-2026" TargetMode="External"/><Relationship Id="rId499" Type="http://schemas.openxmlformats.org/officeDocument/2006/relationships/hyperlink" Target="https://www.acn.gov.it/portale/documents/20119/446882/ACN_Relazione_2023.pdf" TargetMode="External"/><Relationship Id="rId500" Type="http://schemas.openxmlformats.org/officeDocument/2006/relationships/hyperlink" Target="https://www.acn.gov.it/portale/relazione-annuale-2023" TargetMode="External"/><Relationship Id="rId501" Type="http://schemas.openxmlformats.org/officeDocument/2006/relationships/hyperlink" Target="https://www.acn.gov.it/portale/documents/20119/56212/testo_Frattasi_review_final.pdf/21228528-4473-702f-375a-d8b18ad1bce5?t=1715606273341" TargetMode="External"/><Relationship Id="rId502" Type="http://schemas.openxmlformats.org/officeDocument/2006/relationships/hyperlink" Target="https://giurisprudenza.unimc.it/it/ricerca/dirittoapplicato/site-news/ACN_Strategia.pdf" TargetMode="External"/><Relationship Id="rId503" Type="http://schemas.openxmlformats.org/officeDocument/2006/relationships/hyperlink" Target="https://www.anitec-assinform.it/kdocs/1920845/il_digitale_in_italia_2018.pdf" TargetMode="External"/><Relationship Id="rId504" Type="http://schemas.openxmlformats.org/officeDocument/2006/relationships/hyperlink" Target="https://www.anitec-assinform.it/kdocs/1920845/il_digitale_in_italia_2018.pdf" TargetMode="External"/><Relationship Id="rId505" Type="http://schemas.openxmlformats.org/officeDocument/2006/relationships/hyperlink" Target="https://www.anitec-assinform.it/kdocs/1920845/il_digitale_in_italia_2018.pdf" TargetMode="External"/><Relationship Id="rId506" Type="http://schemas.openxmlformats.org/officeDocument/2006/relationships/hyperlink" Target="https://www.anitec-assinform.it/kdocs/1962491/il_digitale_in_italia_2019.pdf" TargetMode="External"/><Relationship Id="rId507" Type="http://schemas.openxmlformats.org/officeDocument/2006/relationships/hyperlink" Target="https://www.anitec-assinform.it/kdocs/1962491/il_digitale_in_italia_2019.pdf" TargetMode="External"/><Relationship Id="rId508" Type="http://schemas.openxmlformats.org/officeDocument/2006/relationships/hyperlink" Target="https://www.anitec-assinform.it/kdocs/1962491/il_digitale_in_italia_2019.pdf" TargetMode="External"/><Relationship Id="rId509" Type="http://schemas.openxmlformats.org/officeDocument/2006/relationships/hyperlink" Target="https://www.anitec-assinform.it/kdocs/1981743/il_digitale_in_italia_2020_vol_i.pdf" TargetMode="External"/><Relationship Id="rId510" Type="http://schemas.openxmlformats.org/officeDocument/2006/relationships/hyperlink" Target="https://www.anitec-assinform.it/kdocs/1981743/il_digitale_in_italia_2020_vol_i.pdf" TargetMode="External"/><Relationship Id="rId511" Type="http://schemas.openxmlformats.org/officeDocument/2006/relationships/hyperlink" Target="https://www.anitec-assinform.it/kdocs/1981743/il_digitale_in_italia_2020_vol_i.pdf" TargetMode="External"/><Relationship Id="rId512" Type="http://schemas.openxmlformats.org/officeDocument/2006/relationships/hyperlink" Target="https://www.anitec-assinform.it/kdocs/1981743/il_digitale_in_italia_2020_vol_i.pdf" TargetMode="External"/><Relationship Id="rId513" Type="http://schemas.openxmlformats.org/officeDocument/2006/relationships/hyperlink" Target="https://www.anitec-assinform.it/kdocs/1981743/il_digitale_in_italia_2020_vol_i.pdf" TargetMode="External"/><Relationship Id="rId514" Type="http://schemas.openxmlformats.org/officeDocument/2006/relationships/hyperlink" Target="https://www.anitec-assinform.it/kdocs/2013003/il_digitale_in_italia_2021.pdf" TargetMode="External"/><Relationship Id="rId515" Type="http://schemas.openxmlformats.org/officeDocument/2006/relationships/hyperlink" Target="https://www.anitec-assinform.it/kdocs/2065198/il_digitale_in_italia_-_vol_2.pdf" TargetMode="External"/><Relationship Id="rId516" Type="http://schemas.openxmlformats.org/officeDocument/2006/relationships/hyperlink" Target="https://www.anitec-assinform.it/kdocs/2065198/il_digitale_in_italia_-_vol_2.pdf" TargetMode="External"/><Relationship Id="rId517" Type="http://schemas.openxmlformats.org/officeDocument/2006/relationships/hyperlink" Target="https://www.anitec-assinform.it/kdocs/2065198/il_digitale_in_italia_-_vol_2.pdf" TargetMode="External"/><Relationship Id="rId518" Type="http://schemas.openxmlformats.org/officeDocument/2006/relationships/hyperlink" Target="https://www.anitec-assinform.it/kdocs/2091849/il_digitale_in_italia_2023_v3.pdf" TargetMode="External"/><Relationship Id="rId519" Type="http://schemas.openxmlformats.org/officeDocument/2006/relationships/hyperlink" Target="https://www.anitec-assinform.it/kdocs/2091849/il_digitale_in_italia_2023_v3.pdf" TargetMode="External"/><Relationship Id="rId520" Type="http://schemas.openxmlformats.org/officeDocument/2006/relationships/hyperlink" Target="https://www.anitec-assinform.it/kdocs/2091849/il_digitale_in_italia_2023_v3.pdf" TargetMode="External"/><Relationship Id="rId521" Type="http://schemas.openxmlformats.org/officeDocument/2006/relationships/hyperlink" Target="https://www.anitec-assinform.it/kdocs/2091849/il_digitale_in_italia_2023_v3.pdf" TargetMode="External"/><Relationship Id="rId522" Type="http://schemas.openxmlformats.org/officeDocument/2006/relationships/hyperlink" Target="https://www.anitec-assinform.it/kdocs/2091849/il_digitale_in_italia_2023_v3.pdf" TargetMode="External"/><Relationship Id="rId523" Type="http://schemas.openxmlformats.org/officeDocument/2006/relationships/hyperlink" Target="https://www.anitec-assinform.it/kdocs/2091849/il_digitale_in_italia_2023_v3.pdf" TargetMode="External"/><Relationship Id="rId524" Type="http://schemas.openxmlformats.org/officeDocument/2006/relationships/hyperlink" Target="https://www.anitec-assinform.it/kdocs/2091849/il_digitale_in_italia_2023_v3.pdf" TargetMode="External"/><Relationship Id="rId525" Type="http://schemas.openxmlformats.org/officeDocument/2006/relationships/hyperlink" Target="https://www.anitec-assinform.it/kdocs/2091849/il_digitale_in_italia_2023_v3.pdf" TargetMode="External"/><Relationship Id="rId526" Type="http://schemas.openxmlformats.org/officeDocument/2006/relationships/hyperlink" Target="https://www.anitec-assinform.it/kdocs/2091849/il_digitale_in_italia_2023_v3.pdf" TargetMode="External"/><Relationship Id="rId527" Type="http://schemas.openxmlformats.org/officeDocument/2006/relationships/hyperlink" Target="https://www.anitec-assinform.it/kdocs/2091849/il_digitale_in_italia_2023_v3.pdf" TargetMode="External"/><Relationship Id="rId528" Type="http://schemas.openxmlformats.org/officeDocument/2006/relationships/hyperlink" Target="https://www.anitec-assinform.it/kdocs/2091849/il_digitale_in_italia_2023_v3.pdf" TargetMode="External"/><Relationship Id="rId529" Type="http://schemas.openxmlformats.org/officeDocument/2006/relationships/hyperlink" Target="https://www.anitec-assinform.it/kdocs/2091849/il_digitale_in_italia_2023_v3.pdf" TargetMode="External"/><Relationship Id="rId530" Type="http://schemas.openxmlformats.org/officeDocument/2006/relationships/hyperlink" Target="https://www.anitec-assinform.it/kdocs/2146137/il_digitale_in_italia_2024.pdf" TargetMode="External"/><Relationship Id="rId531" Type="http://schemas.openxmlformats.org/officeDocument/2006/relationships/hyperlink" Target="https://www.anitec-assinform.it/kdocs/2146137/il_digitale_in_italia_2024.pdf" TargetMode="External"/><Relationship Id="rId532" Type="http://schemas.openxmlformats.org/officeDocument/2006/relationships/hyperlink" Target="https://www.anitec-assinform.it/kdocs/2146137/il_digitale_in_italia_2024.pdf" TargetMode="External"/><Relationship Id="rId533" Type="http://schemas.openxmlformats.org/officeDocument/2006/relationships/hyperlink" Target="https://www.anitec-assinform.it/kdocs/2146137/il_digitale_in_italia_2024.pdf" TargetMode="External"/><Relationship Id="rId534" Type="http://schemas.openxmlformats.org/officeDocument/2006/relationships/hyperlink" Target="https://www.anitec-assinform.it/kdocs/2146137/il_digitale_in_italia_2024.pdf" TargetMode="External"/><Relationship Id="rId535" Type="http://schemas.openxmlformats.org/officeDocument/2006/relationships/hyperlink" Target="https://www.anitec-assinform.it/kdocs/2146137/il_digitale_in_italia_2024.pdf" TargetMode="External"/><Relationship Id="rId536" Type="http://schemas.openxmlformats.org/officeDocument/2006/relationships/hyperlink" Target="https://www.anitec-assinform.it/kdocs/2146137/il_digitale_in_italia_2024.pdf" TargetMode="External"/><Relationship Id="rId537" Type="http://schemas.openxmlformats.org/officeDocument/2006/relationships/hyperlink" Target="https://www.anitec-assinform.it/kdocs/2146137/il_digitale_in_italia_2024.pdf" TargetMode="External"/><Relationship Id="rId538" Type="http://schemas.openxmlformats.org/officeDocument/2006/relationships/hyperlink" Target="https://www.anitec-assinform.it/kdocs/2146137/il_digitale_in_italia_2024.pdf" TargetMode="External"/><Relationship Id="rId539" Type="http://schemas.openxmlformats.org/officeDocument/2006/relationships/hyperlink" Target="https://www.anitec-assinform.it/kdocs/2146137/il_digitale_in_italia_2024.pdf" TargetMode="External"/><Relationship Id="rId540" Type="http://schemas.openxmlformats.org/officeDocument/2006/relationships/hyperlink" Target="https://www.anitec-assinform.it/kdocs/2146137/il_digitale_in_italia_2024.pdf" TargetMode="External"/><Relationship Id="rId541" Type="http://schemas.openxmlformats.org/officeDocument/2006/relationships/hyperlink" Target="https://www.anitec-assinform.it/kdocs/2146137/il_digitale_in_italia_2024.pdf" TargetMode="External"/><Relationship Id="rId542" Type="http://schemas.openxmlformats.org/officeDocument/2006/relationships/hyperlink" Target="https://www.anitec-assinform.it/kdocs/2146137/il_digitale_in_italia_2024.pdf" TargetMode="External"/><Relationship Id="rId543" Type="http://schemas.openxmlformats.org/officeDocument/2006/relationships/hyperlink" Target="https://www.anitec-assinform.it/kdocs/2146137/il_digitale_in_italia_2024.pdf" TargetMode="External"/><Relationship Id="rId544" Type="http://schemas.openxmlformats.org/officeDocument/2006/relationships/hyperlink" Target="https://www.anitec-assinform.it/kdocs/2146137/il_digitale_in_italia_2024.pdf" TargetMode="External"/><Relationship Id="rId545" Type="http://schemas.openxmlformats.org/officeDocument/2006/relationships/hyperlink" Target="https://www.anitec-assinform.it/kdocs/2146137/il_digitale_in_italia_2024.pdf" TargetMode="External"/><Relationship Id="rId546" Type="http://schemas.openxmlformats.org/officeDocument/2006/relationships/hyperlink" Target="https://www.anitec-assinform.it/kdocs/2146137/il_digitale_in_italia_2024.pdf" TargetMode="External"/><Relationship Id="rId547" Type="http://schemas.openxmlformats.org/officeDocument/2006/relationships/hyperlink" Target="https://lentepubblica.it/wp-content/uploads/2025/07/ANITEC-ASSINFORM_il_digitale_in_italia_2025_v5-compresso.pdf" TargetMode="External"/><Relationship Id="rId548" Type="http://schemas.openxmlformats.org/officeDocument/2006/relationships/hyperlink" Target="https://lentepubblica.it/wp-content/uploads/2025/07/ANITEC-ASSINFORM_il_digitale_in_italia_2025_v5-compresso.pdf" TargetMode="External"/><Relationship Id="rId549" Type="http://schemas.openxmlformats.org/officeDocument/2006/relationships/hyperlink" Target="https://lentepubblica.it/wp-content/uploads/2025/07/ANITEC-ASSINFORM_il_digitale_in_italia_2025_v5-compresso.pdf" TargetMode="External"/><Relationship Id="rId550" Type="http://schemas.openxmlformats.org/officeDocument/2006/relationships/hyperlink" Target="https://lentepubblica.it/wp-content/uploads/2025/07/ANITEC-ASSINFORM_il_digitale_in_italia_2025_v5-compresso.pdf" TargetMode="External"/><Relationship Id="rId551" Type="http://schemas.openxmlformats.org/officeDocument/2006/relationships/hyperlink" Target="https://lentepubblica.it/wp-content/uploads/2025/07/ANITEC-ASSINFORM_il_digitale_in_italia_2025_v5-compresso.pdf" TargetMode="External"/><Relationship Id="rId552" Type="http://schemas.openxmlformats.org/officeDocument/2006/relationships/hyperlink" Target="https://lentepubblica.it/wp-content/uploads/2025/07/ANITEC-ASSINFORM_il_digitale_in_italia_2025_v5-compresso.pdf" TargetMode="External"/><Relationship Id="rId553" Type="http://schemas.openxmlformats.org/officeDocument/2006/relationships/hyperlink" Target="https://lentepubblica.it/wp-content/uploads/2025/07/ANITEC-ASSINFORM_il_digitale_in_italia_2025_v5-compresso.pdf" TargetMode="External"/><Relationship Id="rId554" Type="http://schemas.openxmlformats.org/officeDocument/2006/relationships/hyperlink" Target="https://lentepubblica.it/wp-content/uploads/2025/07/ANITEC-ASSINFORM_il_digitale_in_italia_2025_v5-compresso.pdf" TargetMode="External"/><Relationship Id="rId555" Type="http://schemas.openxmlformats.org/officeDocument/2006/relationships/hyperlink" Target="https://lentepubblica.it/wp-content/uploads/2025/07/ANITEC-ASSINFORM_il_digitale_in_italia_2025_v5-compresso.pdf" TargetMode="External"/><Relationship Id="rId556" Type="http://schemas.openxmlformats.org/officeDocument/2006/relationships/hyperlink" Target="https://www.anitec-assinform.it/media/comunicati-stampa/anitec-assinform-nel-2025-il-mercato-digitale-in-italia-raggiunge-84-4-miliardi-ecosistema-ict-con-oltre-132mila-imprese-e-piu-di-638mila-addetti.kl" TargetMode="External"/><Relationship Id="rId557" Type="http://schemas.openxmlformats.org/officeDocument/2006/relationships/hyperlink" Target="https://www.matricedigitale.it/wp-content/uploads/2026/07/Rapporto-Anitec-Assinform_Il-Digitale-in-Italia-2026.pdf" TargetMode="External"/><Relationship Id="rId558" Type="http://schemas.openxmlformats.org/officeDocument/2006/relationships/hyperlink" Target="https://www.matricedigitale.it/wp-content/uploads/2026/07/Rapporto-Anitec-Assinform_Il-Digitale-in-Italia-2026.pdf" TargetMode="External"/><Relationship Id="rId559" Type="http://schemas.openxmlformats.org/officeDocument/2006/relationships/hyperlink" Target="https://www.associazionecittadinanzadigitale.org/wp-content/uploads/2026/01/il_digitale_in_italia_2025-previsioni_v4.pdf" TargetMode="External"/><Relationship Id="rId560" Type="http://schemas.openxmlformats.org/officeDocument/2006/relationships/hyperlink" Target="https://www.associazionecittadinanzadigitale.org/wp-content/uploads/2026/01/il_digitale_in_italia_2025-previsioni_v4.pdf" TargetMode="External"/><Relationship Id="rId561" Type="http://schemas.openxmlformats.org/officeDocument/2006/relationships/hyperlink" Target="https://www.associazionecittadinanzadigitale.org/wp-content/uploads/2026/01/il_digitale_in_italia_2025-previsioni_v4.pdf" TargetMode="External"/><Relationship Id="rId562" Type="http://schemas.openxmlformats.org/officeDocument/2006/relationships/hyperlink" Target="https://www.associazionecittadinanzadigitale.org/wp-content/uploads/2026/01/il_digitale_in_italia_2025-previsioni_v4.pdf" TargetMode="External"/><Relationship Id="rId563" Type="http://schemas.openxmlformats.org/officeDocument/2006/relationships/hyperlink" Target="https://www.bancaditalia.it/pubblicazioni/mercati-infrastrutture-e-sistemi-di-pagamento/approfondimenti/2025-063/N.63-MISP.pdf" TargetMode="External"/><Relationship Id="rId564" Type="http://schemas.openxmlformats.org/officeDocument/2006/relationships/hyperlink" Target="https://www.bancaditalia.it/pubblicazioni/qef/2017-0407/index.html?com.dotmarketing.htmlpage.language=1" TargetMode="External"/><Relationship Id="rId565" Type="http://schemas.openxmlformats.org/officeDocument/2006/relationships/hyperlink" Target="https://www.bancaditalia.it/pubblicazioni/qef/2017-0407/index.html?com.dotmarketing.htmlpage.language=1" TargetMode="External"/><Relationship Id="rId566" Type="http://schemas.openxmlformats.org/officeDocument/2006/relationships/hyperlink" Target="https://www.bancaditalia.it/pubblicazioni/qef/2017-0407/index.html?com.dotmarketing.htmlpage.language=1" TargetMode="External"/><Relationship Id="rId567" Type="http://schemas.openxmlformats.org/officeDocument/2006/relationships/hyperlink" Target="https://www.bancaditalia.it/pubblicazioni/qef/2017-0407/index.html?com.dotmarketing.htmlpage.language=1" TargetMode="External"/><Relationship Id="rId568" Type="http://schemas.openxmlformats.org/officeDocument/2006/relationships/hyperlink" Target="https://www.gruppotim.it/content/dam/gt/centro-studi-tim/report-cybersecurity/cybersecurity%20made%20in%20italy_20230620.pdf" TargetMode="External"/><Relationship Id="rId569" Type="http://schemas.openxmlformats.org/officeDocument/2006/relationships/hyperlink" Target="https://www.gruppotim.it/content/dam/gt/centro-studi-tim/report-cybersecurity/cybersecurity%20made%20in%20italy_20230620.pdf" TargetMode="External"/><Relationship Id="rId570" Type="http://schemas.openxmlformats.org/officeDocument/2006/relationships/hyperlink" Target="https://www.cipa.it/rilevazioni/economiche/2023/index.html" TargetMode="External"/><Relationship Id="rId571" Type="http://schemas.openxmlformats.org/officeDocument/2006/relationships/hyperlink" Target="https://www.cipa.it/rilevazioni/economiche/2024/Rilevazione_economica_2024.pdf" TargetMode="External"/><Relationship Id="rId572" Type="http://schemas.openxmlformats.org/officeDocument/2006/relationships/hyperlink" Target="https://www.cipa.it/rilevazioni/economiche/2024/Rilevazione_economica_2024.pdf" TargetMode="External"/><Relationship Id="rId573" Type="http://schemas.openxmlformats.org/officeDocument/2006/relationships/hyperlink" Target="https://www.cipa.it/rilevazioni/economiche/2024/Rilevazione_economica_2024.pdf" TargetMode="External"/><Relationship Id="rId574" Type="http://schemas.openxmlformats.org/officeDocument/2006/relationships/hyperlink" Target="https://ofcs.report/wp-content/uploads/2019/03/Rapporto_Clusit_2019.pdf" TargetMode="External"/><Relationship Id="rId575" Type="http://schemas.openxmlformats.org/officeDocument/2006/relationships/hyperlink" Target="https://ofcs.report/wp-content/uploads/2019/03/Rapporto_Clusit_2019.pdf" TargetMode="External"/><Relationship Id="rId576" Type="http://schemas.openxmlformats.org/officeDocument/2006/relationships/hyperlink" Target="https://ofcs.report/wp-content/uploads/2019/03/Rapporto_Clusit_2019.pdf" TargetMode="External"/><Relationship Id="rId577" Type="http://schemas.openxmlformats.org/officeDocument/2006/relationships/hyperlink" Target="https://www.pmi.it/tecnologia/infrastrutture-it/490340/cyber-index-pmi-2025.html" TargetMode="External"/><Relationship Id="rId578" Type="http://schemas.openxmlformats.org/officeDocument/2006/relationships/hyperlink" Target="https://www.confindustria.an.it/documenti/2026/03_Marzo/CyberIndexPMI2025_ExecutiveSummary.pdf" TargetMode="External"/><Relationship Id="rId579" Type="http://schemas.openxmlformats.org/officeDocument/2006/relationships/hyperlink" Target="https://www.imarcgroup.com/europe-cybersecurity-market" TargetMode="External"/><Relationship Id="rId580" Type="http://schemas.openxmlformats.org/officeDocument/2006/relationships/hyperlink" Target="https://www.kenresearch.com/italy-cybersecurity-and-mssp-market" TargetMode="External"/><Relationship Id="rId581" Type="http://schemas.openxmlformats.org/officeDocument/2006/relationships/hyperlink" Target="https://www.kenresearch.com/italy-cybersecurity-and-mssp-market" TargetMode="External"/><Relationship Id="rId582" Type="http://schemas.openxmlformats.org/officeDocument/2006/relationships/hyperlink" Target="https://www.kenresearch.com/italy-cybersecurity-and-mssp-market" TargetMode="External"/><Relationship Id="rId583" Type="http://schemas.openxmlformats.org/officeDocument/2006/relationships/hyperlink" Target="https://www.kenresearch.com/italy-cybersecurity-and-mssp-market" TargetMode="External"/><Relationship Id="rId584" Type="http://schemas.openxmlformats.org/officeDocument/2006/relationships/hyperlink" Target="https://www.kenresearch.com/italy-cybersecurity-and-mssp-market" TargetMode="External"/><Relationship Id="rId585" Type="http://schemas.openxmlformats.org/officeDocument/2006/relationships/hyperlink" Target="https://www.kenresearch.com/italy-cybersecurity-and-mssp-market" TargetMode="External"/><Relationship Id="rId586" Type="http://schemas.openxmlformats.org/officeDocument/2006/relationships/hyperlink" Target="https://www.kenresearch.com/italy-cybersecurity-and-mssp-market" TargetMode="External"/><Relationship Id="rId587" Type="http://schemas.openxmlformats.org/officeDocument/2006/relationships/hyperlink" Target="https://www.kenresearch.com/italy-cybersecurity-and-mssp-market" TargetMode="External"/><Relationship Id="rId588" Type="http://schemas.openxmlformats.org/officeDocument/2006/relationships/hyperlink" Target="https://www.kenresearch.com/italy-cybersecurity-and-mssp-market" TargetMode="External"/><Relationship Id="rId589" Type="http://schemas.openxmlformats.org/officeDocument/2006/relationships/hyperlink" Target="https://www.kenresearch.com/italy-cybersecurity-and-mssp-market" TargetMode="External"/><Relationship Id="rId590" Type="http://schemas.openxmlformats.org/officeDocument/2006/relationships/hyperlink" Target="https://www.marketsandmarkets.com/Market-Reports/geography/cyber-security-market/italy" TargetMode="External"/><Relationship Id="rId591" Type="http://schemas.openxmlformats.org/officeDocument/2006/relationships/hyperlink" Target="https://www.marketsandmarkets.com/Market-Reports/geography/cyber-security-market/italy" TargetMode="External"/><Relationship Id="rId592" Type="http://schemas.openxmlformats.org/officeDocument/2006/relationships/hyperlink" Target="https://www.mordorintelligence.com/fr/industry-reports/italy-cybersecurity-market/market-size" TargetMode="External"/><Relationship Id="rId593" Type="http://schemas.openxmlformats.org/officeDocument/2006/relationships/hyperlink" Target="https://www.mordorintelligence.com/fr/industry-reports/italy-cybersecurity-market/market-size" TargetMode="External"/><Relationship Id="rId594" Type="http://schemas.openxmlformats.org/officeDocument/2006/relationships/hyperlink" Target="https://www.mordorintelligence.com/industry-reports/italy-cybersecurity-market" TargetMode="External"/><Relationship Id="rId595" Type="http://schemas.openxmlformats.org/officeDocument/2006/relationships/hyperlink" Target="https://www.mordorintelligence.com/industry-reports/italy-cybersecurity-market" TargetMode="External"/><Relationship Id="rId596" Type="http://schemas.openxmlformats.org/officeDocument/2006/relationships/hyperlink" Target="https://www.mordorintelligence.com/industry-reports/italy-cybersecurity-market" TargetMode="External"/><Relationship Id="rId597" Type="http://schemas.openxmlformats.org/officeDocument/2006/relationships/hyperlink" Target="https://www.mordorintelligence.com/industry-reports/italy-cybersecurity-market" TargetMode="External"/><Relationship Id="rId598" Type="http://schemas.openxmlformats.org/officeDocument/2006/relationships/hyperlink" Target="https://inno3.it/2021/12/20/barometro-cyber-cybersecurity-le-aziende-adottano-resiliency-plan/" TargetMode="External"/><Relationship Id="rId599" Type="http://schemas.openxmlformats.org/officeDocument/2006/relationships/hyperlink" Target="https://www.osservatori.net/comunicato/cybersecurity-data-protection/gdpr-e-security-un-percorso-impervio-a-trazione-integrale/" TargetMode="External"/><Relationship Id="rId600" Type="http://schemas.openxmlformats.org/officeDocument/2006/relationships/hyperlink" Target="https://www.osservatori.net/comunicato/cybersecurity-data-protection/gdpr-e-security-un-percorso-impervio-a-trazione-integrale/" TargetMode="External"/><Relationship Id="rId601" Type="http://schemas.openxmlformats.org/officeDocument/2006/relationships/hyperlink" Target="https://www.osservatori.net/comunicato/cybersecurity-data-protection/gdpr-e-security-un-percorso-impervio-a-trazione-integrale/" TargetMode="External"/><Relationship Id="rId602" Type="http://schemas.openxmlformats.org/officeDocument/2006/relationships/hyperlink" Target="https://www.osservatori.net/comunicato/cybersecurity-data-protection/gdpr-e-security-un-percorso-impervio-a-trazione-integrale/" TargetMode="External"/><Relationship Id="rId603" Type="http://schemas.openxmlformats.org/officeDocument/2006/relationships/hyperlink" Target="https://www.osservatori.net/comunicato/cybersecurity-data-protection/information-cyber-security-e-privacy-aumentano-gli-investimenti/" TargetMode="External"/><Relationship Id="rId604" Type="http://schemas.openxmlformats.org/officeDocument/2006/relationships/hyperlink" Target="https://www.osservatori.net/comunicato/cybersecurity-data-protection/information-cyber-security-e-privacy-aumentano-gli-investimenti/" TargetMode="External"/><Relationship Id="rId605" Type="http://schemas.openxmlformats.org/officeDocument/2006/relationships/hyperlink" Target="https://www.osservatori.net/comunicato/cybersecurity-data-protection/information-cyber-security-e-privacy-aumentano-gli-investimenti/" TargetMode="External"/><Relationship Id="rId606" Type="http://schemas.openxmlformats.org/officeDocument/2006/relationships/hyperlink" Target="https://cyberoo.com/news/sicurezza-informatica-in-italia-ricerca-osservatorio-information-security-privacy/" TargetMode="External"/><Relationship Id="rId607" Type="http://schemas.openxmlformats.org/officeDocument/2006/relationships/hyperlink" Target="https://cyberoo.com/news/sicurezza-informatica-in-italia-ricerca-osservatorio-information-security-privacy/" TargetMode="External"/><Relationship Id="rId608" Type="http://schemas.openxmlformats.org/officeDocument/2006/relationships/hyperlink" Target="https://www.ipresslive.it/it/ipress/comunicati/view/47361/" TargetMode="External"/><Relationship Id="rId609" Type="http://schemas.openxmlformats.org/officeDocument/2006/relationships/hyperlink" Target="https://www.ipresslive.it/it/ipress/comunicati/view/47361/" TargetMode="External"/><Relationship Id="rId610" Type="http://schemas.openxmlformats.org/officeDocument/2006/relationships/hyperlink" Target="https://www.ipresslive.it/it/ipress/comunicati/view/47361/" TargetMode="External"/><Relationship Id="rId611" Type="http://schemas.openxmlformats.org/officeDocument/2006/relationships/hyperlink" Target="https://www.ipresslive.it/it/ipress/comunicati/view/47361/" TargetMode="External"/><Relationship Id="rId612" Type="http://schemas.openxmlformats.org/officeDocument/2006/relationships/hyperlink" Target="https://www.ipresslive.it/it/ipress/comunicati/view/47361/" TargetMode="External"/><Relationship Id="rId613" Type="http://schemas.openxmlformats.org/officeDocument/2006/relationships/hyperlink" Target="https://www.ipresslive.it/it/ipress/comunicati/view/47361/" TargetMode="External"/><Relationship Id="rId614" Type="http://schemas.openxmlformats.org/officeDocument/2006/relationships/hyperlink" Target="https://officeautomation.soiel.it/cybersecurity-aumentano-le-minacce-ma-anche-gli-investimenti/" TargetMode="External"/><Relationship Id="rId615" Type="http://schemas.openxmlformats.org/officeDocument/2006/relationships/hyperlink" Target="https://officeautomation.soiel.it/cybersecurity-aumentano-le-minacce-ma-anche-gli-investimenti/" TargetMode="External"/><Relationship Id="rId616" Type="http://schemas.openxmlformats.org/officeDocument/2006/relationships/hyperlink" Target="https://officeautomation.soiel.it/cybersecurity-aumentano-le-minacce-ma-anche-gli-investimenti/" TargetMode="External"/><Relationship Id="rId617" Type="http://schemas.openxmlformats.org/officeDocument/2006/relationships/hyperlink" Target="https://officeautomation.soiel.it/cybersecurity-aumentano-le-minacce-ma-anche-gli-investimenti/" TargetMode="External"/><Relationship Id="rId618" Type="http://schemas.openxmlformats.org/officeDocument/2006/relationships/hyperlink" Target="https://officeautomation.soiel.it/cybersecurity-aumentano-le-minacce-ma-anche-gli-investimenti/" TargetMode="External"/><Relationship Id="rId619" Type="http://schemas.openxmlformats.org/officeDocument/2006/relationships/hyperlink" Target="https://finanza.lastampa.it/News/2023/02/23/cybersecurity-aumentano-gli-attacchi-informatici-danni-tangibili-per-1-impresa-su-7/OTdfMjAyMy0wMi0yM19UTEI" TargetMode="External"/><Relationship Id="rId620" Type="http://schemas.openxmlformats.org/officeDocument/2006/relationships/hyperlink" Target="https://finanza.lastampa.it/News/2023/02/23/cybersecurity-aumentano-gli-attacchi-informatici-danni-tangibili-per-1-impresa-su-7/OTdfMjAyMy0wMi0yM19UTEI" TargetMode="External"/><Relationship Id="rId621" Type="http://schemas.openxmlformats.org/officeDocument/2006/relationships/hyperlink" Target="https://finanza.lastampa.it/News/2023/02/23/cybersecurity-aumentano-gli-attacchi-informatici-danni-tangibili-per-1-impresa-su-7/OTdfMjAyMy0wMi0yM19UTEI" TargetMode="External"/><Relationship Id="rId622" Type="http://schemas.openxmlformats.org/officeDocument/2006/relationships/hyperlink" Target="https://finanza.lastampa.it/News/2023/02/23/cybersecurity-aumentano-gli-attacchi-informatici-danni-tangibili-per-1-impresa-su-7/OTdfMjAyMy0wMi0yM19UTEI" TargetMode="External"/><Relationship Id="rId623" Type="http://schemas.openxmlformats.org/officeDocument/2006/relationships/hyperlink" Target="https://finanza.lastampa.it/News/2023/02/23/cybersecurity-aumentano-gli-attacchi-informatici-danni-tangibili-per-1-impresa-su-7/OTdfMjAyMy0wMi0yM19UTEI" TargetMode="External"/><Relationship Id="rId624" Type="http://schemas.openxmlformats.org/officeDocument/2006/relationships/hyperlink" Target="https://finanza.lastampa.it/News/2023/02/23/cybersecurity-aumentano-gli-attacchi-informatici-danni-tangibili-per-1-impresa-su-7/OTdfMjAyMy0wMi0yM19UTEI" TargetMode="External"/><Relationship Id="rId625" Type="http://schemas.openxmlformats.org/officeDocument/2006/relationships/hyperlink" Target="https://finanza.lastampa.it/News/2023/02/23/cybersecurity-aumentano-gli-attacchi-informatici-danni-tangibili-per-1-impresa-su-7/OTdfMjAyMy0wMi0yM19UTEI" TargetMode="External"/><Relationship Id="rId626" Type="http://schemas.openxmlformats.org/officeDocument/2006/relationships/hyperlink" Target="https://www.osservatori.net/comunicato/cybersecurity-data-protection/cybersecurity-italia-mercato-crescita-2023/" TargetMode="External"/><Relationship Id="rId627" Type="http://schemas.openxmlformats.org/officeDocument/2006/relationships/hyperlink" Target="https://www.osservatori.net/comunicato/cybersecurity-data-protection/cybersecurity-italia-mercato-crescita-2023/" TargetMode="External"/><Relationship Id="rId628" Type="http://schemas.openxmlformats.org/officeDocument/2006/relationships/hyperlink" Target="https://www.osservatori.net/comunicato/cybersecurity-data-protection/cybersecurity-italia-mercato-crescita-2023/" TargetMode="External"/><Relationship Id="rId629" Type="http://schemas.openxmlformats.org/officeDocument/2006/relationships/hyperlink" Target="https://www.esteri.it/wp-content/uploads/2025/05/cyber_sp.pdf" TargetMode="External"/><Relationship Id="rId630" Type="http://schemas.openxmlformats.org/officeDocument/2006/relationships/hyperlink" Target="https://www.esteri.it/wp-content/uploads/2025/05/cyber_sp.pdf" TargetMode="External"/><Relationship Id="rId631" Type="http://schemas.openxmlformats.org/officeDocument/2006/relationships/hyperlink" Target="https://www.esteri.it/wp-content/uploads/2025/05/cyber_sp.pdf" TargetMode="External"/><Relationship Id="rId632" Type="http://schemas.openxmlformats.org/officeDocument/2006/relationships/hyperlink" Target="https://www.esteri.it/wp-content/uploads/2025/05/cyber_sp.pdf" TargetMode="External"/><Relationship Id="rId633" Type="http://schemas.openxmlformats.org/officeDocument/2006/relationships/hyperlink" Target="https://finanza.repubblica.it/News/2025/02/27/cresce_il_mercato_della_cybersecurity_2_48_miliardi_di_euro_+15percento-45/" TargetMode="External"/><Relationship Id="rId634" Type="http://schemas.openxmlformats.org/officeDocument/2006/relationships/hyperlink" Target="https://finanza.repubblica.it/News/2025/02/27/cresce_il_mercato_della_cybersecurity_2_48_miliardi_di_euro_+15percento-45/" TargetMode="External"/><Relationship Id="rId635" Type="http://schemas.openxmlformats.org/officeDocument/2006/relationships/hyperlink" Target="https://finanza.repubblica.it/News/2025/02/27/cresce_il_mercato_della_cybersecurity_2_48_miliardi_di_euro_+15percento-45/" TargetMode="External"/><Relationship Id="rId636" Type="http://schemas.openxmlformats.org/officeDocument/2006/relationships/hyperlink" Target="https://www.esteri.it/wp-content/uploads/2025/05/cyber_sp.pdf" TargetMode="External"/><Relationship Id="rId637" Type="http://schemas.openxmlformats.org/officeDocument/2006/relationships/hyperlink" Target="https://finanza.repubblica.it/News/2025/02/27/cresce_il_mercato_della_cybersecurity_2_48_miliardi_di_euro_+15percento-45/" TargetMode="External"/><Relationship Id="rId638" Type="http://schemas.openxmlformats.org/officeDocument/2006/relationships/hyperlink" Target="https://www.cybersecurity360.it/news/il-mercato-della-cyber-security-cresce-del-15-ma-le-minacce-crescono-di-piu/" TargetMode="External"/><Relationship Id="rId639" Type="http://schemas.openxmlformats.org/officeDocument/2006/relationships/hyperlink" Target="https://www.cybersecurity360.it/news/il-mercato-della-cyber-security-cresce-del-15-ma-le-minacce-crescono-di-piu/" TargetMode="External"/><Relationship Id="rId640" Type="http://schemas.openxmlformats.org/officeDocument/2006/relationships/hyperlink" Target="https://www.cybersecurity360.it/news/il-mercato-della-cyber-security-cresce-del-15-ma-le-minacce-crescono-di-piu/" TargetMode="External"/><Relationship Id="rId641" Type="http://schemas.openxmlformats.org/officeDocument/2006/relationships/hyperlink" Target="https://www.esteri.it/wp-content/uploads/2025/05/cyber_sp.pdf" TargetMode="External"/><Relationship Id="rId642" Type="http://schemas.openxmlformats.org/officeDocument/2006/relationships/hyperlink" Target="https://www.osservatori.net/comunicato/cybersecurity-data-protection/cybersecurity-italia-mercato-crescita/" TargetMode="External"/><Relationship Id="rId643" Type="http://schemas.openxmlformats.org/officeDocument/2006/relationships/hyperlink" Target="https://www.osservatori.net/comunicato/cybersecurity-data-protection/cybersecurity-italia-mercato-crescita/" TargetMode="External"/><Relationship Id="rId644" Type="http://schemas.openxmlformats.org/officeDocument/2006/relationships/hyperlink" Target="https://www.osservatori.net/comunicato/cybersecurity-data-protection/cybersecurity-italia-mercato-crescita/" TargetMode="External"/><Relationship Id="rId645" Type="http://schemas.openxmlformats.org/officeDocument/2006/relationships/hyperlink" Target="https://www.osservatori.net/comunicato/cybersecurity-data-protection/cybersecurity-italia-mercato-crescita/" TargetMode="External"/><Relationship Id="rId646" Type="http://schemas.openxmlformats.org/officeDocument/2006/relationships/hyperlink" Target="https://www.osservatori.net/comunicato/cybersecurity-data-protection/cybersecurity-italia-mercato-crescita/" TargetMode="External"/><Relationship Id="rId647" Type="http://schemas.openxmlformats.org/officeDocument/2006/relationships/hyperlink" Target="https://www.osservatori.net/comunicato/cybersecurity-data-protection/cybersecurity-italia-mercato-crescita/" TargetMode="External"/><Relationship Id="rId648" Type="http://schemas.openxmlformats.org/officeDocument/2006/relationships/hyperlink" Target="https://www.osservatori.net/comunicato/cybersecurity-data-protection/cybersecurity-italia-mercato-crescita/" TargetMode="External"/><Relationship Id="rId649" Type="http://schemas.openxmlformats.org/officeDocument/2006/relationships/hyperlink" Target="https://www.europarl.europa.eu/RegData/etudes/BRIE/2025/772881/EPRS_BRI(2025)772881_EN.pdf" TargetMode="External"/><Relationship Id="rId650" Type="http://schemas.openxmlformats.org/officeDocument/2006/relationships/hyperlink" Target="https://www.statista.com/forecasts/1499024/italy-cybersecurity-market-revenue" TargetMode="External"/><Relationship Id="rId651" Type="http://schemas.openxmlformats.org/officeDocument/2006/relationships/hyperlink" Target="https://m.likumi.lv/ta/id/340633-par-latvijas-kiberdrosibas-strategiju-20232026-gadam" TargetMode="External"/><Relationship Id="rId652" Type="http://schemas.openxmlformats.org/officeDocument/2006/relationships/hyperlink" Target="https://m.likumi.lv/ta/id/340633-par-latvijas-kiberdrosibas-strategiju-20232026-gadam" TargetMode="External"/><Relationship Id="rId653" Type="http://schemas.openxmlformats.org/officeDocument/2006/relationships/hyperlink" Target="https://m.likumi.lv/ta/id/340633-par-latvijas-kiberdrosibas-strategiju-20232026-gadam" TargetMode="External"/><Relationship Id="rId654" Type="http://schemas.openxmlformats.org/officeDocument/2006/relationships/hyperlink" Target="https://m.likumi.lv/ta/id/340633-par-latvijas-kiberdrosibas-strategiju-20232026-gadam" TargetMode="External"/><Relationship Id="rId655" Type="http://schemas.openxmlformats.org/officeDocument/2006/relationships/hyperlink" Target="https://m.likumi.lv/ta/id/340633-par-latvijas-kiberdrosibas-strategiju-20232026-gadam" TargetMode="External"/><Relationship Id="rId656" Type="http://schemas.openxmlformats.org/officeDocument/2006/relationships/hyperlink" Target="https://www.mk.gov.lv/lv/jaunums/valdiba-atbalsta-butiskas-es-fondu-investicijas-kiberdrosiba-un-militaras-mobilitates-infrastruktura" TargetMode="External"/><Relationship Id="rId657" Type="http://schemas.openxmlformats.org/officeDocument/2006/relationships/hyperlink" Target="https://www.cyber.gov.lv/lv/zinas" TargetMode="External"/><Relationship Id="rId658" Type="http://schemas.openxmlformats.org/officeDocument/2006/relationships/hyperlink" Target="https://kam.lt/duk/kibernetinio-saugumo-pletros-programa/" TargetMode="External"/><Relationship Id="rId659" Type="http://schemas.openxmlformats.org/officeDocument/2006/relationships/hyperlink" Target="https://kam.lt/duk/kibernetinio-saugumo-pletros-programa/" TargetMode="External"/><Relationship Id="rId660" Type="http://schemas.openxmlformats.org/officeDocument/2006/relationships/hyperlink" Target="https://e-seimas.lrs.lt/rs/lasupplement/TAD/ca445401de4511ef8cdff2c320e69444/a6f1f679de8011ef8cdff2c320e69444/format/ISO_PDF/" TargetMode="External"/><Relationship Id="rId661" Type="http://schemas.openxmlformats.org/officeDocument/2006/relationships/hyperlink" Target="https://kam.lt/wp-content/uploads/2025/03/NKSC-BUKLETAS-FINAL-4.0.pdf" TargetMode="External"/><Relationship Id="rId662" Type="http://schemas.openxmlformats.org/officeDocument/2006/relationships/hyperlink" Target="https://www.lrt.lt/naujienos/lietuvoje/2/2093159/gynybos-finansavimas-kitamet-sieks-2-71-proc-bvp-rodo-biudzeto-projektas" TargetMode="External"/><Relationship Id="rId663" Type="http://schemas.openxmlformats.org/officeDocument/2006/relationships/hyperlink" Target="https://www.nksc.lt/es_projektai.html" TargetMode="External"/><Relationship Id="rId664" Type="http://schemas.openxmlformats.org/officeDocument/2006/relationships/hyperlink" Target="https://www.europarl.europa.eu/RegData/etudes/BRIE/2025/772881/EPRS_BRI(2025)772881_EN.pdf" TargetMode="External"/><Relationship Id="rId665" Type="http://schemas.openxmlformats.org/officeDocument/2006/relationships/hyperlink" Target="https://budget.public.lu/lb/budget2025/am-detail.html?chpt=depenses&amp;dept=1&amp;sect=16" TargetMode="External"/><Relationship Id="rId666" Type="http://schemas.openxmlformats.org/officeDocument/2006/relationships/hyperlink" Target="https://budget.public.lu/lb/budget2025/am-detail.html?chpt=depenses&amp;dept=1&amp;sect=16" TargetMode="External"/><Relationship Id="rId667" Type="http://schemas.openxmlformats.org/officeDocument/2006/relationships/hyperlink" Target="https://budget.public.lu/lb/budget2025/am-detail.html?chpt=depenses&amp;dept=1&amp;sect=16" TargetMode="External"/><Relationship Id="rId668" Type="http://schemas.openxmlformats.org/officeDocument/2006/relationships/hyperlink" Target="https://budget.public.lu/lb/budget2025/am-detail.html?chpt=depenses&amp;dept=1&amp;sect=16" TargetMode="External"/><Relationship Id="rId669" Type="http://schemas.openxmlformats.org/officeDocument/2006/relationships/hyperlink" Target="https://budget.public.lu/lb/budget2025/am-detail.html?chpt=depenses&amp;dept=1&amp;sect=16" TargetMode="External"/><Relationship Id="rId670" Type="http://schemas.openxmlformats.org/officeDocument/2006/relationships/hyperlink" Target="https://budget.public.lu/lb/budget2025/am-detail.html?chpt=depenses&amp;dept=1&amp;sect=16" TargetMode="External"/><Relationship Id="rId671" Type="http://schemas.openxmlformats.org/officeDocument/2006/relationships/hyperlink" Target="https://budget.public.lu/lb/budget2026/am-detail.html?chpt=depenses&amp;dept=6&amp;sect=55" TargetMode="External"/><Relationship Id="rId672" Type="http://schemas.openxmlformats.org/officeDocument/2006/relationships/hyperlink" Target="https://budget.public.lu/lb/budget2026/am-detail.html?chpt=depenses&amp;dept=6&amp;sect=55" TargetMode="External"/><Relationship Id="rId673" Type="http://schemas.openxmlformats.org/officeDocument/2006/relationships/hyperlink" Target="https://budget.public.lu/lb/budget2026/am-detail.html?chpt=depenses&amp;dept=6&amp;sect=55" TargetMode="External"/><Relationship Id="rId674" Type="http://schemas.openxmlformats.org/officeDocument/2006/relationships/hyperlink" Target="https://budget.public.lu/lb/budget2026/am-detail.html?chpt=depenses&amp;dept=6&amp;sect=55" TargetMode="External"/><Relationship Id="rId675" Type="http://schemas.openxmlformats.org/officeDocument/2006/relationships/hyperlink" Target="https://budget.public.lu/lb/budget2026/am-detail.html?chpt=depenses&amp;dept=6&amp;sect=55" TargetMode="External"/><Relationship Id="rId676" Type="http://schemas.openxmlformats.org/officeDocument/2006/relationships/hyperlink" Target="https://budget.public.lu/lb/budget2026/am-detail.html?chpt=depenses&amp;dept=6&amp;sect=55" TargetMode="External"/><Relationship Id="rId677" Type="http://schemas.openxmlformats.org/officeDocument/2006/relationships/hyperlink" Target="https://parlament.mt/media/125250/02606.pdf" TargetMode="External"/><Relationship Id="rId678" Type="http://schemas.openxmlformats.org/officeDocument/2006/relationships/hyperlink" Target="https://parlament.mt/media/125250/02606.pdf" TargetMode="External"/><Relationship Id="rId679" Type="http://schemas.openxmlformats.org/officeDocument/2006/relationships/hyperlink" Target="https://www.bdo.nl/getmedia/46087d8a-7d9a-4831-8e1c-fe8482cb676a/Global-and-European-Cybersecurity-Industry.pdf" TargetMode="External"/><Relationship Id="rId680" Type="http://schemas.openxmlformats.org/officeDocument/2006/relationships/hyperlink" Target="https://www.cbi.eu/market-information/outsourcing-itobpo/cybersecurity/market-potential" TargetMode="External"/><Relationship Id="rId681" Type="http://schemas.openxmlformats.org/officeDocument/2006/relationships/hyperlink" Target="https://www.consultancy.nl/nieuws/69608/cybersecuritymarkt-groeit-door-tot-bijna-250-miljard-in-2030" TargetMode="External"/><Relationship Id="rId682" Type="http://schemas.openxmlformats.org/officeDocument/2006/relationships/hyperlink" Target="https://www.consultancy.nl/nieuws/69608/cybersecuritymarkt-groeit-door-tot-bijna-250-miljard-in-2030" TargetMode="External"/><Relationship Id="rId683" Type="http://schemas.openxmlformats.org/officeDocument/2006/relationships/hyperlink" Target="https://www.consultancy.nl/nieuws/69608/cybersecuritymarkt-groeit-door-tot-bijna-250-miljard-in-2030" TargetMode="External"/><Relationship Id="rId684" Type="http://schemas.openxmlformats.org/officeDocument/2006/relationships/hyperlink" Target="https://dialogic.nl/wp-content/uploads/2023/06/economische-kansen-van-de-cybersecuritysector-7.pdf" TargetMode="External"/><Relationship Id="rId685" Type="http://schemas.openxmlformats.org/officeDocument/2006/relationships/hyperlink" Target="https://dialogic.nl/wp-content/uploads/2023/06/economische-kansen-van-de-cybersecuritysector-7.pdf" TargetMode="External"/><Relationship Id="rId686" Type="http://schemas.openxmlformats.org/officeDocument/2006/relationships/hyperlink" Target="https://dialogic.nl/wp-content/uploads/2023/06/economische-kansen-van-de-cybersecuritysector-7.pdf" TargetMode="External"/><Relationship Id="rId687" Type="http://schemas.openxmlformats.org/officeDocument/2006/relationships/hyperlink" Target="https://dialogic.nl/wp-content/uploads/2023/06/economische-kansen-van-de-cybersecuritysector-7.pdf" TargetMode="External"/><Relationship Id="rId688" Type="http://schemas.openxmlformats.org/officeDocument/2006/relationships/hyperlink" Target="https://dialogic.nl/wp-content/uploads/2023/06/economische-kansen-van-de-cybersecuritysector-7.pdf" TargetMode="External"/><Relationship Id="rId689" Type="http://schemas.openxmlformats.org/officeDocument/2006/relationships/hyperlink" Target="https://cyberveilignederland.nl/upload/userfiles/files/economische-kansen-van-de-cybersecuritysector(1).pdf" TargetMode="External"/><Relationship Id="rId690" Type="http://schemas.openxmlformats.org/officeDocument/2006/relationships/hyperlink" Target="https://dialogic.nl/wp-content/uploads/2023/06/economische-kansen-van-de-cybersecuritysector-7.pdf" TargetMode="External"/><Relationship Id="rId691" Type="http://schemas.openxmlformats.org/officeDocument/2006/relationships/hyperlink" Target="https://dialogic.nl/wp-content/uploads/2023/06/economische-kansen-van-de-cybersecuritysector-7.pdf" TargetMode="External"/><Relationship Id="rId692" Type="http://schemas.openxmlformats.org/officeDocument/2006/relationships/hyperlink" Target="https://dialogic.nl/wp-content/uploads/2023/06/economische-kansen-van-de-cybersecuritysector-7.pdf" TargetMode="External"/><Relationship Id="rId693" Type="http://schemas.openxmlformats.org/officeDocument/2006/relationships/hyperlink" Target="https://www.marketsandmarkets.com/Market-Reports/geography/industrial-cybersecurity-market/netherlands" TargetMode="External"/><Relationship Id="rId694" Type="http://schemas.openxmlformats.org/officeDocument/2006/relationships/hyperlink" Target="https://www.marketsandmarkets.com/Market-Reports/geography/industrial-cybersecurity-market/netherlands" TargetMode="External"/><Relationship Id="rId695" Type="http://schemas.openxmlformats.org/officeDocument/2006/relationships/hyperlink" Target="https://www.mordorintelligence.com/industry-reports/netherlands-cybersecurity-market" TargetMode="External"/><Relationship Id="rId696" Type="http://schemas.openxmlformats.org/officeDocument/2006/relationships/hyperlink" Target="https://www.mordorintelligence.com/industry-reports/netherlands-cybersecurity-market" TargetMode="External"/><Relationship Id="rId697" Type="http://schemas.openxmlformats.org/officeDocument/2006/relationships/hyperlink" Target="https://www.mordorintelligence.com/industry-reports/netherlands-cybersecurity-market" TargetMode="External"/><Relationship Id="rId698" Type="http://schemas.openxmlformats.org/officeDocument/2006/relationships/hyperlink" Target="https://www.mordorintelligence.com/industry-reports/netherlands-cybersecurity-market" TargetMode="External"/><Relationship Id="rId699" Type="http://schemas.openxmlformats.org/officeDocument/2006/relationships/hyperlink" Target="https://www.mordorintelligence.com/industry-reports/netherlands-cybersecurity-market" TargetMode="External"/><Relationship Id="rId700" Type="http://schemas.openxmlformats.org/officeDocument/2006/relationships/hyperlink" Target="https://www.mordorintelligence.com/industry-reports/netherlands-cybersecurity-market" TargetMode="External"/><Relationship Id="rId701" Type="http://schemas.openxmlformats.org/officeDocument/2006/relationships/hyperlink" Target="https://www.ncsc.nl/binaries/ncsc/documenten/publicaties/2019/mei/01/nederlandse-cybersecurity-agenda/CSAgenda_def_web_tcm31-322330.pdf" TargetMode="External"/><Relationship Id="rId702" Type="http://schemas.openxmlformats.org/officeDocument/2006/relationships/hyperlink" Target="https://www.tweedekamer.nl/downloads/document?id=2024D01957" TargetMode="External"/><Relationship Id="rId703" Type="http://schemas.openxmlformats.org/officeDocument/2006/relationships/hyperlink" Target="https://www.tweedekamer.nl/downloads/document?id=2024D01957" TargetMode="External"/><Relationship Id="rId704" Type="http://schemas.openxmlformats.org/officeDocument/2006/relationships/hyperlink" Target="https://www.tweedekamer.nl/downloads/document?id=2024D01957" TargetMode="External"/><Relationship Id="rId705" Type="http://schemas.openxmlformats.org/officeDocument/2006/relationships/hyperlink" Target="https://www.tweedekamer.nl/downloads/document?id=2024D01957" TargetMode="External"/><Relationship Id="rId706" Type="http://schemas.openxmlformats.org/officeDocument/2006/relationships/hyperlink" Target="https://www.tweedekamer.nl/downloads/document?id=2022D46208" TargetMode="External"/><Relationship Id="rId707" Type="http://schemas.openxmlformats.org/officeDocument/2006/relationships/hyperlink" Target="https://www.tweedekamer.nl/downloads/document?id=2022D46208" TargetMode="External"/><Relationship Id="rId708" Type="http://schemas.openxmlformats.org/officeDocument/2006/relationships/hyperlink" Target="https://www.tweedekamer.nl/downloads/document?id=2022D46208" TargetMode="External"/><Relationship Id="rId709" Type="http://schemas.openxmlformats.org/officeDocument/2006/relationships/hyperlink" Target="https://www.tweedekamer.nl/downloads/document?id=2022D46208" TargetMode="External"/><Relationship Id="rId710" Type="http://schemas.openxmlformats.org/officeDocument/2006/relationships/hyperlink" Target="https://www.tweedekamer.nl/downloads/document?id=2022D46208" TargetMode="External"/><Relationship Id="rId711" Type="http://schemas.openxmlformats.org/officeDocument/2006/relationships/hyperlink" Target="https://www.tweedekamer.nl/downloads/document?id=2022D46208" TargetMode="External"/><Relationship Id="rId712" Type="http://schemas.openxmlformats.org/officeDocument/2006/relationships/hyperlink" Target="https://www.tweedekamer.nl/downloads/document?id=2022D46208" TargetMode="External"/><Relationship Id="rId713" Type="http://schemas.openxmlformats.org/officeDocument/2006/relationships/hyperlink" Target="https://www.tweedekamer.nl/downloads/document?id=2022D46208" TargetMode="External"/><Relationship Id="rId714" Type="http://schemas.openxmlformats.org/officeDocument/2006/relationships/hyperlink" Target="https://www.6wresearch.com/industry-report/poland-cyber-security-market" TargetMode="External"/><Relationship Id="rId715" Type="http://schemas.openxmlformats.org/officeDocument/2006/relationships/hyperlink" Target="https://www.6wresearch.com/industry-report/poland-cyber-security-market" TargetMode="External"/><Relationship Id="rId716" Type="http://schemas.openxmlformats.org/officeDocument/2006/relationships/hyperlink" Target="https://www.cbi.eu/market-information/outsourcing-itobpo/cybersecurity/market-potential" TargetMode="External"/><Relationship Id="rId717" Type="http://schemas.openxmlformats.org/officeDocument/2006/relationships/hyperlink" Target="https://www.gov.pl/web/cppc/lista-rankingowa-cyberbezpieczne-wodociagi" TargetMode="External"/><Relationship Id="rId718" Type="http://schemas.openxmlformats.org/officeDocument/2006/relationships/hyperlink" Target="https://www.databridgemarketresearch.com/nucleus/poland-cybersecurity-market" TargetMode="External"/><Relationship Id="rId719" Type="http://schemas.openxmlformats.org/officeDocument/2006/relationships/hyperlink" Target="https://www.databridgemarketresearch.com/nucleus/poland-cybersecurity-market" TargetMode="External"/><Relationship Id="rId720" Type="http://schemas.openxmlformats.org/officeDocument/2006/relationships/hyperlink" Target="https://www.isbtech.pl/2023/09/polska-zwieksza-wydatki-na-bezpieczenstwo-w-cyberprzestrzeni/" TargetMode="External"/><Relationship Id="rId721" Type="http://schemas.openxmlformats.org/officeDocument/2006/relationships/hyperlink" Target="https://www.isbtech.pl/2023/10/polska-na-17-miejscu-w-europie-pod-wzgledem-wydatkow-na-cyberbezpieczenstwo/" TargetMode="External"/><Relationship Id="rId722" Type="http://schemas.openxmlformats.org/officeDocument/2006/relationships/hyperlink" Target="https://itwiz.pl/polskie-firmy-zwiekszaja-wydatki-na-cyberbezpieczenstwo-kto-wyda-najwiecej/" TargetMode="External"/><Relationship Id="rId723" Type="http://schemas.openxmlformats.org/officeDocument/2006/relationships/hyperlink" Target="https://itwiz.pl/polskie-firmy-zwiekszaja-wydatki-na-cyberbezpieczenstwo-kto-wyda-najwiecej/" TargetMode="External"/><Relationship Id="rId724" Type="http://schemas.openxmlformats.org/officeDocument/2006/relationships/hyperlink" Target="https://itwiz.pl/polskie-firmy-zwiekszaja-wydatki-na-cyberbezpieczenstwo-kto-wyda-najwiecej/" TargetMode="External"/><Relationship Id="rId725" Type="http://schemas.openxmlformats.org/officeDocument/2006/relationships/hyperlink" Target="https://itwiz.pl/ekosystem-rozwiazan-cyberbezpieczenstwa-w-polsce-wart-jest-12-mld-zl/" TargetMode="External"/><Relationship Id="rId726" Type="http://schemas.openxmlformats.org/officeDocument/2006/relationships/hyperlink" Target="https://itwiz.pl/ekosystem-rozwiazan-cyberbezpieczenstwa-w-polsce-wart-jest-12-mld-zl/" TargetMode="External"/><Relationship Id="rId727" Type="http://schemas.openxmlformats.org/officeDocument/2006/relationships/hyperlink" Target="https://www.kenresearch.com/poland-cybersecurity-and-mssp-market" TargetMode="External"/><Relationship Id="rId728" Type="http://schemas.openxmlformats.org/officeDocument/2006/relationships/hyperlink" Target="https://sip.lex.pl/akty-prawne/dzu-dziennik-ustaw/krajowy-system-cyberbezpieczenstwa-18746756" TargetMode="External"/><Relationship Id="rId729" Type="http://schemas.openxmlformats.org/officeDocument/2006/relationships/hyperlink" Target="https://sip.lex.pl/akty-prawne/dzu-dziennik-ustaw/krajowy-system-cyberbezpieczenstwa-18746756" TargetMode="External"/><Relationship Id="rId730" Type="http://schemas.openxmlformats.org/officeDocument/2006/relationships/hyperlink" Target="https://sip.lex.pl/akty-prawne/dzu-dziennik-ustaw/krajowy-system-cyberbezpieczenstwa-18746756" TargetMode="External"/><Relationship Id="rId731" Type="http://schemas.openxmlformats.org/officeDocument/2006/relationships/hyperlink" Target="https://sip.lex.pl/akty-prawne/dzu-dziennik-ustaw/krajowy-system-cyberbezpieczenstwa-18746756" TargetMode="External"/><Relationship Id="rId732" Type="http://schemas.openxmlformats.org/officeDocument/2006/relationships/hyperlink" Target="https://sip.lex.pl/akty-prawne/dzu-dziennik-ustaw/krajowy-system-cyberbezpieczenstwa-18746756" TargetMode="External"/><Relationship Id="rId733" Type="http://schemas.openxmlformats.org/officeDocument/2006/relationships/hyperlink" Target="https://sip.lex.pl/akty-prawne/dzu-dziennik-ustaw/krajowy-system-cyberbezpieczenstwa-18746756" TargetMode="External"/><Relationship Id="rId734" Type="http://schemas.openxmlformats.org/officeDocument/2006/relationships/hyperlink" Target="https://sip.lex.pl/akty-prawne/dzu-dziennik-ustaw/krajowy-system-cyberbezpieczenstwa-18746756" TargetMode="External"/><Relationship Id="rId735" Type="http://schemas.openxmlformats.org/officeDocument/2006/relationships/hyperlink" Target="https://sip.lex.pl/akty-prawne/dzu-dziennik-ustaw/krajowy-system-cyberbezpieczenstwa-18746756" TargetMode="External"/><Relationship Id="rId736" Type="http://schemas.openxmlformats.org/officeDocument/2006/relationships/hyperlink" Target="https://sip.lex.pl/akty-prawne/dzu-dziennik-ustaw/krajowy-system-cyberbezpieczenstwa-18746756" TargetMode="External"/><Relationship Id="rId737" Type="http://schemas.openxmlformats.org/officeDocument/2006/relationships/hyperlink" Target="https://sip.lex.pl/akty-prawne/dzu-dziennik-ustaw/krajowy-system-cyberbezpieczenstwa-18746756" TargetMode="External"/><Relationship Id="rId738" Type="http://schemas.openxmlformats.org/officeDocument/2006/relationships/hyperlink" Target="https://www.marketsandmarkets.com/Market-Reports/geography/defense-cybersecurity-market/poland" TargetMode="External"/><Relationship Id="rId739" Type="http://schemas.openxmlformats.org/officeDocument/2006/relationships/hyperlink" Target="https://www.marketsandmarkets.com/Market-Reports/geography/defense-cybersecurity-market/poland" TargetMode="External"/><Relationship Id="rId740" Type="http://schemas.openxmlformats.org/officeDocument/2006/relationships/hyperlink" Target="https://www.gov.pl/web/cyfryzacja/polska-inwestuje-rekordowe-srodki-w-ochrone-przed-cyberatakami" TargetMode="External"/><Relationship Id="rId741" Type="http://schemas.openxmlformats.org/officeDocument/2006/relationships/hyperlink" Target="https://www.gov.pl/web/cyfryzacja/polska-inwestuje-rekordowe-srodki-w-ochrone-przed-cyberatakami" TargetMode="External"/><Relationship Id="rId742" Type="http://schemas.openxmlformats.org/officeDocument/2006/relationships/hyperlink" Target="https://www.gov.pl/web/cyfryzacja/polska-inwestuje-rekordowe-srodki-w-ochrone-przed-cyberatakami" TargetMode="External"/><Relationship Id="rId743" Type="http://schemas.openxmlformats.org/officeDocument/2006/relationships/hyperlink" Target="https://www.gov.pl/web/cyfryzacja/polska-inwestuje-rekordowe-srodki-w-ochrone-przed-cyberatakami" TargetMode="External"/><Relationship Id="rId744" Type="http://schemas.openxmlformats.org/officeDocument/2006/relationships/hyperlink" Target="https://www.gov.pl/web/cyfryzacja/polska-inwestuje-rekordowe-srodki-w-ochrone-przed-cyberatakami" TargetMode="External"/><Relationship Id="rId745" Type="http://schemas.openxmlformats.org/officeDocument/2006/relationships/hyperlink" Target="https://www.gov.pl/web/cyfryzacja/polska-inwestuje-rekordowe-srodki-w-ochrone-przed-cyberatakami" TargetMode="External"/><Relationship Id="rId746" Type="http://schemas.openxmlformats.org/officeDocument/2006/relationships/hyperlink" Target="https://www.gov.pl/web/cyfryzacja/polska-inwestuje-rekordowe-srodki-w-ochrone-przed-cyberatakami" TargetMode="External"/><Relationship Id="rId747" Type="http://schemas.openxmlformats.org/officeDocument/2006/relationships/hyperlink" Target="https://www.gov.pl/web/cyfryzacja/polska-inwestuje-rekordowe-srodki-w-ochrone-przed-cyberatakami" TargetMode="External"/><Relationship Id="rId748" Type="http://schemas.openxmlformats.org/officeDocument/2006/relationships/hyperlink" Target="https://www.gov.pl/web/cyfryzacja/polska-inwestuje-rekordowe-srodki-w-ochrone-przed-cyberatakami" TargetMode="External"/><Relationship Id="rId749" Type="http://schemas.openxmlformats.org/officeDocument/2006/relationships/hyperlink" Target="https://www.gov.pl/web/cyfryzacja/polska-inwestuje-rekordowe-srodki-w-ochrone-przed-cyberatakami" TargetMode="External"/><Relationship Id="rId750" Type="http://schemas.openxmlformats.org/officeDocument/2006/relationships/hyperlink" Target="https://www.gov.pl/web/cyfryzacja/15-mld-zl-dla-samorzadow-na-cyberbezpieczenstwo" TargetMode="External"/><Relationship Id="rId751" Type="http://schemas.openxmlformats.org/officeDocument/2006/relationships/hyperlink" Target="https://www.gov.pl/web/cyfryzacja/15-mld-zl-dla-samorzadow-na-cyberbezpieczenstwo" TargetMode="External"/><Relationship Id="rId752" Type="http://schemas.openxmlformats.org/officeDocument/2006/relationships/hyperlink" Target="https://www.gov.pl/web/cyfryzacja/15-mld-zl-dla-samorzadow-na-cyberbezpieczenstwo" TargetMode="External"/><Relationship Id="rId753" Type="http://schemas.openxmlformats.org/officeDocument/2006/relationships/hyperlink" Target="https://www.gov.pl/web/cyfryzacja/15-mld-zl-dla-samorzadow-na-cyberbezpieczenstwo" TargetMode="External"/><Relationship Id="rId754" Type="http://schemas.openxmlformats.org/officeDocument/2006/relationships/hyperlink" Target="https://www.gov.pl/web/cyfryzacja/wiecej-pieniedzy-na-fundusz-cyberbezpieczenstwa" TargetMode="External"/><Relationship Id="rId755" Type="http://schemas.openxmlformats.org/officeDocument/2006/relationships/hyperlink" Target="https://www.gov.pl/web/cyfryzacja/nowa-platforma-wspolpracy-w-obszarze-cyberbezpieczenstwa-zwiekszy-odpornosc-samorzadow" TargetMode="External"/><Relationship Id="rId756" Type="http://schemas.openxmlformats.org/officeDocument/2006/relationships/hyperlink" Target="https://www.mordorintelligence.com/industry-reports/poland-cybersecurity-market/market-size" TargetMode="External"/><Relationship Id="rId757" Type="http://schemas.openxmlformats.org/officeDocument/2006/relationships/hyperlink" Target="https://www.mordorintelligence.com/industry-reports/poland-cybersecurity-market/market-size" TargetMode="External"/><Relationship Id="rId758" Type="http://schemas.openxmlformats.org/officeDocument/2006/relationships/hyperlink" Target="https://www.mordorintelligence.com/industry-reports/poland-cybersecurity-market/market-size" TargetMode="External"/><Relationship Id="rId759" Type="http://schemas.openxmlformats.org/officeDocument/2006/relationships/hyperlink" Target="https://www.mordorintelligence.com/industry-reports/poland-cybersecurity-market/market-size" TargetMode="External"/><Relationship Id="rId760" Type="http://schemas.openxmlformats.org/officeDocument/2006/relationships/hyperlink" Target="https://www.mordorintelligence.com/industry-reports/poland-cybersecurity-market" TargetMode="External"/><Relationship Id="rId761" Type="http://schemas.openxmlformats.org/officeDocument/2006/relationships/hyperlink" Target="https://www.mordorintelligence.com/industry-reports/poland-cybersecurity-market" TargetMode="External"/><Relationship Id="rId762" Type="http://schemas.openxmlformats.org/officeDocument/2006/relationships/hyperlink" Target="https://www.mordorintelligence.com/industry-reports/poland-cybersecurity-market" TargetMode="External"/><Relationship Id="rId763" Type="http://schemas.openxmlformats.org/officeDocument/2006/relationships/hyperlink" Target="https://www.mordorintelligence.com/industry-reports/poland-cybersecurity-market" TargetMode="External"/><Relationship Id="rId764" Type="http://schemas.openxmlformats.org/officeDocument/2006/relationships/hyperlink" Target="https://www.mordorintelligence.com/industry-reports/poland-cybersecurity-market" TargetMode="External"/><Relationship Id="rId765" Type="http://schemas.openxmlformats.org/officeDocument/2006/relationships/hyperlink" Target="https://www.europarl.europa.eu/RegData/etudes/BRIE/2025/772881/EPRS_BRI(2025)772881_EN.pdf" TargetMode="External"/><Relationship Id="rId766" Type="http://schemas.openxmlformats.org/officeDocument/2006/relationships/hyperlink" Target="https://www.pmrmarketexperts.com/wiadomosci/rynek-cyberbezpieczenstwa-wzrosnie-do-2-5-mld-zl-w-2024-roku/" TargetMode="External"/><Relationship Id="rId767" Type="http://schemas.openxmlformats.org/officeDocument/2006/relationships/hyperlink" Target="https://www.pmrmarketexperts.com/wiadomosci/rynek-cyberbezpieczenstwa-wzrosnie-do-2-5-mld-zl-w-2024-roku/" TargetMode="External"/><Relationship Id="rId768" Type="http://schemas.openxmlformats.org/officeDocument/2006/relationships/hyperlink" Target="https://www.pmrmarketexperts.com/wiadomosci/rynek-cyberbezpieczenstwa-wzrosnie-do-2-5-mld-zl-w-2024-roku/" TargetMode="External"/><Relationship Id="rId769" Type="http://schemas.openxmlformats.org/officeDocument/2006/relationships/hyperlink" Target="https://www.pmrmarketexperts.com/wiadomosci/rynek-cyberbezpieczenstwa-wzrosnie-do-2-5-mld-zl-w-2024-roku/" TargetMode="External"/><Relationship Id="rId770" Type="http://schemas.openxmlformats.org/officeDocument/2006/relationships/hyperlink" Target="https://www.pmrmarketexperts.com/wiadomosci/rynek-cyberbezpieczenstwa-wzrosnie-do-2-5-mld-zl-w-2024-roku/" TargetMode="External"/><Relationship Id="rId771" Type="http://schemas.openxmlformats.org/officeDocument/2006/relationships/hyperlink" Target="https://www.pmrmarketexperts.com/wiadomosci/rynek-cyberbezpieczenstwa-wzrosnie-do-2-5-mld-zl-w-2024-roku/" TargetMode="External"/><Relationship Id="rId772" Type="http://schemas.openxmlformats.org/officeDocument/2006/relationships/hyperlink" Target="https://www.pmrmarketexperts.com/wiadomosci/rynek-cyberbezpieczenstwa-wzrosnie-do-2-5-mld-zl-w-2024-roku/" TargetMode="External"/><Relationship Id="rId773" Type="http://schemas.openxmlformats.org/officeDocument/2006/relationships/hyperlink" Target="https://www.pb.pl/fudo-security-teraz-wie-lepiej-jak-podbic-usa-1239180" TargetMode="External"/><Relationship Id="rId774" Type="http://schemas.openxmlformats.org/officeDocument/2006/relationships/hyperlink" Target="https://www.pwc.pl/pl/pdf/cyber-ruletka-po-polsku-raport-pwc-gsiss-2018.pdf" TargetMode="External"/><Relationship Id="rId775" Type="http://schemas.openxmlformats.org/officeDocument/2006/relationships/hyperlink" Target="https://www.pwc.pl/pl/pdf/cyber-ruletka-po-polsku-raport-pwc-gsiss-2018.pdf" TargetMode="External"/><Relationship Id="rId776" Type="http://schemas.openxmlformats.org/officeDocument/2006/relationships/hyperlink" Target="https://www.pwc.pl/pl/pdf/cyber-ruletka-po-polsku-raport-pwc-gsiss-2018.pdf" TargetMode="External"/><Relationship Id="rId777" Type="http://schemas.openxmlformats.org/officeDocument/2006/relationships/hyperlink" Target="https://www.rp.pl/biznes/art43711681-rynek-cyberbezpieczenstwa-w-polsce-rosnie-jak-na-drozdzach" TargetMode="External"/><Relationship Id="rId778" Type="http://schemas.openxmlformats.org/officeDocument/2006/relationships/hyperlink" Target="https://www.rp.pl/biznes/art43711681-rynek-cyberbezpieczenstwa-w-polsce-rosnie-jak-na-drozdzach" TargetMode="External"/><Relationship Id="rId779" Type="http://schemas.openxmlformats.org/officeDocument/2006/relationships/hyperlink" Target="https://pro.rp.pl/raporty-ekonomiczne/art41624791-nadchodza-ciezkie-czasy-w-sieci-eksperci-wieszcza-potezne-zagrozenia" TargetMode="External"/><Relationship Id="rId780" Type="http://schemas.openxmlformats.org/officeDocument/2006/relationships/hyperlink" Target="https://pro.rp.pl/raporty-ekonomiczne/art41624791-nadchodza-ciezkie-czasy-w-sieci-eksperci-wieszcza-potezne-zagrozenia" TargetMode="External"/><Relationship Id="rId781" Type="http://schemas.openxmlformats.org/officeDocument/2006/relationships/hyperlink" Target="https://eli.gov.pl/api/acts/DU/2024/1662/text.html" TargetMode="External"/><Relationship Id="rId782" Type="http://schemas.openxmlformats.org/officeDocument/2006/relationships/hyperlink" Target="https://eli.gov.pl/api/acts/DU/2024/1662/text.html" TargetMode="External"/><Relationship Id="rId783" Type="http://schemas.openxmlformats.org/officeDocument/2006/relationships/hyperlink" Target="https://eli.gov.pl/api/acts/DU/2024/1662/text.html" TargetMode="External"/><Relationship Id="rId784" Type="http://schemas.openxmlformats.org/officeDocument/2006/relationships/hyperlink" Target="https://eli.gov.pl/api/acts/DU/2026/252/text.pdf" TargetMode="External"/><Relationship Id="rId785" Type="http://schemas.openxmlformats.org/officeDocument/2006/relationships/hyperlink" Target="https://eli.gov.pl/api/acts/DU/2026/252/text.pdf" TargetMode="External"/><Relationship Id="rId786" Type="http://schemas.openxmlformats.org/officeDocument/2006/relationships/hyperlink" Target="https://eli.gov.pl/api/acts/DU/2026/252/text.pdf" TargetMode="External"/><Relationship Id="rId787" Type="http://schemas.openxmlformats.org/officeDocument/2006/relationships/hyperlink" Target="https://eli.gov.pl/api/acts/DU/2026/252/text.pdf" TargetMode="External"/><Relationship Id="rId788" Type="http://schemas.openxmlformats.org/officeDocument/2006/relationships/hyperlink" Target="https://eli.gov.pl/api/acts/DU/2026/252/text.pdf" TargetMode="External"/><Relationship Id="rId789" Type="http://schemas.openxmlformats.org/officeDocument/2006/relationships/hyperlink" Target="https://eli.gov.pl/api/acts/DU/2026/252/text.pdf" TargetMode="External"/><Relationship Id="rId790" Type="http://schemas.openxmlformats.org/officeDocument/2006/relationships/hyperlink" Target="https://www.statista.com/statistics/1489436/poland-market-size-of-cybersecurity-market/" TargetMode="External"/><Relationship Id="rId791" Type="http://schemas.openxmlformats.org/officeDocument/2006/relationships/hyperlink" Target="https://www.verifiedmarketresearch.com/product/poland-cybersecurity-market/" TargetMode="External"/><Relationship Id="rId792" Type="http://schemas.openxmlformats.org/officeDocument/2006/relationships/hyperlink" Target="https://www.verifiedmarketresearch.com/product/poland-cybersecurity-market/" TargetMode="External"/><Relationship Id="rId793" Type="http://schemas.openxmlformats.org/officeDocument/2006/relationships/hyperlink" Target="https://cyfrowapolska.org/wp-content/uploads/2025/09/Raport_-_mapa_drogowa_polskiej_cyberodpornosci_2025_-1.pdf" TargetMode="External"/><Relationship Id="rId794" Type="http://schemas.openxmlformats.org/officeDocument/2006/relationships/hyperlink" Target="https://cyfrowapolska.org/wp-content/uploads/2025/09/Raport_-_mapa_drogowa_polskiej_cyberodpornosci_2025_-1.pdf" TargetMode="External"/><Relationship Id="rId795" Type="http://schemas.openxmlformats.org/officeDocument/2006/relationships/hyperlink" Target="https://www.gns.gov.pt/docs/pa-2025.pdf" TargetMode="External"/><Relationship Id="rId796" Type="http://schemas.openxmlformats.org/officeDocument/2006/relationships/hyperlink" Target="https://www.gns.gov.pt/docs/pa-2025.pdf" TargetMode="External"/><Relationship Id="rId797" Type="http://schemas.openxmlformats.org/officeDocument/2006/relationships/hyperlink" Target="https://www.gns.gov.pt/docs/pa-2025.pdf" TargetMode="External"/><Relationship Id="rId798" Type="http://schemas.openxmlformats.org/officeDocument/2006/relationships/hyperlink" Target="https://portugal.gov.pt/gc23/comunicacao/noticias/prr-vai-investir-47-milhoes-na-formacao-em-ciberseguranca" TargetMode="External"/><Relationship Id="rId799" Type="http://schemas.openxmlformats.org/officeDocument/2006/relationships/hyperlink" Target="https://www.mordorintelligence.com/industry-reports/portugal-cybersecurity-market/market-size" TargetMode="External"/><Relationship Id="rId800" Type="http://schemas.openxmlformats.org/officeDocument/2006/relationships/hyperlink" Target="https://www.mordorintelligence.com/industry-reports/portugal-cybersecurity-market" TargetMode="External"/><Relationship Id="rId801" Type="http://schemas.openxmlformats.org/officeDocument/2006/relationships/hyperlink" Target="https://www.mordorintelligence.com/industry-reports/portugal-cybersecurity-market" TargetMode="External"/><Relationship Id="rId802" Type="http://schemas.openxmlformats.org/officeDocument/2006/relationships/hyperlink" Target="https://www.mordorintelligence.com/industry-reports/portugal-cybersecurity-market" TargetMode="External"/><Relationship Id="rId803" Type="http://schemas.openxmlformats.org/officeDocument/2006/relationships/hyperlink" Target="https://www.cncs.gov.pt/docs/relatorio-economia2022-obciber-cncs.pdf" TargetMode="External"/><Relationship Id="rId804" Type="http://schemas.openxmlformats.org/officeDocument/2006/relationships/hyperlink" Target="https://www.cncs.gov.pt/docs/relatorio-economia2022-obciber-cncs.pdf" TargetMode="External"/><Relationship Id="rId805" Type="http://schemas.openxmlformats.org/officeDocument/2006/relationships/hyperlink" Target="https://www.cncs.gov.pt/docs/rel-sociedade2025-obciber-cncs.pdf" TargetMode="External"/><Relationship Id="rId806" Type="http://schemas.openxmlformats.org/officeDocument/2006/relationships/hyperlink" Target="https://www.cncs.gov.pt/docs/rel-sociedade2025-obciber-cncs.pdf" TargetMode="External"/><Relationship Id="rId807" Type="http://schemas.openxmlformats.org/officeDocument/2006/relationships/hyperlink" Target="https://www.cncs.gov.pt/docs/rel-sociedade2025-obciber-cncs.pdf" TargetMode="External"/><Relationship Id="rId808" Type="http://schemas.openxmlformats.org/officeDocument/2006/relationships/hyperlink" Target="https://www.cncs.gov.pt/docs/rel-sociedade2025-obciber-cncs.pdf" TargetMode="External"/><Relationship Id="rId809" Type="http://schemas.openxmlformats.org/officeDocument/2006/relationships/hyperlink" Target="https://www.cncs.gov.pt/docs/rel-sociedade2025-obciber-cncs.pdf" TargetMode="External"/><Relationship Id="rId810" Type="http://schemas.openxmlformats.org/officeDocument/2006/relationships/hyperlink" Target="https://www.europarl.europa.eu/RegData/etudes/BRIE/2025/772881/EPRS_BRI(2025)772881_EN.pdf" TargetMode="External"/><Relationship Id="rId811" Type="http://schemas.openxmlformats.org/officeDocument/2006/relationships/hyperlink" Target="https://www.6wresearch.com/industry-report/czech-republic-information-security-consulting-market" TargetMode="External"/><Relationship Id="rId812" Type="http://schemas.openxmlformats.org/officeDocument/2006/relationships/hyperlink" Target="https://www.6wresearch.com/industry-report/czech-republic-managed-security-services-market-2020-2026" TargetMode="External"/><Relationship Id="rId813" Type="http://schemas.openxmlformats.org/officeDocument/2006/relationships/hyperlink" Target="https://www.6wresearch.com/industry-report/czech-republic-security-and-vulnerability-management-market" TargetMode="External"/><Relationship Id="rId814" Type="http://schemas.openxmlformats.org/officeDocument/2006/relationships/hyperlink" Target="https://feedit.cz/2026/03/23/vydaje-ceskych-firem-na-kybernetickou-bezpecnost-klesaji-tri-ctvrtiny-spolecnosti-za-ni-rocne-utrati-do-200-000-kc/" TargetMode="External"/><Relationship Id="rId815" Type="http://schemas.openxmlformats.org/officeDocument/2006/relationships/hyperlink" Target="https://feedit.cz/2026/03/23/vydaje-ceskych-firem-na-kybernetickou-bezpecnost-klesaji-tri-ctvrtiny-spolecnosti-za-ni-rocne-utrati-do-200-000-kc/" TargetMode="External"/><Relationship Id="rId816" Type="http://schemas.openxmlformats.org/officeDocument/2006/relationships/hyperlink" Target="https://my.idc.com/getdoc.jsp?containerId=prEUR251983724" TargetMode="External"/><Relationship Id="rId817" Type="http://schemas.openxmlformats.org/officeDocument/2006/relationships/hyperlink" Target="https://my.idc.com/getdoc.jsp?containerId=prEUR253305325" TargetMode="External"/><Relationship Id="rId818" Type="http://schemas.openxmlformats.org/officeDocument/2006/relationships/hyperlink" Target="https://dream.kotra.or.kr/kotranews/cms/news/actionKotraBoardDetail.do?SITE_NO=3&amp;MENU_ID=180&amp;CONTENTS_NO=1&amp;bbsGbn=243&amp;bbsSn=243&amp;pNttSn=231198" TargetMode="External"/><Relationship Id="rId819" Type="http://schemas.openxmlformats.org/officeDocument/2006/relationships/hyperlink" Target="https://dream.kotra.or.kr/kotranews/cms/news/actionKotraBoardDetail.do?SITE_NO=3&amp;MENU_ID=180&amp;CONTENTS_NO=1&amp;bbsGbn=243&amp;bbsSn=243&amp;pNttSn=231198" TargetMode="External"/><Relationship Id="rId820" Type="http://schemas.openxmlformats.org/officeDocument/2006/relationships/hyperlink" Target="https://dream.kotra.or.kr/kotranews/cms/news/actionKotraBoardDetail.do?SITE_NO=3&amp;MENU_ID=180&amp;CONTENTS_NO=1&amp;bbsGbn=243&amp;bbsSn=243&amp;pNttSn=231198" TargetMode="External"/><Relationship Id="rId821" Type="http://schemas.openxmlformats.org/officeDocument/2006/relationships/hyperlink" Target="https://www.lupa.cz/aktuality/kyberurad-opet-dostane-vice-penez-rad-by-jeste-vice-celi-tlaku-na-platy-a-zajisteni-cinnosti/" TargetMode="External"/><Relationship Id="rId822" Type="http://schemas.openxmlformats.org/officeDocument/2006/relationships/hyperlink" Target="https://www.lupa.cz/aktuality/kyberurad-opet-dostane-vice-penez-rad-by-jeste-vice-celi-tlaku-na-platy-a-zajisteni-cinnosti/" TargetMode="External"/><Relationship Id="rId823" Type="http://schemas.openxmlformats.org/officeDocument/2006/relationships/hyperlink" Target="https://mf.gov.cz/cs/ministerstvo/media/tiskove-zpravy/2025/vlada-schvalila-navrh-statniho-rozpoctu-na-rok-202-61433" TargetMode="External"/><Relationship Id="rId824" Type="http://schemas.openxmlformats.org/officeDocument/2006/relationships/hyperlink" Target="https://mf.gov.cz/cs/ministerstvo/media/tiskove-zpravy/2024/snemovna-schvalila-statni-rozpocet-na-rok-2025-57982" TargetMode="External"/><Relationship Id="rId825" Type="http://schemas.openxmlformats.org/officeDocument/2006/relationships/hyperlink" Target="https://mf.gov.cz/cs/ministerstvo/media/tiskove-zpravy/2024/snemovna-schvalila-statni-rozpocet-na-rok-2025-57982" TargetMode="External"/><Relationship Id="rId826" Type="http://schemas.openxmlformats.org/officeDocument/2006/relationships/hyperlink" Target="https://mv.gov.cz/npo/soubor/vyzva-c-41-verze-2-k-predkladani-zadosti-o-financni-podporu-predem-definovanym-projektum-v-ramci-narodniho-planu-obnovy-cr.aspx" TargetMode="External"/><Relationship Id="rId827" Type="http://schemas.openxmlformats.org/officeDocument/2006/relationships/hyperlink" Target="https://mv.gov.cz/npo/soubor/vyzva-c-46-verze-2-k-predkladani-zadosti-o-financni-podporu-v-ramci-narodniho-planu-obnovy-cr.aspx" TargetMode="External"/><Relationship Id="rId828" Type="http://schemas.openxmlformats.org/officeDocument/2006/relationships/hyperlink" Target="https://nukib.gov.cz/download/publikace/zpravy_o_stavu/Zprava-o-cinnosti-NUKIB-2025.pdf" TargetMode="External"/><Relationship Id="rId829" Type="http://schemas.openxmlformats.org/officeDocument/2006/relationships/hyperlink" Target="https://nukib.gov.cz/download/publikace/zpravy_o_stavu/Zprava-o-cinnosti-NUKIB-2025.pdf" TargetMode="External"/><Relationship Id="rId830" Type="http://schemas.openxmlformats.org/officeDocument/2006/relationships/hyperlink" Target="https://nukib.gov.cz/download/publikace/zpravy_o_stavu/Zprava_o_stavu_kyberneticke_bezpecnosti_CR_za_rok_2022.pdf" TargetMode="External"/><Relationship Id="rId831" Type="http://schemas.openxmlformats.org/officeDocument/2006/relationships/hyperlink" Target="https://nukib.gov.cz/download/publikace/zpravy_o_stavu/Zprava_o_stavu_kyberneticke_bezpecnosti_CR_za_rok_2023.pdf" TargetMode="External"/><Relationship Id="rId832" Type="http://schemas.openxmlformats.org/officeDocument/2006/relationships/hyperlink" Target="https://www.europarl.europa.eu/RegData/etudes/BRIE/2025/772881/EPRS_BRI(2025)772881_EN.pdf" TargetMode="External"/><Relationship Id="rId833" Type="http://schemas.openxmlformats.org/officeDocument/2006/relationships/hyperlink" Target="https://www.systemonline.cz/it-security/trh-bezpecnostnich-reseni-v-cr-neustale-roste.htm" TargetMode="External"/><Relationship Id="rId834" Type="http://schemas.openxmlformats.org/officeDocument/2006/relationships/hyperlink" Target="https://www.systemonline.cz/it-security/trh-bezpecnostnich-reseni-v-cr-neustale-roste.htm" TargetMode="External"/><Relationship Id="rId835" Type="http://schemas.openxmlformats.org/officeDocument/2006/relationships/hyperlink" Target="https://www.systemonline.cz/it-security/trh-bezpecnostnich-reseni-v-cr-neustale-roste.htm" TargetMode="External"/><Relationship Id="rId836" Type="http://schemas.openxmlformats.org/officeDocument/2006/relationships/hyperlink" Target="https://www.systemonline.cz/it-security/trh-bezpecnostnich-reseni-v-cr-neustale-roste.htm" TargetMode="External"/><Relationship Id="rId837" Type="http://schemas.openxmlformats.org/officeDocument/2006/relationships/hyperlink" Target="https://www.systemonline.cz/it-security/trh-bezpecnostnich-reseni-v-cr-neustale-roste.htm" TargetMode="External"/><Relationship Id="rId838" Type="http://schemas.openxmlformats.org/officeDocument/2006/relationships/hyperlink" Target="https://www.systemonline.cz/it-security/trh-bezpecnostnich-reseni-v-cr-neustale-roste.htm" TargetMode="External"/><Relationship Id="rId839" Type="http://schemas.openxmlformats.org/officeDocument/2006/relationships/hyperlink" Target="https://www.systemonline.cz/it-security/trh-bezpecnostnich-reseni-v-cr-neustale-roste.htm" TargetMode="External"/><Relationship Id="rId840" Type="http://schemas.openxmlformats.org/officeDocument/2006/relationships/hyperlink" Target="https://www.systemonline.cz/it-security/trh-bezpecnostnich-reseni-v-cr-neustale-roste.htm" TargetMode="External"/><Relationship Id="rId841" Type="http://schemas.openxmlformats.org/officeDocument/2006/relationships/hyperlink" Target="https://www.systemonline.cz/it-security/trh-bezpecnostnich-reseni-v-cr-neustale-roste.htm" TargetMode="External"/><Relationship Id="rId842" Type="http://schemas.openxmlformats.org/officeDocument/2006/relationships/hyperlink" Target="https://www.systemonline.cz/it-security/trh-bezpecnostnich-reseni-v-cr-neustale-roste.htm" TargetMode="External"/><Relationship Id="rId843" Type="http://schemas.openxmlformats.org/officeDocument/2006/relationships/hyperlink" Target="https://www.tc.cz/files_public/files/strat-sec-studie-trhu_2.pdf" TargetMode="External"/><Relationship Id="rId844" Type="http://schemas.openxmlformats.org/officeDocument/2006/relationships/hyperlink" Target="https://www.tc.cz/files_public/files/strat-sec-studie-trhu_2.pdf" TargetMode="External"/><Relationship Id="rId845" Type="http://schemas.openxmlformats.org/officeDocument/2006/relationships/hyperlink" Target="https://televizniweb.mediar.cz/2025/07/ceske-firmy-stale-podcenuji-kyberbezpecnost-rocne-za-ni-utrati-jen-do-100-000-kc/" TargetMode="External"/><Relationship Id="rId846" Type="http://schemas.openxmlformats.org/officeDocument/2006/relationships/hyperlink" Target="https://televizniweb.mediar.cz/2025/07/ceske-firmy-stale-podcenuji-kyberbezpecnost-rocne-za-ni-utrati-jen-do-100-000-kc/" TargetMode="External"/><Relationship Id="rId847" Type="http://schemas.openxmlformats.org/officeDocument/2006/relationships/hyperlink" Target="https://www.6wresearch.com/industry-report/romania-cybersecurity-market" TargetMode="External"/><Relationship Id="rId848" Type="http://schemas.openxmlformats.org/officeDocument/2006/relationships/hyperlink" Target="https://www.6wresearch.com/industry-report/romania-managed-security-services-market-2020-2026" TargetMode="External"/><Relationship Id="rId849" Type="http://schemas.openxmlformats.org/officeDocument/2006/relationships/hyperlink" Target="https://www.adrcentru.ro/pnrr-componenta7-digital/" TargetMode="External"/><Relationship Id="rId850" Type="http://schemas.openxmlformats.org/officeDocument/2006/relationships/hyperlink" Target="https://www.adrcentru.ro/pnrr-componenta7-digital/" TargetMode="External"/><Relationship Id="rId851" Type="http://schemas.openxmlformats.org/officeDocument/2006/relationships/hyperlink" Target="https://agerpres.ro/economic/2026/03/16/dinu-dnsc-piata-romaneasca-de-securitate-cibernetica-estimata-la-circa-200-de-milioane-de-euro-este---1537682" TargetMode="External"/><Relationship Id="rId852" Type="http://schemas.openxmlformats.org/officeDocument/2006/relationships/hyperlink" Target="https://agerpres.ro/comunicate/2026/09/03/comunicat-de-presa---guvern--1590336" TargetMode="External"/><Relationship Id="rId853" Type="http://schemas.openxmlformats.org/officeDocument/2006/relationships/hyperlink" Target="https://virtualboard.ro/produs/piata-de-cybersecurity-romania-2026/" TargetMode="External"/><Relationship Id="rId854" Type="http://schemas.openxmlformats.org/officeDocument/2006/relationships/hyperlink" Target="https://curierulnational.ro/piata-de-securitate-cibernetica-din-romania-ar-putea-depasi-300-milioane-euro-pana-in-2030/" TargetMode="External"/><Relationship Id="rId855" Type="http://schemas.openxmlformats.org/officeDocument/2006/relationships/hyperlink" Target="https://www.dnsc.ro/pagini/proiect-pnrr" TargetMode="External"/><Relationship Id="rId856" Type="http://schemas.openxmlformats.org/officeDocument/2006/relationships/hyperlink" Target="https://jurnalul.ro/special-jurnalul/anchete/sri-salvatori-pnrr-achizitie-mamut-protectie-cibernetica-softuri-1026111.html" TargetMode="External"/><Relationship Id="rId857" Type="http://schemas.openxmlformats.org/officeDocument/2006/relationships/hyperlink" Target="https://www.kenresearch.com/romania-cybersecurity-for-government-market" TargetMode="External"/><Relationship Id="rId858" Type="http://schemas.openxmlformats.org/officeDocument/2006/relationships/hyperlink" Target="https://www.mordorintelligence.com/industry-reports/romania-cybersecurity-market/market-size" TargetMode="External"/><Relationship Id="rId859" Type="http://schemas.openxmlformats.org/officeDocument/2006/relationships/hyperlink" Target="https://www.mordorintelligence.com/industry-reports/romania-cybersecurity-market/market-size" TargetMode="External"/><Relationship Id="rId860" Type="http://schemas.openxmlformats.org/officeDocument/2006/relationships/hyperlink" Target="https://www.mordorintelligence.com/industry-reports/romania-cybersecurity-market/market-size" TargetMode="External"/><Relationship Id="rId861" Type="http://schemas.openxmlformats.org/officeDocument/2006/relationships/hyperlink" Target="https://www.mordorintelligence.com/industry-reports/romania-cybersecurity-market/market-size" TargetMode="External"/><Relationship Id="rId862" Type="http://schemas.openxmlformats.org/officeDocument/2006/relationships/hyperlink" Target="https://www.mordorintelligence.com/industry-reports/romania-cybersecurity-market" TargetMode="External"/><Relationship Id="rId863" Type="http://schemas.openxmlformats.org/officeDocument/2006/relationships/hyperlink" Target="https://www.mordorintelligence.com/industry-reports/romania-cybersecurity-market" TargetMode="External"/><Relationship Id="rId864" Type="http://schemas.openxmlformats.org/officeDocument/2006/relationships/hyperlink" Target="https://www.europarl.europa.eu/RegData/etudes/BRIE/2025/772881/EPRS_BRI(2025)772881_EN.pdf" TargetMode="External"/><Relationship Id="rId865" Type="http://schemas.openxmlformats.org/officeDocument/2006/relationships/hyperlink" Target="https://startupcafe.ro/wp-content/uploads/2026/08/dnsc-raport-anual-2025.pdf" TargetMode="External"/><Relationship Id="rId866" Type="http://schemas.openxmlformats.org/officeDocument/2006/relationships/hyperlink" Target="https://startupcafe.ro/wp-content/uploads/2026/08/dnsc-raport-anual-2025.pdf" TargetMode="External"/><Relationship Id="rId867" Type="http://schemas.openxmlformats.org/officeDocument/2006/relationships/hyperlink" Target="https://www.teamfrance-export.fr/fiche-marche/tech-et-services/confiance-numerique-et-cybersecurite/RO" TargetMode="External"/><Relationship Id="rId868" Type="http://schemas.openxmlformats.org/officeDocument/2006/relationships/hyperlink" Target="https://www.teamfrance-export.fr/fiche-marche/tech-et-services/confiance-numerique-et-cybersecurite/RO" TargetMode="External"/><Relationship Id="rId869" Type="http://schemas.openxmlformats.org/officeDocument/2006/relationships/hyperlink" Target="https://www.6wresearch.com/industry-report/slovakia-cyber-security-market" TargetMode="External"/><Relationship Id="rId870" Type="http://schemas.openxmlformats.org/officeDocument/2006/relationships/hyperlink" Target="https://www.6wresearch.com/industry-report/slovakia-penetration-testing-market" TargetMode="External"/><Relationship Id="rId871" Type="http://schemas.openxmlformats.org/officeDocument/2006/relationships/hyperlink" Target="https://www.6wresearch.com/industry-report/slovakia-cyber-security-market" TargetMode="External"/><Relationship Id="rId872" Type="http://schemas.openxmlformats.org/officeDocument/2006/relationships/hyperlink" Target="https://www.mfsr.sk/files/sk/financie/hodnota-za-peniaze/hodnotenia/informatizacia/hodnotenie_kybernastroj.pdf" TargetMode="External"/><Relationship Id="rId873" Type="http://schemas.openxmlformats.org/officeDocument/2006/relationships/hyperlink" Target="https://www.mfsr.sk/files/sk/financie/hodnota-za-peniaze/hodnotenia/informatizacia/hodnotenie_kybernastroj.pdf" TargetMode="External"/><Relationship Id="rId874" Type="http://schemas.openxmlformats.org/officeDocument/2006/relationships/hyperlink" Target="https://www.mfsr.sk/files/sk/financie/hodnota-za-peniaze/hodnotenia/informatizacia/hodnotenie_kyberneticka-bezpecnost-samosprave-do-6-000-obyvatelov.pdf" TargetMode="External"/><Relationship Id="rId875" Type="http://schemas.openxmlformats.org/officeDocument/2006/relationships/hyperlink" Target="https://www.mfsr.sk/files/sk/financie/hodnota-za-peniaze/hodnotenia/informatizacia/hodnotenie_kyberneticka-bezpecnost-samosprave-do-6-000-obyvatelov.pdf" TargetMode="External"/><Relationship Id="rId876" Type="http://schemas.openxmlformats.org/officeDocument/2006/relationships/hyperlink" Target="https://mirri.gov.sk/wp-content/uploads/2024/05/Indik_harmonogram_vyhlas_VaPV_v6.pdf" TargetMode="External"/><Relationship Id="rId877" Type="http://schemas.openxmlformats.org/officeDocument/2006/relationships/hyperlink" Target="https://www.itapa.sk/data/att/060/10844.b0fc12.pdf" TargetMode="External"/><Relationship Id="rId878" Type="http://schemas.openxmlformats.org/officeDocument/2006/relationships/hyperlink" Target="https://www.itapa.sk/data/att/060/10844.b0fc12.pdf" TargetMode="External"/><Relationship Id="rId879" Type="http://schemas.openxmlformats.org/officeDocument/2006/relationships/hyperlink" Target="https://mirri.gov.sk/aktuality/digitalna-agenda/rezort-informatizacie-podporil-kyberneticku-bezpecnost-sumou-15-milionov-eur/" TargetMode="External"/><Relationship Id="rId880" Type="http://schemas.openxmlformats.org/officeDocument/2006/relationships/hyperlink" Target="https://mirri.gov.sk/aktuality/digitalna-agenda/rezort-informatizacie-podporil-kyberneticku-bezpecnost-sumou-15-milionov-eur/" TargetMode="External"/><Relationship Id="rId881" Type="http://schemas.openxmlformats.org/officeDocument/2006/relationships/hyperlink" Target="https://www.nbu.gov.sk/data/att/134.pdf" TargetMode="External"/><Relationship Id="rId882" Type="http://schemas.openxmlformats.org/officeDocument/2006/relationships/hyperlink" Target="https://www.nbu.gov.sk/data/att/134.pdf" TargetMode="External"/><Relationship Id="rId883" Type="http://schemas.openxmlformats.org/officeDocument/2006/relationships/hyperlink" Target="https://www.nbu.gov.sk/data/att/134.pdf" TargetMode="External"/><Relationship Id="rId884" Type="http://schemas.openxmlformats.org/officeDocument/2006/relationships/hyperlink" Target="https://www.nbu.gov.sk/data/att/134.pdf" TargetMode="External"/><Relationship Id="rId885" Type="http://schemas.openxmlformats.org/officeDocument/2006/relationships/hyperlink" Target="https://www.europarl.europa.eu/RegData/etudes/BRIE/2025/772881/EPRS_BRI(2025)772881_EN.pdf" TargetMode="External"/><Relationship Id="rId886" Type="http://schemas.openxmlformats.org/officeDocument/2006/relationships/hyperlink" Target="https://www.trade.gov/country-commercial-guides/slovenia-information-and-communications-technology" TargetMode="External"/><Relationship Id="rId887" Type="http://schemas.openxmlformats.org/officeDocument/2006/relationships/hyperlink" Target="https://www.gov.si/assets/ministrstva/MF/Proracun-direktorat/Drzavni-proracun/Zakljucni-racun/2022-ZR/Obrazlozitve-posebni-del/ZR2022-258-III_3_1544_UVIV.pdf" TargetMode="External"/><Relationship Id="rId888" Type="http://schemas.openxmlformats.org/officeDocument/2006/relationships/hyperlink" Target="https://www.gov.si/assets/ministrstva/MF/Proracun-direktorat/Drzavni-proracun/Zakljucni-racun/2022-ZR/Obrazlozitve-posebni-del/ZR2022-258-III_3_1544_UVIV.pdf" TargetMode="External"/><Relationship Id="rId889" Type="http://schemas.openxmlformats.org/officeDocument/2006/relationships/hyperlink" Target="https://www.uradni-list.si/files/RS_-2025-095-03358-OB~P002-0000.PDF" TargetMode="External"/><Relationship Id="rId890" Type="http://schemas.openxmlformats.org/officeDocument/2006/relationships/hyperlink" Target="https://www.zdruzenjeobcin.si/wp-content/uploads/2025/04/VLADA-RS_PREDLOG-ZAKONA-O-INFORMACIJSKI-VARNOSTI_APRIL-2025.pdf" TargetMode="External"/><Relationship Id="rId891" Type="http://schemas.openxmlformats.org/officeDocument/2006/relationships/hyperlink" Target="https://www.zdruzenjeobcin.si/wp-content/uploads/2025/04/VLADA-RS_PREDLOG-ZAKONA-O-INFORMACIJSKI-VARNOSTI_APRIL-2025.pdf" TargetMode="External"/><Relationship Id="rId892" Type="http://schemas.openxmlformats.org/officeDocument/2006/relationships/hyperlink" Target="https://www.gov.si/novice/2025-09-18-vlada-uvrstila-vec-projektov-kibernetske-varnosti-v-veljavni-nacrt-razvojnih-programov-20252028/" TargetMode="External"/><Relationship Id="rId893" Type="http://schemas.openxmlformats.org/officeDocument/2006/relationships/hyperlink" Target="https://www.gov.si/novice/2025-09-18-vlada-uvrstila-vec-projektov-kibernetske-varnosti-v-veljavni-nacrt-razvojnih-programov-20252028/" TargetMode="External"/><Relationship Id="rId894" Type="http://schemas.openxmlformats.org/officeDocument/2006/relationships/hyperlink" Target="https://www.gov.si/novice/2025-09-18-vlada-uvrstila-vec-projektov-kibernetske-varnosti-v-veljavni-nacrt-razvojnih-programov-20252028/" TargetMode="External"/><Relationship Id="rId895" Type="http://schemas.openxmlformats.org/officeDocument/2006/relationships/hyperlink" Target="https://www.gruppotim.it/content/dam/gt/centro-studi-tim/report-cybersecurity/cybersecurity%20made%20in%20italy_20230620.pdf" TargetMode="External"/><Relationship Id="rId896" Type="http://schemas.openxmlformats.org/officeDocument/2006/relationships/hyperlink" Target="https://www.computing.es/mercado-ti/tendencias-en-espana-en-el-mercado-de-ti-para-2016/" TargetMode="External"/><Relationship Id="rId897" Type="http://schemas.openxmlformats.org/officeDocument/2006/relationships/hyperlink" Target="https://www.dbk.es/es/detalle-nota/ciberseguridad-2023" TargetMode="External"/><Relationship Id="rId898" Type="http://schemas.openxmlformats.org/officeDocument/2006/relationships/hyperlink" Target="https://www.dbk.es/es/detalle-nota/ciberseguridad-2023" TargetMode="External"/><Relationship Id="rId899" Type="http://schemas.openxmlformats.org/officeDocument/2006/relationships/hyperlink" Target="https://www.dbk.es/es/detalle-nota/ciberseguridad-2023" TargetMode="External"/><Relationship Id="rId900" Type="http://schemas.openxmlformats.org/officeDocument/2006/relationships/hyperlink" Target="https://www.dbk.es/es/detalle-nota/ciberseguridad-2025" TargetMode="External"/><Relationship Id="rId901" Type="http://schemas.openxmlformats.org/officeDocument/2006/relationships/hyperlink" Target="https://www.dbk.es/es/detalle-nota/ciberseguridad-2025" TargetMode="External"/><Relationship Id="rId902" Type="http://schemas.openxmlformats.org/officeDocument/2006/relationships/hyperlink" Target="https://www.dbk.es/es/detalle-nota/ciberseguridad-2025" TargetMode="External"/><Relationship Id="rId903" Type="http://schemas.openxmlformats.org/officeDocument/2006/relationships/hyperlink" Target="https://www.dbk.es/es/detalle-nota/ciberseguridad-2025" TargetMode="External"/><Relationship Id="rId904" Type="http://schemas.openxmlformats.org/officeDocument/2006/relationships/hyperlink" Target="https://www.dbk.es/es/detalle-nota/ciberseguridad-2025" TargetMode="External"/><Relationship Id="rId905" Type="http://schemas.openxmlformats.org/officeDocument/2006/relationships/hyperlink" Target="https://www.dbk.es/es/detalle-nota/ciberseguridad-2025" TargetMode="External"/><Relationship Id="rId906" Type="http://schemas.openxmlformats.org/officeDocument/2006/relationships/hyperlink" Target="https://www.deloitte.com/content/dam/assets-zone2/es/es/docs/services/risk-advisory/2023/Deloitte-ES-informe-CISOS-ciberseguridad.pdf" TargetMode="External"/><Relationship Id="rId907" Type="http://schemas.openxmlformats.org/officeDocument/2006/relationships/hyperlink" Target="https://www.deloitte.com/content/dam/assets-zone2/es/es/docs/services/risk-advisory/2023/Deloitte-ES-informe-CISOS-ciberseguridad.pdf" TargetMode="External"/><Relationship Id="rId908" Type="http://schemas.openxmlformats.org/officeDocument/2006/relationships/hyperlink" Target="https://www.deloitte.com/content/dam/assets-zone2/es/es/docs/services/risk-advisory/2023/Deloitte-ES-informe-CISOS-ciberseguridad.pdf" TargetMode="External"/><Relationship Id="rId909" Type="http://schemas.openxmlformats.org/officeDocument/2006/relationships/hyperlink" Target="https://www.dsn.gob.es/es/actualidad/sala-de-prensa/plan-nacional-ciberseguridad-0" TargetMode="External"/><Relationship Id="rId910" Type="http://schemas.openxmlformats.org/officeDocument/2006/relationships/hyperlink" Target="https://forbes.es/economia/664162/la-mediana-empresa-espanola-solo-destina-un-4-de-su-presupuesto-informatico-a-ciberseguridad-segun-cylum/" TargetMode="External"/><Relationship Id="rId911" Type="http://schemas.openxmlformats.org/officeDocument/2006/relationships/hyperlink" Target="https://digital.gob.es/content/dam/portal-mtdfp/avance-digital/telecomunicacion-e-infraestructuras-digitales/areas_interes/&#8203;ciberseguridad-y-despliegue-del-5g/Componente15.pdf" TargetMode="External"/><Relationship Id="rId912" Type="http://schemas.openxmlformats.org/officeDocument/2006/relationships/hyperlink" Target="https://digital.gob.es/content/dam/portal-mtdfp/avance-digital/telecomunicacion-e-infraestructuras-digitales/areas_interes/&#8203;ciberseguridad-y-despliegue-del-5g/Componente15.pdf" TargetMode="External"/><Relationship Id="rId913" Type="http://schemas.openxmlformats.org/officeDocument/2006/relationships/hyperlink" Target="https://digital.gob.es/content/dam/portal-mtdfp/avance-digital/telecomunicacion-e-infraestructuras-digitales/areas_interes/&#8203;ciberseguridad-y-despliegue-del-5g/Componente15.pdf" TargetMode="External"/><Relationship Id="rId914" Type="http://schemas.openxmlformats.org/officeDocument/2006/relationships/hyperlink" Target="https://digital.gob.es/content/dam/portal-mtdfp/avance-digital/telecomunicacion-e-infraestructuras-digitales/areas_interes/&#8203;ciberseguridad-y-despliegue-del-5g/Componente15.pdf" TargetMode="External"/><Relationship Id="rId915" Type="http://schemas.openxmlformats.org/officeDocument/2006/relationships/hyperlink" Target="https://6740520.fs1.hubspotusercontent-na1.net/hubfs/6740520/ES_Files/IDC-Ciberseguridad-oct-2023-vf-maquetada-2.pdf" TargetMode="External"/><Relationship Id="rId916" Type="http://schemas.openxmlformats.org/officeDocument/2006/relationships/hyperlink" Target="https://6740520.fs1.hubspotusercontent-na1.net/hubfs/6740520/ES_Files/IDC-Ciberseguridad-oct-2023-vf-maquetada-2.pdf" TargetMode="External"/><Relationship Id="rId917" Type="http://schemas.openxmlformats.org/officeDocument/2006/relationships/hyperlink" Target="https://www.imarcgroup.com/spain-cybersecurity-market" TargetMode="External"/><Relationship Id="rId918" Type="http://schemas.openxmlformats.org/officeDocument/2006/relationships/hyperlink" Target="https://www.imarcgroup.com/spain-cybersecurity-market" TargetMode="External"/><Relationship Id="rId919" Type="http://schemas.openxmlformats.org/officeDocument/2006/relationships/hyperlink" Target="https://www.imarcgroup.com/europe-cybersecurity-market" TargetMode="External"/><Relationship Id="rId920" Type="http://schemas.openxmlformats.org/officeDocument/2006/relationships/hyperlink" Target="https://www.incibe.es/sites/default/files/Emprendimiento/ESTUDIO%20ECOSISTEMA%20EMPRENDIMIENTO_0.pdf" TargetMode="External"/><Relationship Id="rId921" Type="http://schemas.openxmlformats.org/officeDocument/2006/relationships/hyperlink" Target="https://www.incibe.es/sites/default/files/Emprendimiento/ESTUDIO%20ECOSISTEMA%20EMPRENDIMIENTO_0.pdf" TargetMode="External"/><Relationship Id="rId922" Type="http://schemas.openxmlformats.org/officeDocument/2006/relationships/hyperlink" Target="https://www.incibe.es/incibe/sala-de-prensa/incibe-y-conetic-presentan-las-conclusiones-del-estudio-sobre-la-industria-de" TargetMode="External"/><Relationship Id="rId923" Type="http://schemas.openxmlformats.org/officeDocument/2006/relationships/hyperlink" Target="https://www.incibe.es/incibe/sala-de-prensa/incibe-y-conetic-presentan-las-conclusiones-del-estudio-sobre-la-industria-de" TargetMode="External"/><Relationship Id="rId924" Type="http://schemas.openxmlformats.org/officeDocument/2006/relationships/hyperlink" Target="https://www.incibe.es/incibe/sala-de-prensa/incibe-y-conetic-presentan-las-conclusiones-del-estudio-sobre-la-industria-de" TargetMode="External"/><Relationship Id="rId925" Type="http://schemas.openxmlformats.org/officeDocument/2006/relationships/hyperlink" Target="https://www.mordorintelligence.com/fr/industry-reports/spain-cybersecurity-market/market-size" TargetMode="External"/><Relationship Id="rId926" Type="http://schemas.openxmlformats.org/officeDocument/2006/relationships/hyperlink" Target="https://www.mordorintelligence.com/fr/industry-reports/spain-cybersecurity-market/market-size" TargetMode="External"/><Relationship Id="rId927" Type="http://schemas.openxmlformats.org/officeDocument/2006/relationships/hyperlink" Target="https://www.mordorintelligence.com/industry-reports/spain-cybersecurity-market" TargetMode="External"/><Relationship Id="rId928" Type="http://schemas.openxmlformats.org/officeDocument/2006/relationships/hyperlink" Target="https://www.mordorintelligence.com/industry-reports/spain-cybersecurity-market" TargetMode="External"/><Relationship Id="rId929" Type="http://schemas.openxmlformats.org/officeDocument/2006/relationships/hyperlink" Target="https://www.mordorintelligence.com/industry-reports/spain-cybersecurity-market" TargetMode="External"/><Relationship Id="rId930" Type="http://schemas.openxmlformats.org/officeDocument/2006/relationships/hyperlink" Target="https://www.mordorintelligence.com/industry-reports/spain-cybersecurity-market" TargetMode="External"/><Relationship Id="rId931" Type="http://schemas.openxmlformats.org/officeDocument/2006/relationships/hyperlink" Target="https://www.europarl.europa.eu/RegData/etudes/BRIE/2025/772881/EPRS_BRI(2025)772881_EN.pdf" TargetMode="External"/><Relationship Id="rId932" Type="http://schemas.openxmlformats.org/officeDocument/2006/relationships/hyperlink" Target="https://www.statista.com/forecasts/1499030/spain-cybersecurity-market-revenue" TargetMode="External"/><Relationship Id="rId933" Type="http://schemas.openxmlformats.org/officeDocument/2006/relationships/hyperlink" Target="https://www.cbi.eu/market-information/outsourcing-itobpo/cybersecurity/market-potential" TargetMode="External"/><Relationship Id="rId934" Type="http://schemas.openxmlformats.org/officeDocument/2006/relationships/hyperlink" Target="https://www.cisco.com/c/dam/global/sv_se/home/pdf/secure-digitalization-with-nis2-report-cisco-2023.pdf" TargetMode="External"/><Relationship Id="rId935" Type="http://schemas.openxmlformats.org/officeDocument/2006/relationships/hyperlink" Target="https://www.cisco.com/c/dam/global/sv_se/home/pdf/secure-digitalization-with-nis2-report-cisco-2023.pdf" TargetMode="External"/><Relationship Id="rId936" Type="http://schemas.openxmlformats.org/officeDocument/2006/relationships/hyperlink" Target="https://www.icex.es/content/dam/icex/centros/suecia/documentos/2025/estudio-mercado-ciberseguridad-suecia-2025-resumen.pdf" TargetMode="External"/><Relationship Id="rId937" Type="http://schemas.openxmlformats.org/officeDocument/2006/relationships/hyperlink" Target="https://www.icex.es/content/dam/icex/centros/suecia/documentos/2025/estudio-mercado-ciberseguridad-suecia-2025-resumen.pdf" TargetMode="External"/><Relationship Id="rId938" Type="http://schemas.openxmlformats.org/officeDocument/2006/relationships/hyperlink" Target="https://www.icex.es/content/dam/icex/centros/suecia/documentos/2025/estudio-mercado-ciberseguridad-suecia-2025-resumen.pdf" TargetMode="External"/><Relationship Id="rId939" Type="http://schemas.openxmlformats.org/officeDocument/2006/relationships/hyperlink" Target="https://www.kommerskollegium.se/en/analyses-and-seminars/published/market-study/2025/the-swedish-market-for-cybersecurity/" TargetMode="External"/><Relationship Id="rId940" Type="http://schemas.openxmlformats.org/officeDocument/2006/relationships/hyperlink" Target="https://www.kommerskollegium.se/en/analyses-and-seminars/published/market-study/2025/the-swedish-market-for-cybersecurity/" TargetMode="External"/><Relationship Id="rId941" Type="http://schemas.openxmlformats.org/officeDocument/2006/relationships/hyperlink" Target="https://www.kommerskollegium.se/en/analyses-and-seminars/published/market-study/2025/the-swedish-market-for-cybersecurity/" TargetMode="External"/><Relationship Id="rId942" Type="http://schemas.openxmlformats.org/officeDocument/2006/relationships/hyperlink" Target="https://www.mordorintelligence.com/industry-reports/nordics-cybersecurity-market" TargetMode="External"/><Relationship Id="rId943" Type="http://schemas.openxmlformats.org/officeDocument/2006/relationships/hyperlink" Target="https://www.mordorintelligence.it/industry-reports/sweden-cybersecurity-market" TargetMode="External"/><Relationship Id="rId944" Type="http://schemas.openxmlformats.org/officeDocument/2006/relationships/hyperlink" Target="https://www.mordorintelligence.it/industry-reports/sweden-cybersecurity-market" TargetMode="External"/><Relationship Id="rId945" Type="http://schemas.openxmlformats.org/officeDocument/2006/relationships/hyperlink" Target="https://www.mordorintelligence.it/industry-reports/sweden-cybersecurity-market" TargetMode="External"/><Relationship Id="rId946" Type="http://schemas.openxmlformats.org/officeDocument/2006/relationships/hyperlink" Target="https://www.mordorintelligence.com/industry-reports/sweden-cybersecurity-market" TargetMode="External"/><Relationship Id="rId947" Type="http://schemas.openxmlformats.org/officeDocument/2006/relationships/hyperlink" Target="https://www.mordorintelligence.com/industry-reports/sweden-cybersecurity-market" TargetMode="External"/><Relationship Id="rId948" Type="http://schemas.openxmlformats.org/officeDocument/2006/relationships/hyperlink" Target="https://www.mordorintelligence.com/industry-reports/sweden-cybersecurity-market" TargetMode="External"/><Relationship Id="rId949" Type="http://schemas.openxmlformats.org/officeDocument/2006/relationships/hyperlink" Target="https://nordlo.com/wp-content/uploads/2024/04/nordlocybersakerhetsrapport-2024.pdf" TargetMode="External"/><Relationship Id="rId950" Type="http://schemas.openxmlformats.org/officeDocument/2006/relationships/hyperlink" Target="https://nordlo.com/wp-content/uploads/2024/04/nordlocybersakerhetsrapport-2024.pdf" TargetMode="External"/><Relationship Id="rId951" Type="http://schemas.openxmlformats.org/officeDocument/2006/relationships/hyperlink" Target="https://nordlo.com/wp-content/uploads/2024/04/nordlocybersakerhetsrapport-2024.pdf" TargetMode="External"/><Relationship Id="rId952" Type="http://schemas.openxmlformats.org/officeDocument/2006/relationships/hyperlink" Target="https://nordlo.com/wp-content/uploads/2024/01/cybersakerhetsrapport.pdf" TargetMode="External"/><Relationship Id="rId953" Type="http://schemas.openxmlformats.org/officeDocument/2006/relationships/hyperlink" Target="https://hub.radargrp.com/content/svensk-cybersakerhet-2025-behov-prioriteringar-och-forutsattningar-i-en-orolig-omvarld" TargetMode="External"/><Relationship Id="rId954" Type="http://schemas.openxmlformats.org/officeDocument/2006/relationships/hyperlink" Target="https://www.regeringen.se/contentassets/9e2c6501b5814c71b03ae759eb32d80f/finansplan--utdrag-ur-budgetpropositionen-for-2026.pdf" TargetMode="External"/><Relationship Id="rId955" Type="http://schemas.openxmlformats.org/officeDocument/2006/relationships/hyperlink" Target="https://www.regeringen.se/contentassets/9e2c6501b5814c71b03ae759eb32d80f/finansplan--utdrag-ur-budgetpropositionen-for-2026.pdf" TargetMode="External"/><Relationship Id="rId956" Type="http://schemas.openxmlformats.org/officeDocument/2006/relationships/hyperlink" Target="https://www.regeringen.se/contentassets/9e2c6501b5814c71b03ae759eb32d80f/finansplan--utdrag-ur-budgetpropositionen-for-2026.pdf" TargetMode="External"/><Relationship Id="rId957" Type="http://schemas.openxmlformats.org/officeDocument/2006/relationships/hyperlink" Target="https://www.regeringen.se/pressmeddelanden/2024/09/historisk-satsning-pa-cybersakerhet/" TargetMode="External"/><Relationship Id="rId958" Type="http://schemas.openxmlformats.org/officeDocument/2006/relationships/hyperlink" Target="https://www.regeringen.se/pressmeddelanden/2025/09/nationell-satsning-pa-cybersakerhet/" TargetMode="External"/><Relationship Id="rId959" Type="http://schemas.openxmlformats.org/officeDocument/2006/relationships/hyperlink" Target="https://www.regeringen.se/pressmeddelanden/2025/09/nationell-satsning-pa-cybersakerhet/" TargetMode="External"/><Relationship Id="rId960" Type="http://schemas.openxmlformats.org/officeDocument/2006/relationships/hyperlink" Target="https://www.regeringen.se/pressmeddelanden/2025/09/nationell-satsning-pa-cybersakerhet/" TargetMode="External"/><Relationship Id="rId961" Type="http://schemas.openxmlformats.org/officeDocument/2006/relationships/hyperlink" Target="https://www.regeringen.se/globalassets/regeringen/dokument/forsvarsdepartementet/presentationsbilder-fran-presstraff/2024/presstraff-23-september-2024/presentationsbilder-fran-presstraff-den-23-september-2024.pdf" TargetMode="External"/><Relationship Id="rId962" Type="http://schemas.openxmlformats.org/officeDocument/2006/relationships/hyperlink" Target="https://www.6wresearch.com/industry-report/hungary-cyber-security-market" TargetMode="External"/><Relationship Id="rId963" Type="http://schemas.openxmlformats.org/officeDocument/2006/relationships/hyperlink" Target="https://www.6wresearch.com/industry-report/hungary-security-as-a-service-market" TargetMode="External"/><Relationship Id="rId964" Type="http://schemas.openxmlformats.org/officeDocument/2006/relationships/hyperlink" Target="https://www.6wresearch.com/industry-report/hungary-cyber-security-market" TargetMode="External"/><Relationship Id="rId965" Type="http://schemas.openxmlformats.org/officeDocument/2006/relationships/hyperlink" Target="https://my.idc.com/getdoc.jsp?containerId=prEUR251983724" TargetMode="External"/><Relationship Id="rId966" Type="http://schemas.openxmlformats.org/officeDocument/2006/relationships/hyperlink" Target="https://my.idc.com/getdoc.jsp?containerId=prEUR253305325" TargetMode="External"/><Relationship Id="rId967" Type="http://schemas.openxmlformats.org/officeDocument/2006/relationships/hyperlink" Target="https://www.trade.gov/country-commercial-guides/hungary-digital-economy" TargetMode="External"/><Relationship Id="rId968" Type="http://schemas.openxmlformats.org/officeDocument/2006/relationships/hyperlink" Target="https://www.trade.gov/country-commercial-guides/hungary-digital-economy" TargetMode="External"/><Relationship Id="rId969" Type="http://schemas.openxmlformats.org/officeDocument/2006/relationships/hyperlink" Target="https://markwideresearch.com/hungary-cybersecurity-market" TargetMode="External"/><Relationship Id="rId970" Type="http://schemas.openxmlformats.org/officeDocument/2006/relationships/hyperlink" Target="https://markwideresearch.com/hungary-cybersecurity-market" TargetMode="External"/><Relationship Id="rId971" Type="http://schemas.openxmlformats.org/officeDocument/2006/relationships/hyperlink" Target="https://www.mordorintelligence.com/industry-reports/hungary-cybersecurity-market" TargetMode="External"/><Relationship Id="rId972" Type="http://schemas.openxmlformats.org/officeDocument/2006/relationships/hyperlink" Target="https://www.mordorintelligence.com/industry-reports/hungary-cybersecurity-market" TargetMode="External"/><Relationship Id="rId973" Type="http://schemas.openxmlformats.org/officeDocument/2006/relationships/hyperlink" Target="https://www.mordorintelligence.com/industry-reports/hungary-cybersecurity-market" TargetMode="External"/><Relationship Id="rId974" Type="http://schemas.openxmlformats.org/officeDocument/2006/relationships/hyperlink" Target="https://www.mordorintelligence.com/industry-reports/hungary-cybersecurity-market" TargetMode="External"/><Relationship Id="rId975" Type="http://schemas.openxmlformats.org/officeDocument/2006/relationships/hyperlink" Target="https://net.jogtar.hu/jogszabaly?docid=a2400069.tv" TargetMode="External"/><Relationship Id="rId976" Type="http://schemas.openxmlformats.org/officeDocument/2006/relationships/hyperlink" Target="https://www.verifiedmarketresearch.com/product/hungary-cybersecurity-market/" TargetMode="External"/><Relationship Id="rId977" Type="http://schemas.openxmlformats.org/officeDocument/2006/relationships/hyperlink" Target="https://www.verifiedmarketresearch.com/product/hungary-cybersecurity-market/" TargetMode="External"/><Relationship Id="rId978" Type="http://schemas.openxmlformats.org/officeDocument/2006/relationships/hyperlink" Target="https://www.cbi.eu/market-information/outsourcing-itobpo/cybersecurity/market-potential" TargetMode="External"/><Relationship Id="rId979" Type="http://schemas.openxmlformats.org/officeDocument/2006/relationships/hyperlink" Target="https://assets.publishing.service.gov.uk/government/uploads/system/uploads/attachment_data/file/1055565/Cyber_Sectoral_Analysis_2022_Report_V2.1.pdf" TargetMode="External"/><Relationship Id="rId980" Type="http://schemas.openxmlformats.org/officeDocument/2006/relationships/hyperlink" Target="https://assets.publishing.service.gov.uk/government/uploads/system/uploads/attachment_data/file/1055565/Cyber_Sectoral_Analysis_2022_Report_V2.1.pdf" TargetMode="External"/><Relationship Id="rId981" Type="http://schemas.openxmlformats.org/officeDocument/2006/relationships/hyperlink" Target="https://assets.publishing.service.gov.uk/media/5a803781ed915d74e33f9237/Cyber_Security_Breaches_Survey_2016_main_report_FINAL.pdf" TargetMode="External"/><Relationship Id="rId982" Type="http://schemas.openxmlformats.org/officeDocument/2006/relationships/hyperlink" Target="https://assets.publishing.service.gov.uk/media/5a803781ed915d74e33f9237/Cyber_Security_Breaches_Survey_2016_main_report_FINAL.pdf" TargetMode="External"/><Relationship Id="rId983" Type="http://schemas.openxmlformats.org/officeDocument/2006/relationships/hyperlink" Target="https://assets.publishing.service.gov.uk/media/5a803781ed915d74e33f9237/Cyber_Security_Breaches_Survey_2016_main_report_FINAL.pdf" TargetMode="External"/><Relationship Id="rId984" Type="http://schemas.openxmlformats.org/officeDocument/2006/relationships/hyperlink" Target="https://assets.publishing.service.gov.uk/media/5a803781ed915d74e33f9237/Cyber_Security_Breaches_Survey_2016_main_report_FINAL.pdf" TargetMode="External"/><Relationship Id="rId985" Type="http://schemas.openxmlformats.org/officeDocument/2006/relationships/hyperlink" Target="https://assets.publishing.service.gov.uk/media/5a803781ed915d74e33f9237/Cyber_Security_Breaches_Survey_2016_main_report_FINAL.pdf" TargetMode="External"/><Relationship Id="rId986" Type="http://schemas.openxmlformats.org/officeDocument/2006/relationships/hyperlink" Target="https://assets.publishing.service.gov.uk/media/5a803781ed915d74e33f9237/Cyber_Security_Breaches_Survey_2016_main_report_FINAL.pdf" TargetMode="External"/><Relationship Id="rId987" Type="http://schemas.openxmlformats.org/officeDocument/2006/relationships/hyperlink" Target="https://assets.publishing.service.gov.uk/media/5a803781ed915d74e33f9237/Cyber_Security_Breaches_Survey_2016_main_report_FINAL.pdf" TargetMode="External"/><Relationship Id="rId988" Type="http://schemas.openxmlformats.org/officeDocument/2006/relationships/hyperlink" Target="https://assets.publishing.service.gov.uk/media/5a803781ed915d74e33f9237/Cyber_Security_Breaches_Survey_2016_main_report_FINAL.pdf" TargetMode="External"/><Relationship Id="rId989" Type="http://schemas.openxmlformats.org/officeDocument/2006/relationships/hyperlink" Target="https://assets.publishing.service.gov.uk/media/5a7598a540f0b67b3d5c7bae/Cyber_Security_Breaches_Survey_2017_main_report_PUBLIC.pdf" TargetMode="External"/><Relationship Id="rId990" Type="http://schemas.openxmlformats.org/officeDocument/2006/relationships/hyperlink" Target="https://assets.publishing.service.gov.uk/media/5a7598a540f0b67b3d5c7bae/Cyber_Security_Breaches_Survey_2017_main_report_PUBLIC.pdf" TargetMode="External"/><Relationship Id="rId991" Type="http://schemas.openxmlformats.org/officeDocument/2006/relationships/hyperlink" Target="https://assets.publishing.service.gov.uk/media/5a7598a540f0b67b3d5c7bae/Cyber_Security_Breaches_Survey_2017_main_report_PUBLIC.pdf" TargetMode="External"/><Relationship Id="rId992" Type="http://schemas.openxmlformats.org/officeDocument/2006/relationships/hyperlink" Target="https://assets.publishing.service.gov.uk/media/5a7598a540f0b67b3d5c7bae/Cyber_Security_Breaches_Survey_2017_main_report_PUBLIC.pdf" TargetMode="External"/><Relationship Id="rId993" Type="http://schemas.openxmlformats.org/officeDocument/2006/relationships/hyperlink" Target="https://assets.publishing.service.gov.uk/media/5a7598a540f0b67b3d5c7bae/Cyber_Security_Breaches_Survey_2017_main_report_PUBLIC.pdf" TargetMode="External"/><Relationship Id="rId994" Type="http://schemas.openxmlformats.org/officeDocument/2006/relationships/hyperlink" Target="https://assets.publishing.service.gov.uk/media/5a7598a540f0b67b3d5c7bae/Cyber_Security_Breaches_Survey_2017_main_report_PUBLIC.pdf" TargetMode="External"/><Relationship Id="rId995" Type="http://schemas.openxmlformats.org/officeDocument/2006/relationships/hyperlink" Target="https://assets.publishing.service.gov.uk/media/5a7598a540f0b67b3d5c7bae/Cyber_Security_Breaches_Survey_2017_main_report_PUBLIC.pdf" TargetMode="External"/><Relationship Id="rId996" Type="http://schemas.openxmlformats.org/officeDocument/2006/relationships/hyperlink" Target="https://assets.publishing.service.gov.uk/media/5a7598a540f0b67b3d5c7bae/Cyber_Security_Breaches_Survey_2017_main_report_PUBLIC.pdf" TargetMode="External"/><Relationship Id="rId997" Type="http://schemas.openxmlformats.org/officeDocument/2006/relationships/hyperlink" Target="https://assets.publishing.service.gov.uk/media/5adf222ce5274a0d8209473e/Cyber_Security_Breaches_Survey_2018_-_Main_Report.pdf" TargetMode="External"/><Relationship Id="rId998" Type="http://schemas.openxmlformats.org/officeDocument/2006/relationships/hyperlink" Target="https://assets.publishing.service.gov.uk/media/5adf222ce5274a0d8209473e/Cyber_Security_Breaches_Survey_2018_-_Main_Report.pdf" TargetMode="External"/><Relationship Id="rId999" Type="http://schemas.openxmlformats.org/officeDocument/2006/relationships/hyperlink" Target="https://assets.publishing.service.gov.uk/media/5adf222ce5274a0d8209473e/Cyber_Security_Breaches_Survey_2018_-_Main_Report.pdf" TargetMode="External"/><Relationship Id="rId1000" Type="http://schemas.openxmlformats.org/officeDocument/2006/relationships/hyperlink" Target="https://assets.publishing.service.gov.uk/media/5adf222ce5274a0d8209473e/Cyber_Security_Breaches_Survey_2018_-_Main_Report.pdf" TargetMode="External"/><Relationship Id="rId1001" Type="http://schemas.openxmlformats.org/officeDocument/2006/relationships/hyperlink" Target="https://assets.publishing.service.gov.uk/media/5adf222ce5274a0d8209473e/Cyber_Security_Breaches_Survey_2018_-_Main_Report.pdf" TargetMode="External"/><Relationship Id="rId1002" Type="http://schemas.openxmlformats.org/officeDocument/2006/relationships/hyperlink" Target="https://assets.publishing.service.gov.uk/media/5adf222ce5274a0d8209473e/Cyber_Security_Breaches_Survey_2018_-_Main_Report.pdf" TargetMode="External"/><Relationship Id="rId1003" Type="http://schemas.openxmlformats.org/officeDocument/2006/relationships/hyperlink" Target="https://assets.publishing.service.gov.uk/media/5adf222ce5274a0d8209473e/Cyber_Security_Breaches_Survey_2018_-_Main_Report.pdf" TargetMode="External"/><Relationship Id="rId1004" Type="http://schemas.openxmlformats.org/officeDocument/2006/relationships/hyperlink" Target="https://assets.publishing.service.gov.uk/media/5adf222ce5274a0d8209473e/Cyber_Security_Breaches_Survey_2018_-_Main_Report.pdf" TargetMode="External"/><Relationship Id="rId1005" Type="http://schemas.openxmlformats.org/officeDocument/2006/relationships/hyperlink" Target="https://assets.publishing.service.gov.uk/media/5ff5bb478fa8f53b772750cf/Cyber_Security_Breaches_Survey_2019_-_Main_Report_-_revised_V2.pdf" TargetMode="External"/><Relationship Id="rId1006" Type="http://schemas.openxmlformats.org/officeDocument/2006/relationships/hyperlink" Target="https://assets.publishing.service.gov.uk/media/5ff5bb478fa8f53b772750cf/Cyber_Security_Breaches_Survey_2019_-_Main_Report_-_revised_V2.pdf" TargetMode="External"/><Relationship Id="rId1007" Type="http://schemas.openxmlformats.org/officeDocument/2006/relationships/hyperlink" Target="https://assets.publishing.service.gov.uk/media/5ff5bb478fa8f53b772750cf/Cyber_Security_Breaches_Survey_2019_-_Main_Report_-_revised_V2.pdf" TargetMode="External"/><Relationship Id="rId1008" Type="http://schemas.openxmlformats.org/officeDocument/2006/relationships/hyperlink" Target="https://assets.publishing.service.gov.uk/media/5ff5bb478fa8f53b772750cf/Cyber_Security_Breaches_Survey_2019_-_Main_Report_-_revised_V2.pdf" TargetMode="External"/><Relationship Id="rId1009" Type="http://schemas.openxmlformats.org/officeDocument/2006/relationships/hyperlink" Target="https://assets.publishing.service.gov.uk/media/5ff5bb478fa8f53b772750cf/Cyber_Security_Breaches_Survey_2019_-_Main_Report_-_revised_V2.pdf" TargetMode="External"/><Relationship Id="rId1010" Type="http://schemas.openxmlformats.org/officeDocument/2006/relationships/hyperlink" Target="https://assets.publishing.service.gov.uk/media/5ff5bb478fa8f53b772750cf/Cyber_Security_Breaches_Survey_2019_-_Main_Report_-_revised_V2.pdf" TargetMode="External"/><Relationship Id="rId1011" Type="http://schemas.openxmlformats.org/officeDocument/2006/relationships/hyperlink" Target="https://assets.publishing.service.gov.uk/media/5ff5bb478fa8f53b772750cf/Cyber_Security_Breaches_Survey_2019_-_Main_Report_-_revised_V2.pdf" TargetMode="External"/><Relationship Id="rId1012" Type="http://schemas.openxmlformats.org/officeDocument/2006/relationships/hyperlink" Target="https://assets.publishing.service.gov.uk/media/5ff5bb478fa8f53b772750cf/Cyber_Security_Breaches_Survey_2019_-_Main_Report_-_revised_V2.pdf" TargetMode="External"/><Relationship Id="rId1013" Type="http://schemas.openxmlformats.org/officeDocument/2006/relationships/hyperlink" Target="https://assets.publishing.service.gov.uk/media/601a893ee90e07128d62cd72/UK_Cyber_Sectoral_Analysis__2020__Report_V2.pdf" TargetMode="External"/><Relationship Id="rId1014" Type="http://schemas.openxmlformats.org/officeDocument/2006/relationships/hyperlink" Target="https://assets.publishing.service.gov.uk/media/601a893ee90e07128d62cd72/UK_Cyber_Sectoral_Analysis__2020__Report_V2.pdf" TargetMode="External"/><Relationship Id="rId1015" Type="http://schemas.openxmlformats.org/officeDocument/2006/relationships/hyperlink" Target="https://assets.publishing.service.gov.uk/government/uploads/system/uploads/attachment_data/file/962413/UK_Cyber_Security_Sectoral_Analysis__2021_.pdf" TargetMode="External"/><Relationship Id="rId1016" Type="http://schemas.openxmlformats.org/officeDocument/2006/relationships/hyperlink" Target="https://assets.publishing.service.gov.uk/media/602d5011e90e0709e3127477/UK_Cyber_Security_Sectoral_Analysis__2021_.pdf" TargetMode="External"/><Relationship Id="rId1017" Type="http://schemas.openxmlformats.org/officeDocument/2006/relationships/hyperlink" Target="https://assets.publishing.service.gov.uk/media/5bd1a221ed915d78c4c8a2ab/UK_Cyber_Sector_Report_-__June_2018.pdf" TargetMode="External"/><Relationship Id="rId1018" Type="http://schemas.openxmlformats.org/officeDocument/2006/relationships/hyperlink" Target="https://assets.publishing.service.gov.uk/media/5bd1a221ed915d78c4c8a2ab/UK_Cyber_Sector_Report_-__June_2018.pdf" TargetMode="External"/><Relationship Id="rId1019" Type="http://schemas.openxmlformats.org/officeDocument/2006/relationships/hyperlink" Target="https://www.gov.uk/government/news/new-cyber-action-plan-to-tackle-threats-and-strengthen-public-services" TargetMode="External"/><Relationship Id="rId1020" Type="http://schemas.openxmlformats.org/officeDocument/2006/relationships/hyperlink" Target="https://www.gov.uk/government/publications/cyber-security-sectoral-analysis-2023/uk-cyber-security-sectoral-analysis-2023" TargetMode="External"/><Relationship Id="rId1021" Type="http://schemas.openxmlformats.org/officeDocument/2006/relationships/hyperlink" Target="https://www.gov.uk/government/publications/cyber-security-sectoral-analysis-2023/uk-cyber-security-sectoral-analysis-2023" TargetMode="External"/><Relationship Id="rId1022" Type="http://schemas.openxmlformats.org/officeDocument/2006/relationships/hyperlink" Target="https://www.gov.uk/government/publications/cyber-security-sectoral-analysis-2024/cyber-security-sectoral-analysis-2024" TargetMode="External"/><Relationship Id="rId1023" Type="http://schemas.openxmlformats.org/officeDocument/2006/relationships/hyperlink" Target="https://www.gov.uk/government/publications/cyber-security-sectoral-analysis-2024/cyber-security-sectoral-analysis-2024" TargetMode="External"/><Relationship Id="rId1024" Type="http://schemas.openxmlformats.org/officeDocument/2006/relationships/hyperlink" Target="https://www.gov.uk/government/publications/cyber-security-sectoral-analysis-2025/cyber-security-sectoral-analysis-2025" TargetMode="External"/><Relationship Id="rId1025" Type="http://schemas.openxmlformats.org/officeDocument/2006/relationships/hyperlink" Target="https://www.gov.uk/government/publications/cyber-security-sectoral-analysis-2025/cyber-security-sectoral-analysis-2025" TargetMode="External"/><Relationship Id="rId1026" Type="http://schemas.openxmlformats.org/officeDocument/2006/relationships/hyperlink" Target="https://www.gov.uk/government/publications/cyber-security-sectoral-analysis-2025/cyber-security-sectoral-analysis-2025" TargetMode="External"/><Relationship Id="rId1027" Type="http://schemas.openxmlformats.org/officeDocument/2006/relationships/hyperlink" Target="https://www.gov.uk/government/publications/cyber-security-sectoral-analysis-2026/cyber-security-sectoral-analysis-2026" TargetMode="External"/><Relationship Id="rId1028" Type="http://schemas.openxmlformats.org/officeDocument/2006/relationships/hyperlink" Target="https://www.gov.uk/government/publications/cyber-security-sectoral-analysis-2026/cyber-security-sectoral-analysis-2026" TargetMode="External"/><Relationship Id="rId1029" Type="http://schemas.openxmlformats.org/officeDocument/2006/relationships/hyperlink" Target="https://www.gov.uk/government/publications/cyber-security-sectoral-analysis-2026/cyber-security-sectoral-analysis-2026" TargetMode="External"/><Relationship Id="rId1030" Type="http://schemas.openxmlformats.org/officeDocument/2006/relationships/hyperlink" Target="https://www.gov.uk/government/publications/cyber-security-sectoral-analysis-2026/cyber-security-sectoral-analysis-2026" TargetMode="External"/><Relationship Id="rId1031" Type="http://schemas.openxmlformats.org/officeDocument/2006/relationships/hyperlink" Target="https://www.gov.uk/government/publications/cyber-security-sectoral-analysis-2026/cyber-security-sectoral-analysis-2026" TargetMode="External"/><Relationship Id="rId1032" Type="http://schemas.openxmlformats.org/officeDocument/2006/relationships/hyperlink" Target="https://www.gov.uk/government/publications/cyber-security-sectoral-analysis-2026/cyber-security-sectoral-analysis-2026" TargetMode="External"/><Relationship Id="rId1033" Type="http://schemas.openxmlformats.org/officeDocument/2006/relationships/hyperlink" Target="https://www.gov.uk/government/publications/cyber-security-sectoral-analysis-2026/cyber-security-sectoral-analysis-2026" TargetMode="External"/><Relationship Id="rId1034" Type="http://schemas.openxmlformats.org/officeDocument/2006/relationships/hyperlink" Target="https://www.fortunebusinessinsights.com/industry-reports/cyber-security-market-101165" TargetMode="External"/><Relationship Id="rId1035" Type="http://schemas.openxmlformats.org/officeDocument/2006/relationships/hyperlink" Target="https://www.grandviewresearch.com/horizon/outlook/cyber-security-services-market/uk" TargetMode="External"/><Relationship Id="rId1036" Type="http://schemas.openxmlformats.org/officeDocument/2006/relationships/hyperlink" Target="https://www.grandviewresearch.com/horizon/outlook/cyber-security-services-market/uk" TargetMode="External"/><Relationship Id="rId1037" Type="http://schemas.openxmlformats.org/officeDocument/2006/relationships/hyperlink" Target="https://www.grandviewresearch.com/horizon/outlook/cyber-security-market/uk" TargetMode="External"/><Relationship Id="rId1038" Type="http://schemas.openxmlformats.org/officeDocument/2006/relationships/hyperlink" Target="https://www.grandviewresearch.com/horizon/outlook/cyber-security-market/uk" TargetMode="External"/><Relationship Id="rId1039" Type="http://schemas.openxmlformats.org/officeDocument/2006/relationships/hyperlink" Target="https://www.gov.uk/government/publications/national-cyber-strategy-2022/national-cyber-security-strategy-2022" TargetMode="External"/><Relationship Id="rId1040" Type="http://schemas.openxmlformats.org/officeDocument/2006/relationships/hyperlink" Target="https://www.gov.uk/government/publications/national-cyber-strategy-2022/national-cyber-security-strategy-2022" TargetMode="External"/><Relationship Id="rId1041" Type="http://schemas.openxmlformats.org/officeDocument/2006/relationships/hyperlink" Target="https://assets.publishing.service.gov.uk/media/5a81914de5274a2e8ab54ae9/national_cyber_security_strategy_2016.pdf" TargetMode="External"/><Relationship Id="rId1042" Type="http://schemas.openxmlformats.org/officeDocument/2006/relationships/hyperlink" Target="https://www.imarcgroup.com/uk-cybersecurity-market" TargetMode="External"/><Relationship Id="rId1043" Type="http://schemas.openxmlformats.org/officeDocument/2006/relationships/hyperlink" Target="https://www.imarcgroup.com/uk-cybersecurity-market" TargetMode="External"/><Relationship Id="rId1044" Type="http://schemas.openxmlformats.org/officeDocument/2006/relationships/hyperlink" Target="https://www.imarcgroup.com/uk-cybersecurity-market" TargetMode="External"/><Relationship Id="rId1045" Type="http://schemas.openxmlformats.org/officeDocument/2006/relationships/hyperlink" Target="https://www.kenresearch.com/uk-cybersecurity-in-government-services-market" TargetMode="External"/><Relationship Id="rId1046" Type="http://schemas.openxmlformats.org/officeDocument/2006/relationships/hyperlink" Target="https://www.kenresearch.com/uk-cybersecurity-market" TargetMode="External"/><Relationship Id="rId1047" Type="http://schemas.openxmlformats.org/officeDocument/2006/relationships/hyperlink" Target="https://www.mordorintelligence.com/industry-reports/uk-cybersecurity-market" TargetMode="External"/><Relationship Id="rId1048" Type="http://schemas.openxmlformats.org/officeDocument/2006/relationships/hyperlink" Target="https://www.mordorintelligence.com/industry-reports/uk-cybersecurity-market" TargetMode="External"/><Relationship Id="rId1049" Type="http://schemas.openxmlformats.org/officeDocument/2006/relationships/hyperlink" Target="https://www.mordorintelligence.com/industry-reports/uk-cybersecurity-market" TargetMode="External"/><Relationship Id="rId1050" Type="http://schemas.openxmlformats.org/officeDocument/2006/relationships/hyperlink" Target="https://www.mordorintelligence.com/industry-reports/uk-cybersecurity-market" TargetMode="External"/><Relationship Id="rId1051" Type="http://schemas.openxmlformats.org/officeDocument/2006/relationships/hyperlink" Target="https://www.mordorintelligence.com/industry-reports/uk-cybersecurity-market" TargetMode="External"/><Relationship Id="rId1052" Type="http://schemas.openxmlformats.org/officeDocument/2006/relationships/hyperlink" Target="https://www.mordorintelligence.com/industry-reports/uk-cybersecurity-market" TargetMode="External"/><Relationship Id="rId1053" Type="http://schemas.openxmlformats.org/officeDocument/2006/relationships/hyperlink" Target="https://www.nao.org.uk/wp-content/uploads/2025/01/government-cyber-resilience.pdf" TargetMode="External"/><Relationship Id="rId1054" Type="http://schemas.openxmlformats.org/officeDocument/2006/relationships/hyperlink" Target="https://www.nao.org.uk/wp-content/uploads/2019/03/Progress-of-the-2016-2021-National-Cyber-Security-Programme.pdf" TargetMode="External"/><Relationship Id="rId1055" Type="http://schemas.openxmlformats.org/officeDocument/2006/relationships/hyperlink" Target="https://www.nao.org.uk/wp-content/uploads/2019/03/Progress-of-the-2016-2021-National-Cyber-Security-Programme.pdf" TargetMode="External"/><Relationship Id="rId1056" Type="http://schemas.openxmlformats.org/officeDocument/2006/relationships/hyperlink" Target="https://www.pwc.co.uk/press-room/press-releases/research-commentary/2024/law-firm-performance-surpasses-expectations-with-continued-growt.html" TargetMode="External"/><Relationship Id="rId1057" Type="http://schemas.openxmlformats.org/officeDocument/2006/relationships/hyperlink" Target="https://www.pwc.co.uk/press-room/press-releases/research-commentary/2024/law-firm-performance-surpasses-expectations-with-continued-growt.html" TargetMode="External"/><Relationship Id="rId1058" Type="http://schemas.openxmlformats.org/officeDocument/2006/relationships/hyperlink" Target="https://www.pwc.co.uk/press-room/press-releases/research-commentary/2024/law-firm-performance-surpasses-expectations-with-continued-growt.html" TargetMode="External"/><Relationship Id="rId1059" Type="http://schemas.openxmlformats.org/officeDocument/2006/relationships/hyperlink" Target="https://www.pwc.co.uk/industries/law-firms/law-firms-survey-2025.pdf" TargetMode="External"/><Relationship Id="rId1060" Type="http://schemas.openxmlformats.org/officeDocument/2006/relationships/hyperlink" Target="https://www.pwc.co.uk/industries/law-firms/law-firms-survey-2025.pdf" TargetMode="External"/><Relationship Id="rId1061" Type="http://schemas.openxmlformats.org/officeDocument/2006/relationships/hyperlink" Target="https://www.statista.com/forecasts/1499043/revenue-cybersecurity-cybersecurity-market-united-kingdom" TargetMode="External"/><Relationship Id="rId1062" Type="http://schemas.openxmlformats.org/officeDocument/2006/relationships/hyperlink" Target="https://www.statista.com/study/124902/cybersecurity-report/" TargetMode="External"/><Relationship Id="rId1063" Type="http://schemas.openxmlformats.org/officeDocument/2006/relationships/hyperlink" Target="https://www.6wresearch.com/industry-report/europe-cyber-security-market" TargetMode="External"/><Relationship Id="rId1064" Type="http://schemas.openxmlformats.org/officeDocument/2006/relationships/hyperlink" Target="https://www.6wresearch.com/industry-report/europe-cyber-security-market" TargetMode="External"/><Relationship Id="rId1065" Type="http://schemas.openxmlformats.org/officeDocument/2006/relationships/hyperlink" Target="https://www.bdo.nl/getmedia/46087d8a-7d9a-4831-8e1c-fe8482cb676a/Global-and-European-Cybersecurity-Industry.pdf" TargetMode="External"/><Relationship Id="rId1066" Type="http://schemas.openxmlformats.org/officeDocument/2006/relationships/hyperlink" Target="https://www.bdo.nl/getmedia/46087d8a-7d9a-4831-8e1c-fe8482cb676a/Global-and-European-Cybersecurity-Industry.pdf" TargetMode="External"/><Relationship Id="rId1067" Type="http://schemas.openxmlformats.org/officeDocument/2006/relationships/hyperlink" Target="https://www.bdo.nl/getmedia/46087d8a-7d9a-4831-8e1c-fe8482cb676a/Global-and-European-Cybersecurity-Industry.pdf" TargetMode="External"/><Relationship Id="rId1068" Type="http://schemas.openxmlformats.org/officeDocument/2006/relationships/hyperlink" Target="https://www.bdo.nl/getmedia/46087d8a-7d9a-4831-8e1c-fe8482cb676a/Global-and-European-Cybersecurity-Industry.pdf" TargetMode="External"/><Relationship Id="rId1069" Type="http://schemas.openxmlformats.org/officeDocument/2006/relationships/hyperlink" Target="https://www.bdo.nl/getmedia/46087d8a-7d9a-4831-8e1c-fe8482cb676a/Global-and-European-Cybersecurity-Industry.pdf" TargetMode="External"/><Relationship Id="rId1070" Type="http://schemas.openxmlformats.org/officeDocument/2006/relationships/hyperlink" Target="https://www.bdo.nl/getmedia/46087d8a-7d9a-4831-8e1c-fe8482cb676a/Global-and-European-Cybersecurity-Industry.pdf" TargetMode="External"/><Relationship Id="rId1071" Type="http://schemas.openxmlformats.org/officeDocument/2006/relationships/hyperlink" Target="https://www.bdo.nl/getmedia/46087d8a-7d9a-4831-8e1c-fe8482cb676a/Global-and-European-Cybersecurity-Industry.pdf" TargetMode="External"/><Relationship Id="rId1072" Type="http://schemas.openxmlformats.org/officeDocument/2006/relationships/hyperlink" Target="https://www.bdo.nl/getmedia/46087d8a-7d9a-4831-8e1c-fe8482cb676a/Global-and-European-Cybersecurity-Industry.pdf" TargetMode="External"/><Relationship Id="rId1073" Type="http://schemas.openxmlformats.org/officeDocument/2006/relationships/hyperlink" Target="https://www.bdo.nl/getmedia/46087d8a-7d9a-4831-8e1c-fe8482cb676a/Global-and-European-Cybersecurity-Industry.pdf" TargetMode="External"/><Relationship Id="rId1074" Type="http://schemas.openxmlformats.org/officeDocument/2006/relationships/hyperlink" Target="https://www.bdo.nl/getmedia/46087d8a-7d9a-4831-8e1c-fe8482cb676a/Global-and-European-Cybersecurity-Industry.pdf" TargetMode="External"/><Relationship Id="rId1075" Type="http://schemas.openxmlformats.org/officeDocument/2006/relationships/hyperlink" Target="https://www.bitkom.org/Presse/Presseinformation/Cybersicherheit-Deutscher-Markt-ueber-10-Milliarden-Marke" TargetMode="External"/><Relationship Id="rId1076" Type="http://schemas.openxmlformats.org/officeDocument/2006/relationships/hyperlink" Target="https://www.bitkom.org/print/pdf/node/25332" TargetMode="External"/><Relationship Id="rId1077" Type="http://schemas.openxmlformats.org/officeDocument/2006/relationships/hyperlink" Target="https://www.bitkom.org/print/pdf/node/25332" TargetMode="External"/><Relationship Id="rId1078" Type="http://schemas.openxmlformats.org/officeDocument/2006/relationships/hyperlink" Target="https://www.cbi.eu/market-information/outsourcing-itobpo/cybersecurity/market-potential" TargetMode="External"/><Relationship Id="rId1079" Type="http://schemas.openxmlformats.org/officeDocument/2006/relationships/hyperlink" Target="https://www.cbi.eu/market-information/outsourcing-itobpo/cybersecurity/market-potential" TargetMode="External"/><Relationship Id="rId1080" Type="http://schemas.openxmlformats.org/officeDocument/2006/relationships/hyperlink" Target="https://www.cognitivemarketresearch.com/cybersecurity-market-report" TargetMode="External"/><Relationship Id="rId1081" Type="http://schemas.openxmlformats.org/officeDocument/2006/relationships/hyperlink" Target="https://www.cognitivemarketresearch.com/cybersecurity-market-report" TargetMode="External"/><Relationship Id="rId1082" Type="http://schemas.openxmlformats.org/officeDocument/2006/relationships/hyperlink" Target="https://www.cognitivemarketresearch.com/cybersecurity-market-report" TargetMode="External"/><Relationship Id="rId1083" Type="http://schemas.openxmlformats.org/officeDocument/2006/relationships/hyperlink" Target="https://www.cognitivemarketresearch.com/cybersecurity-software-market-report" TargetMode="External"/><Relationship Id="rId1084" Type="http://schemas.openxmlformats.org/officeDocument/2006/relationships/hyperlink" Target="https://www.cognitivemarketresearch.com/cybersecurity-software-market-report" TargetMode="External"/><Relationship Id="rId1085" Type="http://schemas.openxmlformats.org/officeDocument/2006/relationships/hyperlink" Target="https://www.cognitivemarketresearch.com/cybersecurity-software-market-report" TargetMode="External"/><Relationship Id="rId1086" Type="http://schemas.openxmlformats.org/officeDocument/2006/relationships/hyperlink" Target="https://op.europa.eu/o/opportal-service/download-handler?identifier=fa9b11af-6d4a-11f1-ae88-01aa75ed71a1&amp;format=PDF&amp;language=en&amp;productionSystem=cellar" TargetMode="External"/><Relationship Id="rId1087" Type="http://schemas.openxmlformats.org/officeDocument/2006/relationships/hyperlink" Target="https://op.europa.eu/o/opportal-service/download-handler?identifier=fa9b11af-6d4a-11f1-ae88-01aa75ed71a1&amp;format=PDF&amp;language=en&amp;productionSystem=cellar" TargetMode="External"/><Relationship Id="rId1088" Type="http://schemas.openxmlformats.org/officeDocument/2006/relationships/hyperlink" Target="https://dimensionmarketresearch.com/report/europe-cybersecurity-market/" TargetMode="External"/><Relationship Id="rId1089" Type="http://schemas.openxmlformats.org/officeDocument/2006/relationships/hyperlink" Target="https://dimensionmarketresearch.com/report/europe-cybersecurity-market/" TargetMode="External"/><Relationship Id="rId1090" Type="http://schemas.openxmlformats.org/officeDocument/2006/relationships/hyperlink" Target="https://ecs-org.eu/ecso-uploads/2022/10/59e615c9dd8f1.pdf" TargetMode="External"/><Relationship Id="rId1091" Type="http://schemas.openxmlformats.org/officeDocument/2006/relationships/hyperlink" Target="https://ecs-org.eu/ecso-uploads/2022/10/61dbf641ebada.pdf" TargetMode="External"/><Relationship Id="rId1092" Type="http://schemas.openxmlformats.org/officeDocument/2006/relationships/hyperlink" Target="https://www.enisa.europa.eu/sites/default/files/all_files/2017-07-13%20ENISA%20contrib%20to%20EU%20CSS%20review%20V%20B%20final.pdf" TargetMode="External"/><Relationship Id="rId1093" Type="http://schemas.openxmlformats.org/officeDocument/2006/relationships/hyperlink" Target="https://www.enisa.europa.eu/sites/default/files/all_files/2017-07-13%20ENISA%20contrib%20to%20EU%20CSS%20review%20V%20B%20final.pdf" TargetMode="External"/><Relationship Id="rId1094" Type="http://schemas.openxmlformats.org/officeDocument/2006/relationships/hyperlink" Target="https://www.enisa.europa.eu/sites/default/files/publications/CSPA%20-%20NIS%20Investments%20-%202023.pdf" TargetMode="External"/><Relationship Id="rId1095" Type="http://schemas.openxmlformats.org/officeDocument/2006/relationships/hyperlink" Target="https://www.enisa.europa.eu/sites/default/files/publications/CSPA%20-%20NIS%20Investments%20-%202023.pdf" TargetMode="External"/><Relationship Id="rId1096" Type="http://schemas.openxmlformats.org/officeDocument/2006/relationships/hyperlink" Target="https://www.enisa.europa.eu/sites/default/files/publications/CSPA%20-%20NIS%20Investments%20-%202023.pdf" TargetMode="External"/><Relationship Id="rId1097" Type="http://schemas.openxmlformats.org/officeDocument/2006/relationships/hyperlink" Target="https://www.fortunebusinessinsights.com/industry-reports/cyber-security-market-101165?key5sk1=f54b506722f3f6b72e6b2c2e1aaac2cc1e2a057d&amp;af=7639" TargetMode="External"/><Relationship Id="rId1098" Type="http://schemas.openxmlformats.org/officeDocument/2006/relationships/hyperlink" Target="https://www.fortunebusinessinsights.com/industry-reports/cyber-security-market-101165" TargetMode="External"/><Relationship Id="rId1099" Type="http://schemas.openxmlformats.org/officeDocument/2006/relationships/hyperlink" Target="https://www.fortunebusinessinsights.com/industry-reports/cyber-security-market-101165" TargetMode="External"/><Relationship Id="rId1100" Type="http://schemas.openxmlformats.org/officeDocument/2006/relationships/hyperlink" Target="https://www.frost.com/files/7214/9324/1278/Fortinet_Award_Write_Up.pdf" TargetMode="External"/><Relationship Id="rId1101" Type="http://schemas.openxmlformats.org/officeDocument/2006/relationships/hyperlink" Target="https://www.gartner.com/en/articles/information-security" TargetMode="External"/><Relationship Id="rId1102" Type="http://schemas.openxmlformats.org/officeDocument/2006/relationships/hyperlink" Target="https://www.gartner.com/en/articles/information-security" TargetMode="External"/><Relationship Id="rId1103" Type="http://schemas.openxmlformats.org/officeDocument/2006/relationships/hyperlink" Target="https://www.gartner.com/en/newsroom/press-releases/2024-11-07-gartner-forecasts--it-sending-in-europe-to-grow-9-percent-in-2025" TargetMode="External"/><Relationship Id="rId1104" Type="http://schemas.openxmlformats.org/officeDocument/2006/relationships/hyperlink" Target="https://www.grandviewresearch.com/industry-analysis/europe-cyber-security-market-report" TargetMode="External"/><Relationship Id="rId1105" Type="http://schemas.openxmlformats.org/officeDocument/2006/relationships/hyperlink" Target="https://www.grandviewresearch.com/industry-analysis/europe-cyber-security-market-report" TargetMode="External"/><Relationship Id="rId1106" Type="http://schemas.openxmlformats.org/officeDocument/2006/relationships/hyperlink" Target="https://www.grandviewresearch.com/industry-analysis/europe-cyber-security-market-report" TargetMode="External"/><Relationship Id="rId1107" Type="http://schemas.openxmlformats.org/officeDocument/2006/relationships/hyperlink" Target="https://www.grandviewresearch.com/industry-analysis/europe-cyber-security-market-report" TargetMode="External"/><Relationship Id="rId1108" Type="http://schemas.openxmlformats.org/officeDocument/2006/relationships/hyperlink" Target="https://www.grandviewresearch.com/horizon/outlook/cyber-security-market/europe" TargetMode="External"/><Relationship Id="rId1109" Type="http://schemas.openxmlformats.org/officeDocument/2006/relationships/hyperlink" Target="https://www.grandviewresearch.com/horizon/outlook/cyber-security-market/europe" TargetMode="External"/><Relationship Id="rId1110" Type="http://schemas.openxmlformats.org/officeDocument/2006/relationships/hyperlink" Target="https://www.grandviewresearch.com/horizon/outlook/cyber-security-market/europe" TargetMode="External"/><Relationship Id="rId1111" Type="http://schemas.openxmlformats.org/officeDocument/2006/relationships/hyperlink" Target="https://www.idc.com/resource-center/blog/resource-region/3_223/page/28/" TargetMode="External"/><Relationship Id="rId1112" Type="http://schemas.openxmlformats.org/officeDocument/2006/relationships/hyperlink" Target="https://www.idc.com/resource-center/blog/resource-region/3_223/page/28/" TargetMode="External"/><Relationship Id="rId1113" Type="http://schemas.openxmlformats.org/officeDocument/2006/relationships/hyperlink" Target="https://www.zdnet.com/article/cybersecurity-this-is-how-firms-are-spending-their-budget-this-year/" TargetMode="External"/><Relationship Id="rId1114" Type="http://schemas.openxmlformats.org/officeDocument/2006/relationships/hyperlink" Target="https://www.zdnet.com/article/cybersecurity-this-is-how-firms-are-spending-their-budget-this-year/" TargetMode="External"/><Relationship Id="rId1115" Type="http://schemas.openxmlformats.org/officeDocument/2006/relationships/hyperlink" Target="https://www.zdnet.com/article/cybersecurity-this-is-how-firms-are-spending-their-budget-this-year/" TargetMode="External"/><Relationship Id="rId1116" Type="http://schemas.openxmlformats.org/officeDocument/2006/relationships/hyperlink" Target="https://www.zdnet.com/article/cybersecurity-this-is-how-firms-are-spending-their-budget-this-year/" TargetMode="External"/><Relationship Id="rId1117" Type="http://schemas.openxmlformats.org/officeDocument/2006/relationships/hyperlink" Target="https://www.zdnet.com/article/cybersecurity-this-is-how-firms-are-spending-their-budget-this-year/" TargetMode="External"/><Relationship Id="rId1118" Type="http://schemas.openxmlformats.org/officeDocument/2006/relationships/hyperlink" Target="https://www.zdnet.com/article/cybersecurity-this-is-how-firms-are-spending-their-budget-this-year/" TargetMode="External"/><Relationship Id="rId1119" Type="http://schemas.openxmlformats.org/officeDocument/2006/relationships/hyperlink" Target="https://www.zdnet.com/article/cybersecurity-this-is-how-firms-are-spending-their-budget-this-year/" TargetMode="External"/><Relationship Id="rId1120" Type="http://schemas.openxmlformats.org/officeDocument/2006/relationships/hyperlink" Target="https://www.thefastmode.com/technology-and-solution-trends/27038-european-it-security-spending-to-continue-to-rise-at-sustained-pace-says-idc" TargetMode="External"/><Relationship Id="rId1121" Type="http://schemas.openxmlformats.org/officeDocument/2006/relationships/hyperlink" Target="https://www.thefastmode.com/technology-and-solution-trends/27038-european-it-security-spending-to-continue-to-rise-at-sustained-pace-says-idc" TargetMode="External"/><Relationship Id="rId1122" Type="http://schemas.openxmlformats.org/officeDocument/2006/relationships/hyperlink" Target="https://www.thefastmode.com/technology-and-solution-trends/27038-european-it-security-spending-to-continue-to-rise-at-sustained-pace-says-idc" TargetMode="External"/><Relationship Id="rId1123" Type="http://schemas.openxmlformats.org/officeDocument/2006/relationships/hyperlink" Target="https://www.thefastmode.com/technology-and-solution-trends/27038-european-it-security-spending-to-continue-to-rise-at-sustained-pace-says-idc" TargetMode="External"/><Relationship Id="rId1124" Type="http://schemas.openxmlformats.org/officeDocument/2006/relationships/hyperlink" Target="https://www.thefastmode.com/technology-and-solution-trends/27038-european-it-security-spending-to-continue-to-rise-at-sustained-pace-says-idc" TargetMode="External"/><Relationship Id="rId1125" Type="http://schemas.openxmlformats.org/officeDocument/2006/relationships/hyperlink" Target="https://my.idc.com/getdoc.jsp?containerId=prEUR251983724" TargetMode="External"/><Relationship Id="rId1126" Type="http://schemas.openxmlformats.org/officeDocument/2006/relationships/hyperlink" Target="https://my.idc.com/getdoc.jsp?containerId=prEUR251983724" TargetMode="External"/><Relationship Id="rId1127" Type="http://schemas.openxmlformats.org/officeDocument/2006/relationships/hyperlink" Target="https://my.idc.com/getdoc.jsp?containerId=prEUR251983724" TargetMode="External"/><Relationship Id="rId1128" Type="http://schemas.openxmlformats.org/officeDocument/2006/relationships/hyperlink" Target="https://my.idc.com/getdoc.jsp?containerId=prEUR251983724" TargetMode="External"/><Relationship Id="rId1129" Type="http://schemas.openxmlformats.org/officeDocument/2006/relationships/hyperlink" Target="https://my.idc.com/getdoc.jsp?containerId=prEUR251983724" TargetMode="External"/><Relationship Id="rId1130" Type="http://schemas.openxmlformats.org/officeDocument/2006/relationships/hyperlink" Target="https://my.idc.com/getdoc.jsp?containerId=prEUR253305325" TargetMode="External"/><Relationship Id="rId1131" Type="http://schemas.openxmlformats.org/officeDocument/2006/relationships/hyperlink" Target="https://my.idc.com/getdoc.jsp?containerId=prEUR253305325" TargetMode="External"/><Relationship Id="rId1132" Type="http://schemas.openxmlformats.org/officeDocument/2006/relationships/hyperlink" Target="https://my.idc.com/getdoc.jsp?containerId=prEUR253305325" TargetMode="External"/><Relationship Id="rId1133" Type="http://schemas.openxmlformats.org/officeDocument/2006/relationships/hyperlink" Target="https://my.idc.com/getdoc.jsp?containerId=prEUR253305325" TargetMode="External"/><Relationship Id="rId1134" Type="http://schemas.openxmlformats.org/officeDocument/2006/relationships/hyperlink" Target="https://my.idc.com/getdoc.jsp?containerId=prEUR253305325" TargetMode="External"/><Relationship Id="rId1135" Type="http://schemas.openxmlformats.org/officeDocument/2006/relationships/hyperlink" Target="https://my.idc.com/eu/events/71329-idc-security-forum?g_clang=ENG" TargetMode="External"/><Relationship Id="rId1136" Type="http://schemas.openxmlformats.org/officeDocument/2006/relationships/hyperlink" Target="https://my.idc.com/eu/events/71329-idc-security-forum?g_clang=ENG" TargetMode="External"/><Relationship Id="rId1137" Type="http://schemas.openxmlformats.org/officeDocument/2006/relationships/hyperlink" Target="https://event.idc.com/event/it-security-summit-uk/" TargetMode="External"/><Relationship Id="rId1138" Type="http://schemas.openxmlformats.org/officeDocument/2006/relationships/hyperlink" Target="https://event.idc.com/event/it-security-summit-uk/" TargetMode="External"/><Relationship Id="rId1139" Type="http://schemas.openxmlformats.org/officeDocument/2006/relationships/hyperlink" Target="https://www.imarcgroup.com/europe-cybersecurity-market" TargetMode="External"/><Relationship Id="rId1140" Type="http://schemas.openxmlformats.org/officeDocument/2006/relationships/hyperlink" Target="https://www.imarcgroup.com/europe-cybersecurity-market" TargetMode="External"/><Relationship Id="rId1141" Type="http://schemas.openxmlformats.org/officeDocument/2006/relationships/hyperlink" Target="https://www.imarcgroup.com/europe-cybersecurity-market" TargetMode="External"/><Relationship Id="rId1142" Type="http://schemas.openxmlformats.org/officeDocument/2006/relationships/hyperlink" Target="https://www.imarcgroup.com/europe-cybersecurity-market" TargetMode="External"/><Relationship Id="rId1143" Type="http://schemas.openxmlformats.org/officeDocument/2006/relationships/hyperlink" Target="https://www.imarcgroup.com/europe-cybersecurity-market" TargetMode="External"/><Relationship Id="rId1144" Type="http://schemas.openxmlformats.org/officeDocument/2006/relationships/hyperlink" Target="https://www.imarcgroup.com/europe-cybersecurity-market" TargetMode="External"/><Relationship Id="rId1145" Type="http://schemas.openxmlformats.org/officeDocument/2006/relationships/hyperlink" Target="https://www.imarcgroup.com/europe-cybersecurity-market" TargetMode="External"/><Relationship Id="rId1146" Type="http://schemas.openxmlformats.org/officeDocument/2006/relationships/hyperlink" Target="https://www.imarcgroup.com/europe-cybersecurity-market" TargetMode="External"/><Relationship Id="rId1147" Type="http://schemas.openxmlformats.org/officeDocument/2006/relationships/hyperlink" Target="https://www.kenresearch.com/industry-reports/europe-cyber-security-industry" TargetMode="External"/><Relationship Id="rId1148" Type="http://schemas.openxmlformats.org/officeDocument/2006/relationships/hyperlink" Target="https://www.marketdataforecast.com/market-reports/europe-cyber-security-market" TargetMode="External"/><Relationship Id="rId1149" Type="http://schemas.openxmlformats.org/officeDocument/2006/relationships/hyperlink" Target="https://www.marketdataforecast.com/market-reports/europe-cyber-security-market" TargetMode="External"/><Relationship Id="rId1150" Type="http://schemas.openxmlformats.org/officeDocument/2006/relationships/hyperlink" Target="https://www.marketdataforecast.com/market-reports/europe-cyber-security-market" TargetMode="External"/><Relationship Id="rId1151" Type="http://schemas.openxmlformats.org/officeDocument/2006/relationships/hyperlink" Target="https://www.marketdataforecast.com/market-reports/europe-cyber-security-market" TargetMode="External"/><Relationship Id="rId1152" Type="http://schemas.openxmlformats.org/officeDocument/2006/relationships/hyperlink" Target="https://www.marketsandmarkets.com/Market-Reports/europe-cybersecurity-market-156644743.html" TargetMode="External"/><Relationship Id="rId1153" Type="http://schemas.openxmlformats.org/officeDocument/2006/relationships/hyperlink" Target="https://www.marketsandmarkets.com/Market-Reports/europe-cybersecurity-market-156644743.html" TargetMode="External"/><Relationship Id="rId1154" Type="http://schemas.openxmlformats.org/officeDocument/2006/relationships/hyperlink" Target="https://www.marketsandmarkets.com/Market-Reports/europe-cybersecurity-market-156644743.html" TargetMode="External"/><Relationship Id="rId1155" Type="http://schemas.openxmlformats.org/officeDocument/2006/relationships/hyperlink" Target="https://www.marketsandmarkets.com/Market-Reports/geography/cyber-security-market/europe" TargetMode="External"/><Relationship Id="rId1156" Type="http://schemas.openxmlformats.org/officeDocument/2006/relationships/hyperlink" Target="https://www.marketsandmarkets.com/Market-Reports/geography/cyber-security-market/europe" TargetMode="External"/><Relationship Id="rId1157" Type="http://schemas.openxmlformats.org/officeDocument/2006/relationships/hyperlink" Target="https://www.mordorintelligence.com/industry-reports/europe-cybersecurity-market" TargetMode="External"/><Relationship Id="rId1158" Type="http://schemas.openxmlformats.org/officeDocument/2006/relationships/hyperlink" Target="https://www.mordorintelligence.com/industry-reports/europe-cybersecurity-market" TargetMode="External"/><Relationship Id="rId1159" Type="http://schemas.openxmlformats.org/officeDocument/2006/relationships/hyperlink" Target="https://www.mordorintelligence.com/industry-reports/europe-cybersecurity-market" TargetMode="External"/><Relationship Id="rId1160" Type="http://schemas.openxmlformats.org/officeDocument/2006/relationships/hyperlink" Target="https://www.mordorintelligence.com/industry-reports/europe-cybersecurity-market" TargetMode="External"/><Relationship Id="rId1161" Type="http://schemas.openxmlformats.org/officeDocument/2006/relationships/hyperlink" Target="https://www.mordorintelligence.com/industry-reports/europe-cybersecurity-market" TargetMode="External"/><Relationship Id="rId1162" Type="http://schemas.openxmlformats.org/officeDocument/2006/relationships/hyperlink" Target="https://www.mordorintelligence.com/industry-reports/europe-cybersecurity-market" TargetMode="External"/><Relationship Id="rId1163" Type="http://schemas.openxmlformats.org/officeDocument/2006/relationships/hyperlink" Target="https://www.mordorintelligence.com/industry-reports/europe-security-services-market" TargetMode="External"/><Relationship Id="rId1164" Type="http://schemas.openxmlformats.org/officeDocument/2006/relationships/hyperlink" Target="https://www.mordorintelligence.com/industry-reports/europe-security-services-market" TargetMode="External"/><Relationship Id="rId1165" Type="http://schemas.openxmlformats.org/officeDocument/2006/relationships/hyperlink" Target="https://www.mordorintelligence.com/industry-reports/europe-security-services-market" TargetMode="External"/><Relationship Id="rId1166" Type="http://schemas.openxmlformats.org/officeDocument/2006/relationships/hyperlink" Target="https://sitsi.pacanalyst.com/le-marche-europeen-de-la-cybersecurite-une-croissance-sans-limite/" TargetMode="External"/><Relationship Id="rId1167" Type="http://schemas.openxmlformats.org/officeDocument/2006/relationships/hyperlink" Target="https://sitsi.pacanalyst.com/le-marche-europeen-de-la-cybersecurite-une-croissance-sans-limite/" TargetMode="External"/><Relationship Id="rId1168" Type="http://schemas.openxmlformats.org/officeDocument/2006/relationships/hyperlink" Target="https://sitsi.pacanalyst.com/le-marche-europeen-de-la-cybersecurite-une-croissance-sans-limite/" TargetMode="External"/><Relationship Id="rId1169" Type="http://schemas.openxmlformats.org/officeDocument/2006/relationships/hyperlink" Target="https://sitsi.pacanalyst.com/le-marche-europeen-de-la-cybersecurite-une-croissance-sans-limite/" TargetMode="External"/><Relationship Id="rId1170" Type="http://schemas.openxmlformats.org/officeDocument/2006/relationships/hyperlink" Target="https://www.europarl.europa.eu/RegData/etudes/BRIE/2017/603231/EPRS_BRI(2017)603231_EN.pdf" TargetMode="External"/><Relationship Id="rId1171" Type="http://schemas.openxmlformats.org/officeDocument/2006/relationships/hyperlink" Target="https://www.europarl.europa.eu/RegData/etudes/BRIE/2017/603231/EPRS_BRI(2017)603231_EN.pdf" TargetMode="External"/><Relationship Id="rId1172" Type="http://schemas.openxmlformats.org/officeDocument/2006/relationships/hyperlink" Target="https://www.europarl.europa.eu/RegData/etudes/STUD/2017/603948/EPRS_STU(2017)603948_EN.pdf" TargetMode="External"/><Relationship Id="rId1173" Type="http://schemas.openxmlformats.org/officeDocument/2006/relationships/hyperlink" Target="https://www.europarl.europa.eu/RegData/etudes/STUD/2017/614531/EPRS_STU(2017)614531_EN.pdf" TargetMode="External"/><Relationship Id="rId1174" Type="http://schemas.openxmlformats.org/officeDocument/2006/relationships/hyperlink" Target="https://www.europarl.europa.eu/RegData/etudes/STUD/2025/778576/ECTI_STU(2025)778576_EN.pdf" TargetMode="External"/><Relationship Id="rId1175" Type="http://schemas.openxmlformats.org/officeDocument/2006/relationships/hyperlink" Target="https://www.researchandmarkets.com/reports/6241221/europe-cybersecurity-market-size-share-and-trends" TargetMode="External"/><Relationship Id="rId1176" Type="http://schemas.openxmlformats.org/officeDocument/2006/relationships/hyperlink" Target="https://www.researchandmarkets.com/reports/5978459/europe-cyber-security-market-outlook" TargetMode="External"/><Relationship Id="rId1177" Type="http://schemas.openxmlformats.org/officeDocument/2006/relationships/hyperlink" Target="https://www.statista.com/topics/12973/eu-cyber-resilience-act/" TargetMode="External"/><Relationship Id="rId1178" Type="http://schemas.openxmlformats.org/officeDocument/2006/relationships/hyperlink" Target="https://www.statista.com/forecasts/1498506/europe-cybersecurity-market-revenue" TargetMode="External"/><Relationship Id="rId1179" Type="http://schemas.openxmlformats.org/officeDocument/2006/relationships/hyperlink" Target="https://www.technavio.com/report/europe-cyber-security-market-industry-analysis" TargetMode="External"/><Relationship Id="rId1180" Type="http://schemas.openxmlformats.org/officeDocument/2006/relationships/hyperlink" Target="https://www.technavio.com/report/europe-cyber-security-market-industry-analysis" TargetMode="External"/><Relationship Id="rId1181" Type="http://schemas.openxmlformats.org/officeDocument/2006/relationships/hyperlink" Target="https://www.voice-ev.org/wp-content/uploads/2022/02/VOICE-Metrics-Trendstudie-IT-Agenda-2022-DE-v1-1.pdf" TargetMode="External"/><Relationship Id="rId1182" Type="http://schemas.openxmlformats.org/officeDocument/2006/relationships/hyperlink" Target="https://www.voice-ev.org/wp-content/uploads/2022/02/VOICE-Metrics-Trendstudie-IT-Agenda-2022-DE-v1-1.pdf" TargetMode="External"/><Relationship Id="rId1183" Type="http://schemas.openxmlformats.org/officeDocument/2006/relationships/hyperlink" Target="https://securex.pl/en/news/the-security-market-is-still-growing/" TargetMode="External"/><Relationship Id="rId1184" Type="http://schemas.openxmlformats.org/officeDocument/2006/relationships/hyperlink" Target="https://www.europarl.europa.eu/RegData/etudes/STUD/2017/614531/EPRS_STU(2017)614531_EN.pdf" TargetMode="External"/><Relationship Id="rId1185" Type="http://schemas.openxmlformats.org/officeDocument/2006/relationships/hyperlink" Target="https://www.europarl.europa.eu/RegData/etudes/STUD/2017/614531/EPRS_STU(2017)614531_EN.pdf" TargetMode="External"/><Relationship Id="rId1186" Type="http://schemas.openxmlformats.org/officeDocument/2006/relationships/hyperlink" Target="https://www.europarl.europa.eu/RegData/etudes/STUD/2017/614531/EPRS_STU(2017)614531_EN.pdf" TargetMode="External"/><Relationship Id="rId1187" Type="http://schemas.openxmlformats.org/officeDocument/2006/relationships/hyperlink" Target="https://image.marketing.deloitte.de/lib/fe31117075640474771d75/m/1/b1ee40e7-86b3-4de0-9900-dd20c86f2195.pdf" TargetMode="External"/><Relationship Id="rId1188" Type="http://schemas.openxmlformats.org/officeDocument/2006/relationships/hyperlink" Target="https://image.marketing.deloitte.de/lib/fe31117075640474771d75/m/1/b1ee40e7-86b3-4de0-9900-dd20c86f2195.pdf" TargetMode="External"/><Relationship Id="rId1189" Type="http://schemas.openxmlformats.org/officeDocument/2006/relationships/hyperlink" Target="https://www.idc.com/resource-center/blog/resource-region/3_223/page/24/" TargetMode="External"/><Relationship Id="rId1190" Type="http://schemas.openxmlformats.org/officeDocument/2006/relationships/hyperlink" Target="https://gokensai.com/blog/dach-cybersecurity-market-overview-2026/" TargetMode="External"/><Relationship Id="rId1191" Type="http://schemas.openxmlformats.org/officeDocument/2006/relationships/hyperlink" Target="https://markwideresearch.com/nordics-cybersecurity-market" TargetMode="External"/><Relationship Id="rId1192" Type="http://schemas.openxmlformats.org/officeDocument/2006/relationships/hyperlink" Target="https://www.mordorintelligence.com/industry-reports/nordics-cybersecurity-market/market-size" TargetMode="External"/><Relationship Id="rId1193" Type="http://schemas.openxmlformats.org/officeDocument/2006/relationships/hyperlink" Target="https://www.mordorintelligence.com/industry-reports/nordics-cybersecurity-market/market-size" TargetMode="External"/><Relationship Id="rId1194" Type="http://schemas.openxmlformats.org/officeDocument/2006/relationships/hyperlink" Target="https://www.mordorintelligence.com/industry-reports/nordics-cybersecurity-market" TargetMode="External"/><Relationship Id="rId1195" Type="http://schemas.openxmlformats.org/officeDocument/2006/relationships/hyperlink" Target="https://www.mordorintelligence.com/industry-reports/nordics-cybersecurity-market" TargetMode="External"/><Relationship Id="rId1196" Type="http://schemas.openxmlformats.org/officeDocument/2006/relationships/hyperlink" Target="https://www.mordorintelligence.com/industry-reports/nordics-cybersecurity-market" TargetMode="External"/><Relationship Id="rId1197" Type="http://schemas.openxmlformats.org/officeDocument/2006/relationships/hyperlink" Target="https://www.mordorintelligence.com/industry-reports/nordics-cybersecurity-market" TargetMode="External"/><Relationship Id="rId1198" Type="http://schemas.openxmlformats.org/officeDocument/2006/relationships/hyperlink" Target="https://www.mordorintelligence.com/industry-reports/nordics-cybersecurity-market" TargetMode="External"/><Relationship Id="rId1199" Type="http://schemas.openxmlformats.org/officeDocument/2006/relationships/hyperlink" Target="https://www.morganreedinsights.com/nordic-cybersecurity-market/" TargetMode="External"/><Relationship Id="rId1200" Type="http://schemas.openxmlformats.org/officeDocument/2006/relationships/hyperlink" Target="https://www.verifiedmarketresearch.com/product/nordics-cybersecurity-market/" TargetMode="External"/><Relationship Id="rId1201" Type="http://schemas.openxmlformats.org/officeDocument/2006/relationships/hyperlink" Target="https://www.verifiedmarketresearch.com/product/nordics-cybersecurity-market/" TargetMode="External"/><Relationship Id="rId1202" Type="http://schemas.openxmlformats.org/officeDocument/2006/relationships/hyperlink" Target="https://www.mordorintelligence.com/industry-reports/benelux-cybersecurity-market/market-size" TargetMode="External"/><Relationship Id="rId1203" Type="http://schemas.openxmlformats.org/officeDocument/2006/relationships/hyperlink" Target="https://www.mordorintelligence.com/industry-reports/benelux-cybersecurity-market/market-size" TargetMode="External"/><Relationship Id="rId1204" Type="http://schemas.openxmlformats.org/officeDocument/2006/relationships/hyperlink" Target="https://www.mordorintelligence.com/industry-reports/benelux-cybersecurity-market" TargetMode="External"/><Relationship Id="rId1205" Type="http://schemas.openxmlformats.org/officeDocument/2006/relationships/hyperlink" Target="https://www.mordorintelligence.com/industry-reports/benelux-cybersecurity-market" TargetMode="External"/><Relationship Id="rId1206" Type="http://schemas.openxmlformats.org/officeDocument/2006/relationships/hyperlink" Target="https://www.mordorintelligence.com/industry-reports/benelux-cybersecurity-market" TargetMode="External"/><Relationship Id="rId1207" Type="http://schemas.openxmlformats.org/officeDocument/2006/relationships/hyperlink" Target="https://www.mordorintelligence.com/industry-reports/benelux-cybersecurity-market" TargetMode="External"/><Relationship Id="rId1208" Type="http://schemas.openxmlformats.org/officeDocument/2006/relationships/hyperlink" Target="https://www.mordorintelligence.com/industry-reports/benelux-cybersecurity-market" TargetMode="External"/><Relationship Id="rId1209" Type="http://schemas.openxmlformats.org/officeDocument/2006/relationships/hyperlink" Target="https://www.mordorintelligence.com/industry-reports/benelux-cybersecurity-market" TargetMode="External"/><Relationship Id="rId1210" Type="http://schemas.openxmlformats.org/officeDocument/2006/relationships/hyperlink" Target="https://securex.pl/en/news/the-security-market-is-still-growing/" TargetMode="External"/><Relationship Id="rId1211" Type="http://schemas.openxmlformats.org/officeDocument/2006/relationships/hyperlink" Target="https://canalys.com/newsroom/cybersecurity-market-Q2-2023" TargetMode="External"/><Relationship Id="rId1212" Type="http://schemas.openxmlformats.org/officeDocument/2006/relationships/hyperlink" Target="https://www.canalys.com/newsroom/cybersecurity-market-share-Q3-2022" TargetMode="External"/><Relationship Id="rId1213" Type="http://schemas.openxmlformats.org/officeDocument/2006/relationships/hyperlink" Target="https://canalys.com/newsroom/cybersecurity-market-2022" TargetMode="External"/><Relationship Id="rId1214" Type="http://schemas.openxmlformats.org/officeDocument/2006/relationships/hyperlink" Target="https://www.frost.com/files/7214/9324/1278/Fortinet_Award_Write_Up.pdf" TargetMode="External"/><Relationship Id="rId1215" Type="http://schemas.openxmlformats.org/officeDocument/2006/relationships/hyperlink" Target="https://www.withsecure.com/wp-content/uploads/2026/06/MSP_Buyers_Guide_2026.pdf" TargetMode="External"/><Relationship Id="rId1216"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6wresearch.com/industry-report/czech-republic-cybersecurity-market" TargetMode="External"/><Relationship Id="rId2" Type="http://schemas.openxmlformats.org/officeDocument/2006/relationships/hyperlink" Target="https://www.6wresearch.com/industry-report/germany-cyber-security-market-2020-2026" TargetMode="External"/><Relationship Id="rId3" Type="http://schemas.openxmlformats.org/officeDocument/2006/relationships/hyperlink" Target="https://www.6wresearch.com/industry-report/europe-cyber-security-market" TargetMode="External"/><Relationship Id="rId4" Type="http://schemas.openxmlformats.org/officeDocument/2006/relationships/hyperlink" Target="https://www.6wresearch.com/faqs" TargetMode="External"/><Relationship Id="rId5" Type="http://schemas.openxmlformats.org/officeDocument/2006/relationships/hyperlink" Target="https://www.6wresearch.com/industry-report/hungary-cyber-security-market" TargetMode="External"/><Relationship Id="rId6" Type="http://schemas.openxmlformats.org/officeDocument/2006/relationships/hyperlink" Target="https://www.6wresearch.com/industry-report/poland-cyber-security-market" TargetMode="External"/><Relationship Id="rId7" Type="http://schemas.openxmlformats.org/officeDocument/2006/relationships/hyperlink" Target="https://www.6wresearch.com/industry-report/romania-cybersecurity-market" TargetMode="External"/><Relationship Id="rId8" Type="http://schemas.openxmlformats.org/officeDocument/2006/relationships/hyperlink" Target="https://www.6wresearch.com/industry-report/slovakia-cyber-security-market" TargetMode="External"/><Relationship Id="rId9" Type="http://schemas.openxmlformats.org/officeDocument/2006/relationships/hyperlink" Target="https://www.6wresearch.com/faqs" TargetMode="External"/><Relationship Id="rId10" Type="http://schemas.openxmlformats.org/officeDocument/2006/relationships/hyperlink" Target="https://www.6wresearch.com/proprietary-intelligence" TargetMode="External"/><Relationship Id="rId11" Type="http://schemas.openxmlformats.org/officeDocument/2006/relationships/hyperlink" Target="https://www.acn.gov.it/portale/documents/d/guest/acn-bilancio-esercizio-2023" TargetMode="External"/><Relationship Id="rId12" Type="http://schemas.openxmlformats.org/officeDocument/2006/relationships/hyperlink" Target="https://www.acn.gov.it/portale/w/strategia-nazionale-di-cybersicurezza.-pubblicato-il-dpcm-per-la-ripartizione-dei-fondi-nel-triennio-2024-2026" TargetMode="External"/><Relationship Id="rId13" Type="http://schemas.openxmlformats.org/officeDocument/2006/relationships/hyperlink" Target="https://www.globalsecuritymag.fr/IMG/pdf/Observatoire_ACN_de_la_Confiance_numerique_2019.pdf" TargetMode="External"/><Relationship Id="rId14" Type="http://schemas.openxmlformats.org/officeDocument/2006/relationships/hyperlink" Target="https://www.confiance-numerique.fr/lobservatoire-de-la-confiance-numerique/" TargetMode="External"/><Relationship Id="rId15" Type="http://schemas.openxmlformats.org/officeDocument/2006/relationships/hyperlink" Target="http://www.decision.eu/wp-content/uploads/2021/01/Observatoire-ACN-2020.pdf" TargetMode="External"/><Relationship Id="rId16" Type="http://schemas.openxmlformats.org/officeDocument/2006/relationships/hyperlink" Target="https://www.confiance-numerique.fr/lobservatoire-de-la-confiance-numerique/" TargetMode="External"/><Relationship Id="rId17" Type="http://schemas.openxmlformats.org/officeDocument/2006/relationships/hyperlink" Target="https://www.confiance-numerique.fr/wp-content/uploads/2023/11/Observatoire-ACN-2021-de-la-confiance-numerique.pdf" TargetMode="External"/><Relationship Id="rId18" Type="http://schemas.openxmlformats.org/officeDocument/2006/relationships/hyperlink" Target="https://www.confiance-numerique.fr/lobservatoire-de-la-confiance-numerique/" TargetMode="External"/><Relationship Id="rId19" Type="http://schemas.openxmlformats.org/officeDocument/2006/relationships/hyperlink" Target="http://www.decision.eu/wp-content/uploads/2022/05/Observatoire-ACN-2022.pdf" TargetMode="External"/><Relationship Id="rId20" Type="http://schemas.openxmlformats.org/officeDocument/2006/relationships/hyperlink" Target="https://www.confiance-numerique.fr/lobservatoire-de-la-confiance-numerique/" TargetMode="External"/><Relationship Id="rId21" Type="http://schemas.openxmlformats.org/officeDocument/2006/relationships/hyperlink" Target="https://www.confiance-numerique.fr/wp-content/uploads/2023/11/Observatoire-ACN-2023-de-la-confiance-numerique-bd.pdf" TargetMode="External"/><Relationship Id="rId22" Type="http://schemas.openxmlformats.org/officeDocument/2006/relationships/hyperlink" Target="https://www.confiance-numerique.fr/lobservatoire-de-la-confiance-numerique/" TargetMode="External"/><Relationship Id="rId23" Type="http://schemas.openxmlformats.org/officeDocument/2006/relationships/hyperlink" Target="https://www.confiance-numerique.fr/wp-content/uploads/2024/05/ACN-Observatoire-de-la-filiere-de-la-confiance-numerique2024-bd.pdf" TargetMode="External"/><Relationship Id="rId24" Type="http://schemas.openxmlformats.org/officeDocument/2006/relationships/hyperlink" Target="https://www.confiance-numerique.fr/lobservatoire-de-la-confiance-numerique/" TargetMode="External"/><Relationship Id="rId25" Type="http://schemas.openxmlformats.org/officeDocument/2006/relationships/hyperlink" Target="https://www.confiance-numerique.fr/lobservatoire-de-la-confiance-numerique/" TargetMode="External"/><Relationship Id="rId26" Type="http://schemas.openxmlformats.org/officeDocument/2006/relationships/hyperlink" Target="https://www.confiance-numerique.fr/lobservatoire-de-la-confiance-numerique/" TargetMode="External"/><Relationship Id="rId27" Type="http://schemas.openxmlformats.org/officeDocument/2006/relationships/hyperlink" Target="https://www.confiance-numerique.fr/https-www-confiance-numerique-fr-wp-content-uploads-2026-06-observatoire-acn-2026-de-la-confiance-numerique-bd-pdf/" TargetMode="External"/><Relationship Id="rId28" Type="http://schemas.openxmlformats.org/officeDocument/2006/relationships/hyperlink" Target="https://www.confiance-numerique.fr/lobservatoire-de-la-confiance-numerique/" TargetMode="External"/><Relationship Id="rId29" Type="http://schemas.openxmlformats.org/officeDocument/2006/relationships/hyperlink" Target="https://www.acn.gov.it/portale/relazione-annuale-2023" TargetMode="External"/><Relationship Id="rId30" Type="http://schemas.openxmlformats.org/officeDocument/2006/relationships/hyperlink" Target="https://www.acn.gov.it/portale/documents/20119/56212/testo_Frattasi_review_final.pdf/21228528-4473-702f-375a-d8b18ad1bce5?t=1715606273341" TargetMode="External"/><Relationship Id="rId31" Type="http://schemas.openxmlformats.org/officeDocument/2006/relationships/hyperlink" Target="https://giurisprudenza.unimc.it/it/ricerca/dirittoapplicato/site-news/ACN_Strategia.pdf" TargetMode="External"/><Relationship Id="rId32" Type="http://schemas.openxmlformats.org/officeDocument/2006/relationships/hyperlink" Target="https://www.agoria.be/en/services/expertise/digitalisation/cybersecurity/belgian-cyber-sector-set-to-double-in-size-within-five-years-4000-experts-needed" TargetMode="External"/><Relationship Id="rId33" Type="http://schemas.openxmlformats.org/officeDocument/2006/relationships/hyperlink" Target="https://www.agoria.be/en/services/expertise/digitalisation/cybersecurity/first-step-taken-towards-israeli-cyber-reference-model-now-to-invest-in-a-number-of-experts" TargetMode="External"/><Relationship Id="rId34" Type="http://schemas.openxmlformats.org/officeDocument/2006/relationships/hyperlink" Target="https://cdn.assets.prezly.com/243be490-ca27-4a42-aec1-1dc14b8d6a41/-/inline/no/Agoria_Socio-Economic-Study-Belgian-Cybersecurity-Sector.pdf" TargetMode="External"/><Relationship Id="rId35" Type="http://schemas.openxmlformats.org/officeDocument/2006/relationships/hyperlink" Target="https://www.agoria.be/nl/diensten/expertise/conjunctuur-prijzen/conjunctuur/trends-en-toekomst-van-de-belgische-ict-bedrijven" TargetMode="External"/><Relationship Id="rId36" Type="http://schemas.openxmlformats.org/officeDocument/2006/relationships/hyperlink" Target="https://virtualboard.ro/produs/piata-de-cybersecurity-romania-2026/" TargetMode="External"/><Relationship Id="rId37" Type="http://schemas.openxmlformats.org/officeDocument/2006/relationships/hyperlink" Target="https://www.alliedict.fi/wp-content/uploads/2021/06/3.Kyberturvallisuus_Suomessa_2019-2029.pdf" TargetMode="External"/><Relationship Id="rId38" Type="http://schemas.openxmlformats.org/officeDocument/2006/relationships/hyperlink" Target="https://www.anitec-assinform.it/kdocs/1920845/il_digitale_in_italia_2018.pdf" TargetMode="External"/><Relationship Id="rId39" Type="http://schemas.openxmlformats.org/officeDocument/2006/relationships/hyperlink" Target="https://www.anitec-assinform.it/kdocs/1962491/il_digitale_in_italia_2019.pdf" TargetMode="External"/><Relationship Id="rId40" Type="http://schemas.openxmlformats.org/officeDocument/2006/relationships/hyperlink" Target="https://www.anitec-assinform.it/kdocs/1981743/il_digitale_in_italia_2020_vol_i.pdf" TargetMode="External"/><Relationship Id="rId41" Type="http://schemas.openxmlformats.org/officeDocument/2006/relationships/hyperlink" Target="https://www.anitec-assinform.it/kdocs/2013003/il_digitale_in_italia_2021.pdf" TargetMode="External"/><Relationship Id="rId42" Type="http://schemas.openxmlformats.org/officeDocument/2006/relationships/hyperlink" Target="https://www.anitec-assinform.it/kdocs/2065198/il_digitale_in_italia_-_vol_2.pdf" TargetMode="External"/><Relationship Id="rId43" Type="http://schemas.openxmlformats.org/officeDocument/2006/relationships/hyperlink" Target="https://www.anitec-assinform.it/kdocs/2091849/il_digitale_in_italia_2023_v3.pdf" TargetMode="External"/><Relationship Id="rId44" Type="http://schemas.openxmlformats.org/officeDocument/2006/relationships/hyperlink" Target="https://www.anitec-assinform.it/kdocs/2146137/il_digitale_in_italia_2024.pdf" TargetMode="External"/><Relationship Id="rId45" Type="http://schemas.openxmlformats.org/officeDocument/2006/relationships/hyperlink" Target="https://lentepubblica.it/wp-content/uploads/2025/07/ANITEC-ASSINFORM_il_digitale_in_italia_2025_v5-compresso.pdf" TargetMode="External"/><Relationship Id="rId46" Type="http://schemas.openxmlformats.org/officeDocument/2006/relationships/hyperlink" Target="https://www.anitec-assinform.it/media/comunicati-stampa/anitec-assinform-nel-2025-il-mercato-digitale-in-italia-raggiunge-84-4-miliardi-ecosistema-ict-con-oltre-132mila-imprese-e-piu-di-638mila-addetti.kl" TargetMode="External"/><Relationship Id="rId47" Type="http://schemas.openxmlformats.org/officeDocument/2006/relationships/hyperlink" Target="https://www.associazionecittadinanzadigitale.org/wp-content/uploads/2026/01/il_digitale_in_italia_2025-previsioni_v4.pdf" TargetMode="External"/><Relationship Id="rId48" Type="http://schemas.openxmlformats.org/officeDocument/2006/relationships/hyperlink" Target="https://televizniweb.mediar.cz/2025/07/ceske-firmy-stale-podcenuji-kyberbezpecnost-rocne-za-ni-utrati-jen-do-100-000-kc/" TargetMode="External"/><Relationship Id="rId49" Type="http://schemas.openxmlformats.org/officeDocument/2006/relationships/hyperlink" Target="https://feedit.cz/2026/03/23/vydaje-ceskych-firem-na-kybernetickou-bezpecnost-klesaji-tri-ctvrtiny-spolecnosti-za-ni-rocne-utrati-do-200-000-kc/" TargetMode="External"/><Relationship Id="rId50" Type="http://schemas.openxmlformats.org/officeDocument/2006/relationships/hyperlink" Target="https://www.bancaditalia.it/pubblicazioni/mercati-infrastrutture-e-sistemi-di-pagamento/approfondimenti/2025-063/N.63-MISP.pdf" TargetMode="External"/><Relationship Id="rId51" Type="http://schemas.openxmlformats.org/officeDocument/2006/relationships/hyperlink" Target="https://www.bancaditalia.it/pubblicazioni/qef/2017-0407/index.html?com.dotmarketing.htmlpage.language=1" TargetMode="External"/><Relationship Id="rId52" Type="http://schemas.openxmlformats.org/officeDocument/2006/relationships/hyperlink" Target="https://www.bancaditalia.it/statistiche/basi-dati/bird/imprese-industriali-e-servizi/questionario-indagine-imprese/documenti/2016/Quest_16_ind_50ol.pdf" TargetMode="External"/><Relationship Id="rId53" Type="http://schemas.openxmlformats.org/officeDocument/2006/relationships/hyperlink" Target="https://www.bdo.nl/getmedia/46087d8a-7d9a-4831-8e1c-fe8482cb676a/Global-and-European-Cybersecurity-Industry.pdf" TargetMode="External"/><Relationship Id="rId54" Type="http://schemas.openxmlformats.org/officeDocument/2006/relationships/hyperlink" Target="https://www.bdo.nl/getmedia/46087d8a-7d9a-4831-8e1c-fe8482cb676a/Global-and-European-Cybersecurity-Industry.pdf" TargetMode="External"/><Relationship Id="rId55" Type="http://schemas.openxmlformats.org/officeDocument/2006/relationships/hyperlink" Target="https://www.bitkom.org/Presse/Presseinformation/Digitalbranche-waechst-aber-nicht-ueberall" TargetMode="External"/><Relationship Id="rId56" Type="http://schemas.openxmlformats.org/officeDocument/2006/relationships/hyperlink" Target="https://www.bitkom.org/Presse/Presseinformation/Lichtblick-Rezession-Digitalbranche-waechst" TargetMode="External"/><Relationship Id="rId57" Type="http://schemas.openxmlformats.org/officeDocument/2006/relationships/hyperlink" Target="https://www.bitkom.org/Presse/Presseinformation/Rekordjahr-im-Markt-fuer-IT-Sicherheit" TargetMode="External"/><Relationship Id="rId58" Type="http://schemas.openxmlformats.org/officeDocument/2006/relationships/hyperlink" Target="https://www.bitkom.org/Presse/Presseinformation/Markt-fuer-IT-Sicherheit-auf-Allzeithoch" TargetMode="External"/><Relationship Id="rId59" Type="http://schemas.openxmlformats.org/officeDocument/2006/relationships/hyperlink" Target="https://www.bitkom.org/Presse/Presseinformation/Markt-fuer-IT-Sicherheit-bricht-Umsatzrekord" TargetMode="External"/><Relationship Id="rId60" Type="http://schemas.openxmlformats.org/officeDocument/2006/relationships/hyperlink" Target="https://www.bitkom.org/Presse/Presseinformation/7-8-Milliarden-Euro-Markt-fuer-IT-Sicherheit-waechst-2022-um-13-Prozent" TargetMode="External"/><Relationship Id="rId61" Type="http://schemas.openxmlformats.org/officeDocument/2006/relationships/hyperlink" Target="https://www.bitkom.org/Presse/Presseinformation/Markt-IT-Sicherheit-waechst-mehr-9-Milliarden-Euro" TargetMode="External"/><Relationship Id="rId62" Type="http://schemas.openxmlformats.org/officeDocument/2006/relationships/hyperlink" Target="https://www.bitkom.org/Presse/Presseinformation/Cybersicherheit-Deutscher-Markt-ueber-10-Milliarden-Marke" TargetMode="External"/><Relationship Id="rId63" Type="http://schemas.openxmlformats.org/officeDocument/2006/relationships/hyperlink" Target="https://www.bitkom.org/print/pdf/node/25332" TargetMode="External"/><Relationship Id="rId64" Type="http://schemas.openxmlformats.org/officeDocument/2006/relationships/hyperlink" Target="https://www.bitkom.org/sites/main/files/2025-10/bitkom-charts-cybercrime-und-der-markt-fuer-it-sicherheit-2025.pdf" TargetMode="External"/><Relationship Id="rId65" Type="http://schemas.openxmlformats.org/officeDocument/2006/relationships/hyperlink" Target="https://www.bitkom.org/Presse/Presseinformation/Cybersicherheit-Deutscher-Markt-ueber-10-Milliarden-Marke" TargetMode="External"/><Relationship Id="rId66" Type="http://schemas.openxmlformats.org/officeDocument/2006/relationships/hyperlink" Target="https://www.bitkom.org/sites/main/files/2025-12/bitkom-studienbericht-wirtschaftsschutz-2025.pdf" TargetMode="External"/><Relationship Id="rId67" Type="http://schemas.openxmlformats.org/officeDocument/2006/relationships/hyperlink" Target="https://www.bitkom.org/sites/main/files/2026-09/bitkom-studienbericht-wirtschaftsschutz-2026.pdf" TargetMode="External"/><Relationship Id="rId68" Type="http://schemas.openxmlformats.org/officeDocument/2006/relationships/hyperlink" Target="https://www.bitkom.org/Bitkom/Publikationen/Wirtschaftsschutz" TargetMode="External"/><Relationship Id="rId69" Type="http://schemas.openxmlformats.org/officeDocument/2006/relationships/hyperlink" Target="https://bosa.belgium.be/sites/default/files/publications/documents/Assessment%20report%20spending%20reviews%20FR%20def.pdf" TargetMode="External"/><Relationship Id="rId70" Type="http://schemas.openxmlformats.org/officeDocument/2006/relationships/hyperlink" Target="https://bosa.belgium.be/sites/default/files/content/documents/Spending%20review%20-%20Cybersecurity%20-%20Rapport%20DEFI-PUBLI.pdf" TargetMode="External"/><Relationship Id="rId71" Type="http://schemas.openxmlformats.org/officeDocument/2006/relationships/hyperlink" Target="https://bosa.belgium.be/sites/default/files/publications/documents/Assessment%20report%20spending%20reviews%20FR%20def.pdf" TargetMode="External"/><Relationship Id="rId72" Type="http://schemas.openxmlformats.org/officeDocument/2006/relationships/hyperlink" Target="https://www.bsi.bund.de/DE/Das-BSI/Auftrag/BSI-Kurzprofil/kurzprofil_node.html" TargetMode="External"/><Relationship Id="rId73" Type="http://schemas.openxmlformats.org/officeDocument/2006/relationships/hyperlink" Target="https://www.bundestag.de/dokumente/textarchiv/2025/kw38-de-inneres-1104014" TargetMode="External"/><Relationship Id="rId74" Type="http://schemas.openxmlformats.org/officeDocument/2006/relationships/hyperlink" Target="https://www.bundestag.de/dokumente/textarchiv/2025/kw48-de-inneres-1126080" TargetMode="External"/><Relationship Id="rId75" Type="http://schemas.openxmlformats.org/officeDocument/2006/relationships/hyperlink" Target="https://www.audit.gov.ie/en/find-report/publications/2024/vote-29-environment-climate-and-communications.pdf" TargetMode="External"/><Relationship Id="rId76" Type="http://schemas.openxmlformats.org/officeDocument/2006/relationships/hyperlink" Target="https://www.audit.gov.ie/media/jxiaibps/24-vote-24-justice-home-affairs-and-migration.pdf" TargetMode="External"/><Relationship Id="rId77" Type="http://schemas.openxmlformats.org/officeDocument/2006/relationships/hyperlink" Target="https://canalys.com/newsroom/cybersecurity-market-Q2-2023" TargetMode="External"/><Relationship Id="rId78" Type="http://schemas.openxmlformats.org/officeDocument/2006/relationships/hyperlink" Target="https://www.trendmicro.com/content/dam/trendmicro/global/en/core/docs/report/rpt-canalys-globalcybersecurity_matrix.pdf" TargetMode="External"/><Relationship Id="rId79" Type="http://schemas.openxmlformats.org/officeDocument/2006/relationships/hyperlink" Target="https://www.canalys.com/newsroom/cybersecurity-market-share-Q3-2022" TargetMode="External"/><Relationship Id="rId80" Type="http://schemas.openxmlformats.org/officeDocument/2006/relationships/hyperlink" Target="https://www.trendmicro.com/content/dam/trendmicro/global/en/core/docs/report/rpt-canalys-globalcybersecurity_matrix.pdf" TargetMode="External"/><Relationship Id="rId81" Type="http://schemas.openxmlformats.org/officeDocument/2006/relationships/hyperlink" Target="https://canalys.com/newsroom/cybersecurity-market-2022" TargetMode="External"/><Relationship Id="rId82" Type="http://schemas.openxmlformats.org/officeDocument/2006/relationships/hyperlink" Target="https://www.trendmicro.com/content/dam/trendmicro/global/en/core/docs/report/rpt-canalys-globalcybersecurity_matrix.pdf" TargetMode="External"/><Relationship Id="rId83" Type="http://schemas.openxmlformats.org/officeDocument/2006/relationships/hyperlink" Target="https://www.poslovni.hr/sci-tech/stize-novac-za-ulaganja-u-kiberneticku-sigurnost-a-time-i-opasnost-od-guljenja-4493636" TargetMode="External"/><Relationship Id="rId84" Type="http://schemas.openxmlformats.org/officeDocument/2006/relationships/hyperlink" Target="https://www.cbi.eu/market-information/outsourcing-itobpo/cybersecurity/market-potential" TargetMode="External"/><Relationship Id="rId85" Type="http://schemas.openxmlformats.org/officeDocument/2006/relationships/hyperlink" Target="https://www.cbi.eu/sites/default/files/pdf/research/1876.pdf" TargetMode="External"/><Relationship Id="rId86" Type="http://schemas.openxmlformats.org/officeDocument/2006/relationships/hyperlink" Target="https://digitalk.bg/security/2025/06/05/4789735_cbn_durjavata_e_poharchila_223_mln_leva_za/" TargetMode="External"/><Relationship Id="rId87" Type="http://schemas.openxmlformats.org/officeDocument/2006/relationships/hyperlink" Target="https://ccb.belgium.be/sites/default/files/2025-12/251204_CCB_Publicatie_10j_FR.pdf" TargetMode="External"/><Relationship Id="rId88" Type="http://schemas.openxmlformats.org/officeDocument/2006/relationships/hyperlink" Target="https://cesin.fr/document.php?d=69772236858eb&amp;share=1" TargetMode="External"/><Relationship Id="rId89" Type="http://schemas.openxmlformats.org/officeDocument/2006/relationships/hyperlink" Target="https://www.cipa.it/rilevazioni/economiche/2023/index.html" TargetMode="External"/><Relationship Id="rId90" Type="http://schemas.openxmlformats.org/officeDocument/2006/relationships/hyperlink" Target="https://www.cipa.it/rilevazioni/economiche/2024/Rilevazione_economica_2024.pdf" TargetMode="External"/><Relationship Id="rId91" Type="http://schemas.openxmlformats.org/officeDocument/2006/relationships/hyperlink" Target="https://www.cipa.it/rilevazioni/economiche/2024/index.html" TargetMode="External"/><Relationship Id="rId92" Type="http://schemas.openxmlformats.org/officeDocument/2006/relationships/hyperlink" Target="https://www.cisco.com/c/dam/global/sv_se/home/pdf/secure-digitalization-with-nis2-report-cisco-2023.pdf" TargetMode="External"/><Relationship Id="rId93" Type="http://schemas.openxmlformats.org/officeDocument/2006/relationships/hyperlink" Target="https://ofcs.report/wp-content/uploads/2019/03/Rapporto_Clusit_2019.pdf" TargetMode="External"/><Relationship Id="rId94" Type="http://schemas.openxmlformats.org/officeDocument/2006/relationships/hyperlink" Target="https://www.cncs.gov.pt/docs/relatorio-economia2022-obciber-cncs.pdf" TargetMode="External"/><Relationship Id="rId95" Type="http://schemas.openxmlformats.org/officeDocument/2006/relationships/hyperlink" Target="https://www.cncs.gov.pt/docs/rel-sociedade2025-obciber-cncs.pdf" TargetMode="External"/><Relationship Id="rId96" Type="http://schemas.openxmlformats.org/officeDocument/2006/relationships/hyperlink" Target="https://www.entreprises.gouv.fr/files/files/Entites/CNI/2025/contrat-filiere-industries-securite.pdf" TargetMode="External"/><Relationship Id="rId97" Type="http://schemas.openxmlformats.org/officeDocument/2006/relationships/hyperlink" Target="https://www.cognitivemarketresearch.com/cybersecurity-market-report" TargetMode="External"/><Relationship Id="rId98" Type="http://schemas.openxmlformats.org/officeDocument/2006/relationships/hyperlink" Target="https://www.cognitivemarketresearch.com/cybersecurity-software-market-report" TargetMode="External"/><Relationship Id="rId99" Type="http://schemas.openxmlformats.org/officeDocument/2006/relationships/hyperlink" Target="https://www.computing.es/mercado-ti/tendencias-en-espana-en-el-mercado-de-ti-para-2016/" TargetMode="External"/><Relationship Id="rId100" Type="http://schemas.openxmlformats.org/officeDocument/2006/relationships/hyperlink" Target="https://www.confindustria.an.it/documenti/2026/03_Marzo/CyberIndexPMI2025_ExecutiveSummary.pdf" TargetMode="External"/><Relationship Id="rId101" Type="http://schemas.openxmlformats.org/officeDocument/2006/relationships/hyperlink" Target="https://www.consultancy.nl/nieuws/69608/cybersecuritymarkt-groeit-door-tot-bijna-250-miljard-in-2030" TargetMode="External"/><Relationship Id="rId102" Type="http://schemas.openxmlformats.org/officeDocument/2006/relationships/hyperlink" Target="https://www.gov.pl/web/cppc/lista-rankingowa-cyberbezpieczne-wodociagi" TargetMode="External"/><Relationship Id="rId103" Type="http://schemas.openxmlformats.org/officeDocument/2006/relationships/hyperlink" Target="https://csf.bg/zaplati" TargetMode="External"/><Relationship Id="rId104" Type="http://schemas.openxmlformats.org/officeDocument/2006/relationships/hyperlink" Target="https://cyberireland.ie/wp-content/uploads/2025/06/PE-All-Island-Cyber-Security-Sector-Research-Report-FINAL.pdf" TargetMode="External"/><Relationship Id="rId105" Type="http://schemas.openxmlformats.org/officeDocument/2006/relationships/hyperlink" Target="https://www.techcentral.ie/cyber-security-industry-contributed-e1-2bn-to-economy-last-year-report/" TargetMode="External"/><Relationship Id="rId106" Type="http://schemas.openxmlformats.org/officeDocument/2006/relationships/hyperlink" Target="https://cyberireland.ie/wp-content/uploads/2022/05/State-of-the-Cyber-Security-Sector-in-Ireland-2022-Report.pdf" TargetMode="External"/><Relationship Id="rId107" Type="http://schemas.openxmlformats.org/officeDocument/2006/relationships/hyperlink" Target="https://cyfrowapolska.org/wp-content/uploads/2025/09/Raport_-_mapa_drogowa_polskiej_cyberodpornosci_2025_-1.pdf" TargetMode="External"/><Relationship Id="rId108" Type="http://schemas.openxmlformats.org/officeDocument/2006/relationships/hyperlink" Target="https://forbes.es/economia/664162/la-mediana-empresa-espanola-solo-destina-un-4-de-su-presupuesto-informatico-a-ciberseguridad-segun-cylum/" TargetMode="External"/><Relationship Id="rId109" Type="http://schemas.openxmlformats.org/officeDocument/2006/relationships/hyperlink" Target="https://e-gov.bg/wps/portal/agency/all-projects/projects-DAEU/projects-mis" TargetMode="External"/><Relationship Id="rId110" Type="http://schemas.openxmlformats.org/officeDocument/2006/relationships/hyperlink" Target="https://e-gov.bg/wps/wcm/connect/e-gov.bg-18083/f8d63fb3-47b8-42f9-9f03-75168d028271/Putna_karta_public_v.0.7_Website.pdf?MOD=AJPERES" TargetMode="External"/><Relationship Id="rId111" Type="http://schemas.openxmlformats.org/officeDocument/2006/relationships/hyperlink" Target="https://www.databridgemarketresearch.com/nucleus/poland-cybersecurity-market" TargetMode="External"/><Relationship Id="rId112" Type="http://schemas.openxmlformats.org/officeDocument/2006/relationships/hyperlink" Target="https://www.dbk.es/es/detalle-nota/ciberseguridad-2023" TargetMode="External"/><Relationship Id="rId113" Type="http://schemas.openxmlformats.org/officeDocument/2006/relationships/hyperlink" Target="https://www.dbk.es/es/detalle-nota/ciberseguridad-2025" TargetMode="External"/><Relationship Id="rId114" Type="http://schemas.openxmlformats.org/officeDocument/2006/relationships/hyperlink" Target="https://assets.publishing.service.gov.uk/media/5a803781ed915d74e33f9237/Cyber_Security_Breaches_Survey_2016_main_report_FINAL.pdf" TargetMode="External"/><Relationship Id="rId115" Type="http://schemas.openxmlformats.org/officeDocument/2006/relationships/hyperlink" Target="https://assets.publishing.service.gov.uk/media/5a7598a540f0b67b3d5c7bae/Cyber_Security_Breaches_Survey_2017_main_report_PUBLIC.pdf" TargetMode="External"/><Relationship Id="rId116" Type="http://schemas.openxmlformats.org/officeDocument/2006/relationships/hyperlink" Target="https://assets.publishing.service.gov.uk/media/5adf222ce5274a0d8209473e/Cyber_Security_Breaches_Survey_2018_-_Main_Report.pdf" TargetMode="External"/><Relationship Id="rId117" Type="http://schemas.openxmlformats.org/officeDocument/2006/relationships/hyperlink" Target="https://assets.publishing.service.gov.uk/media/5ff5bb478fa8f53b772750cf/Cyber_Security_Breaches_Survey_2019_-_Main_Report_-_revised_V2.pdf" TargetMode="External"/><Relationship Id="rId118" Type="http://schemas.openxmlformats.org/officeDocument/2006/relationships/hyperlink" Target="https://assets.publishing.service.gov.uk/media/5ff5c7278fa8f53b790e7363/Cyber_Security_Breaches_Survey_2019_-_Technical_Annex_V2.pdf" TargetMode="External"/><Relationship Id="rId119" Type="http://schemas.openxmlformats.org/officeDocument/2006/relationships/hyperlink" Target="https://assets.publishing.service.gov.uk/media/5bd1a221ed915d78c4c8a2ab/UK_Cyber_Sector_Report_-__June_2018.pdf" TargetMode="External"/><Relationship Id="rId120" Type="http://schemas.openxmlformats.org/officeDocument/2006/relationships/hyperlink" Target="https://assets.publishing.service.gov.uk/media/601a893ee90e07128d62cd72/UK_Cyber_Sectoral_Analysis__2020__Report_V2.pdf" TargetMode="External"/><Relationship Id="rId121" Type="http://schemas.openxmlformats.org/officeDocument/2006/relationships/hyperlink" Target="https://assets.publishing.service.gov.uk/government/uploads/system/uploads/attachment_data/file/962413/UK_Cyber_Security_Sectoral_Analysis__2021_.pdf" TargetMode="External"/><Relationship Id="rId122" Type="http://schemas.openxmlformats.org/officeDocument/2006/relationships/hyperlink" Target="https://assets.publishing.service.gov.uk/government/uploads/system/uploads/attachment_data/file/1055565/Cyber_Sectoral_Analysis_2022_Report_V2.1.pdf" TargetMode="External"/><Relationship Id="rId123" Type="http://schemas.openxmlformats.org/officeDocument/2006/relationships/hyperlink" Target="https://assets.gov.ie/static/documents/national-cyber-security-annual-update-2023.pdf" TargetMode="External"/><Relationship Id="rId124" Type="http://schemas.openxmlformats.org/officeDocument/2006/relationships/hyperlink" Target="https://www.deloitte.com/content/dam/assets-zone2/es/es/docs/services/risk-advisory/2023/Deloitte-ES-informe-CISOS-ciberseguridad.pdf" TargetMode="External"/><Relationship Id="rId125" Type="http://schemas.openxmlformats.org/officeDocument/2006/relationships/hyperlink" Target="https://it-sicherheit.de/wp-content/uploads/2024/09/Deloitte_Studie_Cybersecurity_im_Mittelstand.pdf" TargetMode="External"/><Relationship Id="rId126" Type="http://schemas.openxmlformats.org/officeDocument/2006/relationships/hyperlink" Target="https://www.deloitte.com/de/de/services/deloitte-private/research/cyber-security-im-mittelstand-studie.html" TargetMode="External"/><Relationship Id="rId127" Type="http://schemas.openxmlformats.org/officeDocument/2006/relationships/hyperlink" Target="https://image.marketing.deloitte.de/lib/fe31117075640474771d75/m/1/b1ee40e7-86b3-4de0-9900-dd20c86f2195.pdf" TargetMode="External"/><Relationship Id="rId128" Type="http://schemas.openxmlformats.org/officeDocument/2006/relationships/hyperlink" Target="https://www.presseportal.de/pm/60247/5892154" TargetMode="External"/><Relationship Id="rId129" Type="http://schemas.openxmlformats.org/officeDocument/2006/relationships/hyperlink" Target="https://www.indexpresse-delphes.fr/sites/www.indexpresse-delphes.fr/files/etudes/T3.2110.74-CYBERSECURITE.pdf" TargetMode="External"/><Relationship Id="rId130" Type="http://schemas.openxmlformats.org/officeDocument/2006/relationships/hyperlink" Target="https://www.entreprises.gouv.fr/secteurs-dactivite/le-secteur-du-numerique-en-france/la-cybersecurite" TargetMode="External"/><Relationship Id="rId131" Type="http://schemas.openxmlformats.org/officeDocument/2006/relationships/hyperlink" Target="https://www.danskindustri.dk/globalassets/politik-og-analyser/politiske-udspil/2025/cybersikkerhed/cyberpolitisk-rapport_2025_web.pdf?v=250526" TargetMode="External"/><Relationship Id="rId132" Type="http://schemas.openxmlformats.org/officeDocument/2006/relationships/hyperlink" Target="https://dialogic.nl/wp-content/uploads/2023/06/economische-kansen-van-de-cybersecuritysector-7.pdf" TargetMode="External"/><Relationship Id="rId133" Type="http://schemas.openxmlformats.org/officeDocument/2006/relationships/hyperlink" Target="https://dialogic.nl/projecten/de-economische-kansen-voor-de-cybersecuritysector/" TargetMode="External"/><Relationship Id="rId134" Type="http://schemas.openxmlformats.org/officeDocument/2006/relationships/hyperlink" Target="https://dimensionmarketresearch.com/report/europe-cybersecurity-market/" TargetMode="External"/><Relationship Id="rId135" Type="http://schemas.openxmlformats.org/officeDocument/2006/relationships/hyperlink" Target="https://agerpres.ro/economic/2026/03/16/dinu-dnsc-piata-romaneasca-de-securitate-cibernetica-estimata-la-circa-200-de-milioane-de-euro-este---1537682" TargetMode="External"/><Relationship Id="rId136" Type="http://schemas.openxmlformats.org/officeDocument/2006/relationships/hyperlink" Target="https://www.dnsc.ro/pagini/proiect-pnrr" TargetMode="External"/><Relationship Id="rId137" Type="http://schemas.openxmlformats.org/officeDocument/2006/relationships/hyperlink" Target="https://startupcafe.ro/wp-content/uploads/2026/08/dnsc-raport-anual-2025.pdf" TargetMode="External"/><Relationship Id="rId138" Type="http://schemas.openxmlformats.org/officeDocument/2006/relationships/hyperlink" Target="https://www.gov.ie/en/department-of-justice-home-affairs-and-migration/press-releases/minister-jim-ocallaghan-secures-record-allocation-of-over-617-billion-for-the-justice-sector-in-budget-2026/" TargetMode="External"/><Relationship Id="rId139" Type="http://schemas.openxmlformats.org/officeDocument/2006/relationships/hyperlink" Target="https://assets.gov.ie/static/documents/72c5df9c/NDP_Sectoral_Investment_Plan-JusticeSector.pdf" TargetMode="External"/><Relationship Id="rId140" Type="http://schemas.openxmlformats.org/officeDocument/2006/relationships/hyperlink" Target="https://www.gov.uk/government/news/new-cyber-action-plan-to-tackle-threats-and-strengthen-public-services" TargetMode="External"/><Relationship Id="rId141" Type="http://schemas.openxmlformats.org/officeDocument/2006/relationships/hyperlink" Target="https://www.gov.uk/government/publications/cyber-security-sectoral-analysis-2023/uk-cyber-security-sectoral-analysis-2023" TargetMode="External"/><Relationship Id="rId142" Type="http://schemas.openxmlformats.org/officeDocument/2006/relationships/hyperlink" Target="https://www.gov.uk/government/publications/cyber-security-sectoral-analysis-2024/cyber-security-sectoral-analysis-2024" TargetMode="External"/><Relationship Id="rId143" Type="http://schemas.openxmlformats.org/officeDocument/2006/relationships/hyperlink" Target="https://www.gov.uk/government/publications/cyber-security-sectoral-analysis-2025/cyber-security-sectoral-analysis-2025" TargetMode="External"/><Relationship Id="rId144" Type="http://schemas.openxmlformats.org/officeDocument/2006/relationships/hyperlink" Target="https://www.gov.uk/government/publications/cyber-security-sectoral-analysis-2026/cyber-security-sectoral-analysis-2026" TargetMode="External"/><Relationship Id="rId145" Type="http://schemas.openxmlformats.org/officeDocument/2006/relationships/hyperlink" Target="https://www.dsn.gob.es/es/actualidad/sala-de-prensa/plan-nacional-ciberseguridad-0" TargetMode="External"/><Relationship Id="rId146" Type="http://schemas.openxmlformats.org/officeDocument/2006/relationships/hyperlink" Target="https://data.consilium.europa.eu/doc/document/ST-5611-2026-INIT/en/pdf" TargetMode="External"/><Relationship Id="rId147" Type="http://schemas.openxmlformats.org/officeDocument/2006/relationships/hyperlink" Target="https://data.consilium.europa.eu/doc/document/ST-5611-2026-ADD-4/en/pdf" TargetMode="External"/><Relationship Id="rId148" Type="http://schemas.openxmlformats.org/officeDocument/2006/relationships/hyperlink" Target="https://ec.europa.eu/commission/presscorner/api/files/document/print/en/ip_23_2243/IP_23_2243_EN.pdf" TargetMode="External"/><Relationship Id="rId149" Type="http://schemas.openxmlformats.org/officeDocument/2006/relationships/hyperlink" Target="https://www.europarl.europa.eu/legislative-train/theme-a-europe-fit-for-the-digital-age/file-cyber-solidarity-act" TargetMode="External"/><Relationship Id="rId150" Type="http://schemas.openxmlformats.org/officeDocument/2006/relationships/hyperlink" Target="https://digital-strategy.ec.europa.eu/en/library/digital-europe-more-competitive-autonomous-and-sustainable-europe-brochure" TargetMode="External"/><Relationship Id="rId151" Type="http://schemas.openxmlformats.org/officeDocument/2006/relationships/hyperlink" Target="https://digital-strategy.ec.europa.eu/en/policies/cybersecurity-policies" TargetMode="External"/><Relationship Id="rId152" Type="http://schemas.openxmlformats.org/officeDocument/2006/relationships/hyperlink" Target="https://digital-strategy.ec.europa.eu/en/news/digital-europe-programme-fuels-digital-transformation-and-skills-development-across-europe" TargetMode="External"/><Relationship Id="rId153" Type="http://schemas.openxmlformats.org/officeDocument/2006/relationships/hyperlink" Target="https://www.ipa.government.bg/sites/default/files/digidecade_bg-bg.pdf" TargetMode="External"/><Relationship Id="rId154" Type="http://schemas.openxmlformats.org/officeDocument/2006/relationships/hyperlink" Target="https://secure.ipex.eu/IPEXL-WEB/download/file/082d29089070f71e019072c2e24e0036" TargetMode="External"/><Relationship Id="rId155" Type="http://schemas.openxmlformats.org/officeDocument/2006/relationships/hyperlink" Target="https://digital-strategy.ec.europa.eu/en/factpages/state-digital-decade-2024-report" TargetMode="External"/><Relationship Id="rId156" Type="http://schemas.openxmlformats.org/officeDocument/2006/relationships/hyperlink" Target="https://www.europarl.europa.eu/RegData/docs_autres_institutions/commission_europeenne/com/2025/0290/COM_COM(2025)0290(ANN)_EN.pdf" TargetMode="External"/><Relationship Id="rId157" Type="http://schemas.openxmlformats.org/officeDocument/2006/relationships/hyperlink" Target="https://digital-strategy.ec.europa.eu/en/library/state-digital-decade-2025-report" TargetMode="External"/><Relationship Id="rId158" Type="http://schemas.openxmlformats.org/officeDocument/2006/relationships/hyperlink" Target="https://data.consilium.europa.eu/doc/document/ST-10476-2026-ADD-34/en/pdf" TargetMode="External"/><Relationship Id="rId159" Type="http://schemas.openxmlformats.org/officeDocument/2006/relationships/hyperlink" Target="https://parlament.mt/media/125250/02606.pdf" TargetMode="External"/><Relationship Id="rId160" Type="http://schemas.openxmlformats.org/officeDocument/2006/relationships/hyperlink" Target="https://interoperable-europe.ec.europa.eu/sites/default/files/inline-files/DPA_Factsheets_2023_Cyprus_vFINAL_rev.pdf" TargetMode="External"/><Relationship Id="rId161" Type="http://schemas.openxmlformats.org/officeDocument/2006/relationships/hyperlink" Target="https://ec.europa.eu/info/funding-tenders/opportunities/docs/2021-2027/horizon/wp-call/2025/wp-6-civil-security-for-society_horizon-2025_en.pdf" TargetMode="External"/><Relationship Id="rId162" Type="http://schemas.openxmlformats.org/officeDocument/2006/relationships/hyperlink" Target="https://cybersecurity-centre.europa.eu/funding-opportunities/calls-proposals/increased-cybersecurity-horizon-cl3-2025-02-cs-eccc_en" TargetMode="External"/><Relationship Id="rId163" Type="http://schemas.openxmlformats.org/officeDocument/2006/relationships/hyperlink" Target="https://edz.bib.uni-mannheim.de/www-edz/pdf/swd/2017/swd-2017-0500-4-en.pdf" TargetMode="External"/><Relationship Id="rId164" Type="http://schemas.openxmlformats.org/officeDocument/2006/relationships/hyperlink" Target="https://edz.bib.uni-mannheim.de/www-edz/pdf/swd/2017/swd-2017-0500-5-en.pdf" TargetMode="External"/><Relationship Id="rId165" Type="http://schemas.openxmlformats.org/officeDocument/2006/relationships/hyperlink" Target="https://www.eerstekamer.nl/bijlage/20210114/swd_2020_345_impact_assessment_7/document3/f=/vlfghch5jfhz.pdf" TargetMode="External"/><Relationship Id="rId166" Type="http://schemas.openxmlformats.org/officeDocument/2006/relationships/hyperlink" Target="https://eur-lex.europa.eu/legal-content/EN/TXT/HTML/?uri=CELEX:52020SC0345" TargetMode="External"/><Relationship Id="rId167" Type="http://schemas.openxmlformats.org/officeDocument/2006/relationships/hyperlink" Target="https://www.eca.europa.eu/Lists/ECADocuments/BRP_CYBERSECURITY/BRP_CYBERSECURITY_EN.pdf" TargetMode="External"/><Relationship Id="rId168" Type="http://schemas.openxmlformats.org/officeDocument/2006/relationships/hyperlink" Target="https://www.eca.europa.eu/sites/cc/Lists/CCDocuments/Compendium_Cybersecurity/CC_Compendium_Cybersecurity_EN.pdf" TargetMode="External"/><Relationship Id="rId169" Type="http://schemas.openxmlformats.org/officeDocument/2006/relationships/hyperlink" Target="https://cybersecurity-centre.europa.eu/document/download/8af166e1-69c5-4ccd-b38f-5a3ffe43ad73_en?filename=DEP%20WP2025-2027_March2025.pdf" TargetMode="External"/><Relationship Id="rId170" Type="http://schemas.openxmlformats.org/officeDocument/2006/relationships/hyperlink" Target="https://cybersecurity-centre.europa.eu/funding-opportunities_en" TargetMode="External"/><Relationship Id="rId171" Type="http://schemas.openxmlformats.org/officeDocument/2006/relationships/hyperlink" Target="https://cybersecurity-centre.europa.eu/document/download/a35f7be2-4464-43d3-a40f-6ec942036f48_en?filename=Amendment2cleanDEPcybersecurityWP2025-2027.pdf" TargetMode="External"/><Relationship Id="rId172" Type="http://schemas.openxmlformats.org/officeDocument/2006/relationships/hyperlink" Target="https://cybersecurity-centre.europa.eu/system/files/2024-01/ECCC%20GB%20Decision%20No%202023_8%20ECCC%20final%20SPD%202024-2026.pdf" TargetMode="External"/><Relationship Id="rId173" Type="http://schemas.openxmlformats.org/officeDocument/2006/relationships/hyperlink" Target="https://ecs-org.eu/ecso-uploads/2024/12/ECSO-Cybersecurity-Market-Analysis-and-Recommendations-v1.1.pdf" TargetMode="External"/><Relationship Id="rId174" Type="http://schemas.openxmlformats.org/officeDocument/2006/relationships/hyperlink" Target="https://ecs-org.eu/?publications=ecso-cybersecurity-market-analysis-and-recommendations" TargetMode="External"/><Relationship Id="rId175" Type="http://schemas.openxmlformats.org/officeDocument/2006/relationships/hyperlink" Target="https://ecs-org.eu/ecso-uploads/2022/10/59e615c9dd8f1.pdf" TargetMode="External"/><Relationship Id="rId176" Type="http://schemas.openxmlformats.org/officeDocument/2006/relationships/hyperlink" Target="https://ecs-org.eu/ecso-uploads/2022/10/61dbf641ebada.pdf" TargetMode="External"/><Relationship Id="rId177" Type="http://schemas.openxmlformats.org/officeDocument/2006/relationships/hyperlink" Target="https://eis.ee/ettev&#245;tjad-saavad-t&#228;nasest-taotleda-k&#252;berturbe-taseme-t&#245;stmise-toetust/" TargetMode="External"/><Relationship Id="rId178" Type="http://schemas.openxmlformats.org/officeDocument/2006/relationships/hyperlink" Target="https://ek.fi/wp-content/uploads/2022/03/Kyberturvallisuuswebinaari-31032022_jaettava.pdf" TargetMode="External"/><Relationship Id="rId179" Type="http://schemas.openxmlformats.org/officeDocument/2006/relationships/hyperlink" Target="https://www.enisa.europa.eu/sites/default/files/2025-06/Consolidated%20Annual%20Activity%20Report%202024.pdf" TargetMode="External"/><Relationship Id="rId180" Type="http://schemas.openxmlformats.org/officeDocument/2006/relationships/hyperlink" Target="https://www.enisa.europa.eu/sites/default/files/all_files/2017-07-13%20ENISA%20contrib%20to%20EU%20CSS%20review%20V%20B%20final.pdf" TargetMode="External"/><Relationship Id="rId181" Type="http://schemas.openxmlformats.org/officeDocument/2006/relationships/hyperlink" Target="https://www.enisa.europa.eu/sites/default/files/publications/WP%202021%20O.7.1%20-%20Market%20Analysis%20-%20IoT%20Smart%20Grid.pdf" TargetMode="External"/><Relationship Id="rId182" Type="http://schemas.openxmlformats.org/officeDocument/2006/relationships/hyperlink" Target="https://www.enisa.europa.eu/publications/eu-cybersecurity-market-analysis-iot-in-distribution-grid" TargetMode="External"/><Relationship Id="rId183" Type="http://schemas.openxmlformats.org/officeDocument/2006/relationships/hyperlink" Target="https://www.enisa.europa.eu/sites/default/files/2025-06/ENISA_MSS_Market_Analysis_en_0.pdf" TargetMode="External"/><Relationship Id="rId184" Type="http://schemas.openxmlformats.org/officeDocument/2006/relationships/hyperlink" Target="https://www.enisa.europa.eu/publications/managed-security-services-market-analysis" TargetMode="External"/><Relationship Id="rId185" Type="http://schemas.openxmlformats.org/officeDocument/2006/relationships/hyperlink" Target="https://www.enisa.europa.eu/sites/default/files/publications/ENISA%20-%20NIS%20Investments%20Report.pdf" TargetMode="External"/><Relationship Id="rId186" Type="http://schemas.openxmlformats.org/officeDocument/2006/relationships/hyperlink" Target="https://www.enisa.europa.eu/publications/nis-investments" TargetMode="External"/><Relationship Id="rId187" Type="http://schemas.openxmlformats.org/officeDocument/2006/relationships/hyperlink" Target="https://www.enisa.europa.eu/sites/default/files/publications/ENISA%20Report%20-%20NIS%20Investments%202021.pdf" TargetMode="External"/><Relationship Id="rId188" Type="http://schemas.openxmlformats.org/officeDocument/2006/relationships/hyperlink" Target="https://www.enisa.europa.eu/publications/nis-investments-2021" TargetMode="External"/><Relationship Id="rId189" Type="http://schemas.openxmlformats.org/officeDocument/2006/relationships/hyperlink" Target="https://www.enisa.europa.eu/sites/default/files/publications/NIS%20Investments%202022.pdf" TargetMode="External"/><Relationship Id="rId190" Type="http://schemas.openxmlformats.org/officeDocument/2006/relationships/hyperlink" Target="https://www.enisa.europa.eu/publications/nis-investments-2022" TargetMode="External"/><Relationship Id="rId191" Type="http://schemas.openxmlformats.org/officeDocument/2006/relationships/hyperlink" Target="https://www.enisa.europa.eu/sites/default/files/publications/CSPA%20-%20NIS%20Investments%20-%202023.pdf" TargetMode="External"/><Relationship Id="rId192" Type="http://schemas.openxmlformats.org/officeDocument/2006/relationships/hyperlink" Target="https://www.enisa.europa.eu/publications/nis-investments-2023" TargetMode="External"/><Relationship Id="rId193" Type="http://schemas.openxmlformats.org/officeDocument/2006/relationships/hyperlink" Target="https://www.enisa.europa.eu/sites/default/files/2024-11/CSPA%20-%20NIS%20Investments%20-%202024_0.pdf" TargetMode="External"/><Relationship Id="rId194" Type="http://schemas.openxmlformats.org/officeDocument/2006/relationships/hyperlink" Target="https://www.enisa.europa.eu/publications/nis-investments-2024" TargetMode="External"/><Relationship Id="rId195" Type="http://schemas.openxmlformats.org/officeDocument/2006/relationships/hyperlink" Target="https://www.enisa.europa.eu/sites/default/files/2025-12/NIS%20Investments%202025%20-%20Main%20report.pdf" TargetMode="External"/><Relationship Id="rId196" Type="http://schemas.openxmlformats.org/officeDocument/2006/relationships/hyperlink" Target="https://www.enisa.europa.eu/sites/default/files/2025-12/NIS%20Investments%202025%20-%20Survey%20data%20companion%20document.pdf" TargetMode="External"/><Relationship Id="rId197" Type="http://schemas.openxmlformats.org/officeDocument/2006/relationships/hyperlink" Target="https://www.europarl.europa.eu/RegData/etudes/STUD/2025/778576/ECTI_STU(2025)778576_EN.pdf" TargetMode="External"/><Relationship Id="rId198" Type="http://schemas.openxmlformats.org/officeDocument/2006/relationships/hyperlink" Target="https://www.europarl.europa.eu/thinktank/de/document/ECTI_STU(2025)778576" TargetMode="External"/><Relationship Id="rId199" Type="http://schemas.openxmlformats.org/officeDocument/2006/relationships/hyperlink" Target="https://www.europarl.europa.eu/RegData/etudes/BRIE/2017/603231/EPRS_BRI(2017)603231_EN.pdf" TargetMode="External"/><Relationship Id="rId200" Type="http://schemas.openxmlformats.org/officeDocument/2006/relationships/hyperlink" Target="https://www.europarl.europa.eu/RegData/etudes/BRIE/2025/772881/EPRS_BRI(2025)772881_EN.pdf" TargetMode="External"/><Relationship Id="rId201" Type="http://schemas.openxmlformats.org/officeDocument/2006/relationships/hyperlink" Target="https://www.europarl.europa.eu/thinktank/en/document/EPRS_BRI(2025)772881" TargetMode="External"/><Relationship Id="rId202" Type="http://schemas.openxmlformats.org/officeDocument/2006/relationships/hyperlink" Target="https://www.europarl.europa.eu/RegData/etudes/STUD/2017/614531/EPRS_STU(2017)614531_EN.pdf" TargetMode="External"/><Relationship Id="rId203" Type="http://schemas.openxmlformats.org/officeDocument/2006/relationships/hyperlink" Target="https://www.europarl.europa.eu/RegData/etudes/STUD/2017/603948/EPRS_STU(2017)603948_EN.pdf" TargetMode="External"/><Relationship Id="rId204" Type="http://schemas.openxmlformats.org/officeDocument/2006/relationships/hyperlink" Target="https://e-security.bg/balgarskiyat-pazar-na-kibersigurnost-dostiga-8264-miliona-dolara-prez-2025-g/" TargetMode="External"/><Relationship Id="rId205" Type="http://schemas.openxmlformats.org/officeDocument/2006/relationships/hyperlink" Target="https://research.exaegis.com/cybersecurite" TargetMode="External"/><Relationship Id="rId206" Type="http://schemas.openxmlformats.org/officeDocument/2006/relationships/hyperlink" Target="https://www.expertmarketresearch.com/de/reports/germany-cyber-security-market" TargetMode="External"/><Relationship Id="rId207" Type="http://schemas.openxmlformats.org/officeDocument/2006/relationships/hyperlink" Target="https://www.ey.com/de_at/insights/cybersecurity/ey-cybersecurity-studie" TargetMode="External"/><Relationship Id="rId208" Type="http://schemas.openxmlformats.org/officeDocument/2006/relationships/hyperlink" Target="https://www.ey.com/de_at/newsroom/2026/08/ey-cybersecurity-2026" TargetMode="External"/><Relationship Id="rId209" Type="http://schemas.openxmlformats.org/officeDocument/2006/relationships/hyperlink" Target="https://www.fin.ee/sites/default/files/documents/2026-01/8.%20Digital%20society_0.pdf" TargetMode="External"/><Relationship Id="rId210" Type="http://schemas.openxmlformats.org/officeDocument/2006/relationships/hyperlink" Target="https://finans.dk/tech/ECE11311839/danske-virksomheder-bruger-milliarder-paa-at-holde-hackerne-vaek/" TargetMode="External"/><Relationship Id="rId211" Type="http://schemas.openxmlformats.org/officeDocument/2006/relationships/hyperlink" Target="https://finans.dk/tech/ECE14053355/nye-krav-til-cybersikkerhed-sender-milliardregning-videre-til-danske-virksomheder/" TargetMode="External"/><Relationship Id="rId212" Type="http://schemas.openxmlformats.org/officeDocument/2006/relationships/hyperlink" Target="https://www.cfcs.dk/globalassets/cfcs/dokumenter/2022/ncis_2022-2024_en.pdf" TargetMode="External"/><Relationship Id="rId213" Type="http://schemas.openxmlformats.org/officeDocument/2006/relationships/hyperlink" Target="https://www.fortunebusinessinsights.com/industry-reports/cyber-security-market-101165?key5sk1=f54b506722f3f6b72e6b2c2e1aaac2cc1e2a057d&amp;af=7639" TargetMode="External"/><Relationship Id="rId214" Type="http://schemas.openxmlformats.org/officeDocument/2006/relationships/hyperlink" Target="https://www.fortunebusinessinsights.com/industry-reports/cyber-security-market-101165" TargetMode="External"/><Relationship Id="rId215" Type="http://schemas.openxmlformats.org/officeDocument/2006/relationships/hyperlink" Target="https://www.fortunebusinessinsights.com/methodology/quantum-computing-in-cybersecurity-market-118130" TargetMode="External"/><Relationship Id="rId216" Type="http://schemas.openxmlformats.org/officeDocument/2006/relationships/hyperlink" Target="https://www.fortunebusinessinsights.com/methodology/quantum-computing-in-cybersecurity-market-118130" TargetMode="External"/><Relationship Id="rId217" Type="http://schemas.openxmlformats.org/officeDocument/2006/relationships/hyperlink" Target="https://www.fortunebusinessinsights.com/industry-reports/cyber-security-market-101165" TargetMode="External"/><Relationship Id="rId218" Type="http://schemas.openxmlformats.org/officeDocument/2006/relationships/hyperlink" Target="https://blog.forumforthefuture.be/fr/article/quand-la-cour-des-comptes-se-penche-sur-la-politique-nationale-de-cybersecurite/32385" TargetMode="External"/><Relationship Id="rId219" Type="http://schemas.openxmlformats.org/officeDocument/2006/relationships/hyperlink" Target="https://www.frontier-economics.com/media/izyk5rgz/assessing-the-economic-cost-of-eu-initiatives-on-cybersecurity.pdf" TargetMode="External"/><Relationship Id="rId220" Type="http://schemas.openxmlformats.org/officeDocument/2006/relationships/hyperlink" Target="https://www.frost.com/files/7214/9324/1278/Fortinet_Award_Write_Up.pdf" TargetMode="External"/><Relationship Id="rId221" Type="http://schemas.openxmlformats.org/officeDocument/2006/relationships/hyperlink" Target="https://www.gartner.com/en/articles/information-security" TargetMode="External"/><Relationship Id="rId222" Type="http://schemas.openxmlformats.org/officeDocument/2006/relationships/hyperlink" Target="https://www.gartner.com/en/newsroom/press-releases/2025-07-15-gartner-forecasts-worldwide-it-spending-to-grow-7-point-9-percent-in-2025" TargetMode="External"/><Relationship Id="rId223" Type="http://schemas.openxmlformats.org/officeDocument/2006/relationships/hyperlink" Target="https://www.gartner.com/en/newsroom/press-releases/2024-11-07-gartner-forecasts--it-sending-in-europe-to-grow-9-percent-in-2025" TargetMode="External"/><Relationship Id="rId224" Type="http://schemas.openxmlformats.org/officeDocument/2006/relationships/hyperlink" Target="https://www.gartner.com/en/newsroom/press-releases/2025-07-15-gartner-forecasts-worldwide-it-spending-to-grow-7-point-9-percent-in-2025" TargetMode="External"/><Relationship Id="rId225" Type="http://schemas.openxmlformats.org/officeDocument/2006/relationships/hyperlink" Target="https://www.gns.gov.pt/docs/pa-2025.pdf" TargetMode="External"/><Relationship Id="rId226" Type="http://schemas.openxmlformats.org/officeDocument/2006/relationships/hyperlink" Target="https://www.info.gouv.fr/actualite/un-plan-a-1-milliard-d-euros-pour-renforcer-la-cybersecurite" TargetMode="External"/><Relationship Id="rId227" Type="http://schemas.openxmlformats.org/officeDocument/2006/relationships/hyperlink" Target="https://portugal.gov.pt/gc23/comunicacao/noticias/prr-vai-investir-47-milhoes-na-formacao-em-ciberseguranca" TargetMode="External"/><Relationship Id="rId228" Type="http://schemas.openxmlformats.org/officeDocument/2006/relationships/hyperlink" Target="https://www.grandviewresearch.com/horizon/outlook/cyber-security-market/germany" TargetMode="External"/><Relationship Id="rId229" Type="http://schemas.openxmlformats.org/officeDocument/2006/relationships/hyperlink" Target="https://www.grandviewresearch.com/industry-analysis/europe-cyber-security-market-report" TargetMode="External"/><Relationship Id="rId230" Type="http://schemas.openxmlformats.org/officeDocument/2006/relationships/hyperlink" Target="https://www.grandviewresearch.com/info/research-methodology" TargetMode="External"/><Relationship Id="rId231" Type="http://schemas.openxmlformats.org/officeDocument/2006/relationships/hyperlink" Target="https://www.grandviewresearch.com/horizon/outlook/cyber-security-market/france" TargetMode="External"/><Relationship Id="rId232" Type="http://schemas.openxmlformats.org/officeDocument/2006/relationships/hyperlink" Target="https://www.grandviewresearch.com/horizon/outlook/cyber-security-services-market/germany" TargetMode="External"/><Relationship Id="rId233" Type="http://schemas.openxmlformats.org/officeDocument/2006/relationships/hyperlink" Target="https://www.grandviewresearch.com/horizon/outlook/cyber-security-services-market/france" TargetMode="External"/><Relationship Id="rId234" Type="http://schemas.openxmlformats.org/officeDocument/2006/relationships/hyperlink" Target="https://www.grandviewresearch.com/horizon/outlook/cyber-security-services-market/uk" TargetMode="External"/><Relationship Id="rId235" Type="http://schemas.openxmlformats.org/officeDocument/2006/relationships/hyperlink" Target="https://www.grandviewresearch.com/horizon/outlook/cyber-security-market/uk" TargetMode="External"/><Relationship Id="rId236" Type="http://schemas.openxmlformats.org/officeDocument/2006/relationships/hyperlink" Target="https://www.grandviewresearch.com/horizon/outlook/cyber-security-market/europe" TargetMode="External"/><Relationship Id="rId237" Type="http://schemas.openxmlformats.org/officeDocument/2006/relationships/hyperlink" Target="https://www.grandviewresearch.com/info/research-methodology" TargetMode="External"/><Relationship Id="rId238" Type="http://schemas.openxmlformats.org/officeDocument/2006/relationships/hyperlink" Target="https://www.grandviewresearch.com/info/research-methodology" TargetMode="External"/><Relationship Id="rId239" Type="http://schemas.openxmlformats.org/officeDocument/2006/relationships/hyperlink" Target="https://www.grandviewresearch.com/info/research-methodology" TargetMode="External"/><Relationship Id="rId240" Type="http://schemas.openxmlformats.org/officeDocument/2006/relationships/hyperlink" Target="https://agerpres.ro/comunicate/2026/09/03/comunicat-de-presa---guvern--1590336" TargetMode="External"/><Relationship Id="rId241" Type="http://schemas.openxmlformats.org/officeDocument/2006/relationships/hyperlink" Target="https://www.gov.uk/government/publications/national-cyber-strategy-2022/national-cyber-security-strategy-2022" TargetMode="External"/><Relationship Id="rId242" Type="http://schemas.openxmlformats.org/officeDocument/2006/relationships/hyperlink" Target="https://assets.publishing.service.gov.uk/media/5a81914de5274a2e8ab54ae9/national_cyber_security_strategy_2016.pdf" TargetMode="External"/><Relationship Id="rId243" Type="http://schemas.openxmlformats.org/officeDocument/2006/relationships/hyperlink" Target="https://net.jogtar.hu/jogszabaly?docid=a2400069.tv" TargetMode="External"/><Relationship Id="rId244" Type="http://schemas.openxmlformats.org/officeDocument/2006/relationships/hyperlink" Target="https://www.icex.es/content/dam/icex/centros/belgica/documentos/2025/estudio-mercado-ciberseguridad-belgica-2025-resumen.pdf" TargetMode="External"/><Relationship Id="rId245" Type="http://schemas.openxmlformats.org/officeDocument/2006/relationships/hyperlink" Target="https://www.icex.es/content/dam/icex/centros/suecia/documentos/2025/estudio-mercado-ciberseguridad-suecia-2025-resumen.pdf" TargetMode="External"/><Relationship Id="rId246" Type="http://schemas.openxmlformats.org/officeDocument/2006/relationships/hyperlink" Target="https://www.idc.com/resource-center/blog/resource-region/3_223/page/28/" TargetMode="External"/><Relationship Id="rId247" Type="http://schemas.openxmlformats.org/officeDocument/2006/relationships/hyperlink" Target="https://my.idc.com/getdoc.jsp?containerId=IDC_P33461" TargetMode="External"/><Relationship Id="rId248" Type="http://schemas.openxmlformats.org/officeDocument/2006/relationships/hyperlink" Target="https://www.idc.com/resource-center/blog/resource-region/3_223/page/24/" TargetMode="External"/><Relationship Id="rId249" Type="http://schemas.openxmlformats.org/officeDocument/2006/relationships/hyperlink" Target="https://my.idc.com/getdoc.jsp?containerId=IDC_P33461" TargetMode="External"/><Relationship Id="rId250" Type="http://schemas.openxmlformats.org/officeDocument/2006/relationships/hyperlink" Target="https://6740520.fs1.hubspotusercontent-na1.net/hubfs/6740520/ES_Files/IDC-Ciberseguridad-oct-2023-vf-maquetada-2.pdf" TargetMode="External"/><Relationship Id="rId251" Type="http://schemas.openxmlformats.org/officeDocument/2006/relationships/hyperlink" Target="https://www.channeltrends.cz/n/bezpecnostni-reseni/" TargetMode="External"/><Relationship Id="rId252" Type="http://schemas.openxmlformats.org/officeDocument/2006/relationships/hyperlink" Target="https://www.zdnet.com/article/cybersecurity-this-is-how-firms-are-spending-their-budget-this-year/" TargetMode="External"/><Relationship Id="rId253" Type="http://schemas.openxmlformats.org/officeDocument/2006/relationships/hyperlink" Target="https://my.idc.com/getdoc.jsp?containerId=IDC_P33461" TargetMode="External"/><Relationship Id="rId254" Type="http://schemas.openxmlformats.org/officeDocument/2006/relationships/hyperlink" Target="https://www.thefastmode.com/technology-and-solution-trends/27038-european-it-security-spending-to-continue-to-rise-at-sustained-pace-says-idc" TargetMode="External"/><Relationship Id="rId255" Type="http://schemas.openxmlformats.org/officeDocument/2006/relationships/hyperlink" Target="https://my.idc.com/getdoc.jsp?containerId=IDC_P33461" TargetMode="External"/><Relationship Id="rId256" Type="http://schemas.openxmlformats.org/officeDocument/2006/relationships/hyperlink" Target="https://my.idc.com/getdoc.jsp?containerId=prEUR251983724" TargetMode="External"/><Relationship Id="rId257" Type="http://schemas.openxmlformats.org/officeDocument/2006/relationships/hyperlink" Target="https://my.idc.com/getdoc.jsp?containerId=IDC_P33461" TargetMode="External"/><Relationship Id="rId258" Type="http://schemas.openxmlformats.org/officeDocument/2006/relationships/hyperlink" Target="https://my.idc.com/getdoc.jsp?containerId=prEUR253305325" TargetMode="External"/><Relationship Id="rId259" Type="http://schemas.openxmlformats.org/officeDocument/2006/relationships/hyperlink" Target="https://my.idc.com/getdoc.jsp?containerId=IDC_P33461" TargetMode="External"/><Relationship Id="rId260" Type="http://schemas.openxmlformats.org/officeDocument/2006/relationships/hyperlink" Target="https://www.silicon.fr/business-1367/les-benchmarks-de-lit-2026-les-solutions-de-cybersecurite-226696" TargetMode="External"/><Relationship Id="rId261" Type="http://schemas.openxmlformats.org/officeDocument/2006/relationships/hyperlink" Target="https://www.isbtech.pl/2023/09/polska-zwieksza-wydatki-na-bezpieczenstwo-w-cyberprzestrzeni/" TargetMode="External"/><Relationship Id="rId262" Type="http://schemas.openxmlformats.org/officeDocument/2006/relationships/hyperlink" Target="https://my.idc.com/eu/events/71329-idc-security-forum?g_clang=ENG" TargetMode="External"/><Relationship Id="rId263" Type="http://schemas.openxmlformats.org/officeDocument/2006/relationships/hyperlink" Target="https://my.idc.com/getdoc.jsp?containerId=IDC_P33461" TargetMode="External"/><Relationship Id="rId264" Type="http://schemas.openxmlformats.org/officeDocument/2006/relationships/hyperlink" Target="https://event.idc.com/event/it-security-summit-uk/" TargetMode="External"/><Relationship Id="rId265" Type="http://schemas.openxmlformats.org/officeDocument/2006/relationships/hyperlink" Target="https://my.idc.com/getdoc.jsp?containerId=IDC_P33461" TargetMode="External"/><Relationship Id="rId266" Type="http://schemas.openxmlformats.org/officeDocument/2006/relationships/hyperlink" Target="https://my.idc.com/getdoc.jsp?containerId=IDC_P33461" TargetMode="External"/><Relationship Id="rId267" Type="http://schemas.openxmlformats.org/officeDocument/2006/relationships/hyperlink" Target="https://my.idc.com/research/viewtoc.jsp?containerId=US53248825" TargetMode="External"/><Relationship Id="rId268" Type="http://schemas.openxmlformats.org/officeDocument/2006/relationships/hyperlink" Target="https://www.idealholdings.gr/media/cgub5m1l/ideal-holdings_morgan-stanley-athex-greek-investment-conference-dec-25.pdf" TargetMode="External"/><Relationship Id="rId269" Type="http://schemas.openxmlformats.org/officeDocument/2006/relationships/hyperlink" Target="https://www.imarcgroup.com/germany-cybersecurity-market" TargetMode="External"/><Relationship Id="rId270" Type="http://schemas.openxmlformats.org/officeDocument/2006/relationships/hyperlink" Target="https://www.imarcgroup.com/spain-cybersecurity-market" TargetMode="External"/><Relationship Id="rId271" Type="http://schemas.openxmlformats.org/officeDocument/2006/relationships/hyperlink" Target="https://www.imarcgroup.com/europe-cybersecurity-market" TargetMode="External"/><Relationship Id="rId272" Type="http://schemas.openxmlformats.org/officeDocument/2006/relationships/hyperlink" Target="https://www.imarcgroup.com/europe-cybersecurity-market" TargetMode="External"/><Relationship Id="rId273" Type="http://schemas.openxmlformats.org/officeDocument/2006/relationships/hyperlink" Target="https://www.imarcgroup.com/europe-cybersecurity-market" TargetMode="External"/><Relationship Id="rId274" Type="http://schemas.openxmlformats.org/officeDocument/2006/relationships/hyperlink" Target="https://www.imarcgroup.com/uk-cybersecurity-market" TargetMode="External"/><Relationship Id="rId275" Type="http://schemas.openxmlformats.org/officeDocument/2006/relationships/hyperlink" Target="https://www.imarcgroup.com/metabolomics-market" TargetMode="External"/><Relationship Id="rId276" Type="http://schemas.openxmlformats.org/officeDocument/2006/relationships/hyperlink" Target="https://www.imarcgroup.com/europe-cybersecurity-market" TargetMode="External"/><Relationship Id="rId277" Type="http://schemas.openxmlformats.org/officeDocument/2006/relationships/hyperlink" Target="https://www.incibe.es/sites/default/files/Emprendimiento/ESTUDIO%20ECOSISTEMA%20EMPRENDIMIENTO_0.pdf" TargetMode="External"/><Relationship Id="rId278" Type="http://schemas.openxmlformats.org/officeDocument/2006/relationships/hyperlink" Target="https://www.incibe.es/incibe/sala-de-prensa/incibe-y-conetic-presentan-las-conclusiones-del-estudio-sobre-la-industria-de" TargetMode="External"/><Relationship Id="rId279" Type="http://schemas.openxmlformats.org/officeDocument/2006/relationships/hyperlink" Target="https://www.mordorintelligence.com/industry-reports/austria-cybersecurity-market/market-size" TargetMode="External"/><Relationship Id="rId280" Type="http://schemas.openxmlformats.org/officeDocument/2006/relationships/hyperlink" Target="https://www.trade.gov/country-commercial-guides/austria-cyber-security" TargetMode="External"/><Relationship Id="rId281" Type="http://schemas.openxmlformats.org/officeDocument/2006/relationships/hyperlink" Target="https://www.trade.gov/country-commercial-guides/hungary-digital-economy" TargetMode="External"/><Relationship Id="rId282" Type="http://schemas.openxmlformats.org/officeDocument/2006/relationships/hyperlink" Target="https://www.trade.gov/country-commercial-guides/slovenia-information-and-communications-technology" TargetMode="External"/><Relationship Id="rId283" Type="http://schemas.openxmlformats.org/officeDocument/2006/relationships/hyperlink" Target="https://www.trade.gov/market-intelligence/austria-cybersecurity-opportunities" TargetMode="External"/><Relationship Id="rId284" Type="http://schemas.openxmlformats.org/officeDocument/2006/relationships/hyperlink" Target="https://itb.dk/tema/it-branchens-talunivers/tal-cybersikkerhed/" TargetMode="External"/><Relationship Id="rId285" Type="http://schemas.openxmlformats.org/officeDocument/2006/relationships/hyperlink" Target="https://kam.lt/duk/kibernetinio-saugumo-pletros-programa/" TargetMode="External"/><Relationship Id="rId286" Type="http://schemas.openxmlformats.org/officeDocument/2006/relationships/hyperlink" Target="https://e-seimas.lrs.lt/rs/lasupplement/TAD/ca445401de4511ef8cdff2c320e69444/a6f1f679de8011ef8cdff2c320e69444/format/ISO_PDF/" TargetMode="External"/><Relationship Id="rId287" Type="http://schemas.openxmlformats.org/officeDocument/2006/relationships/hyperlink" Target="https://kam.lt/wp-content/uploads/2025/03/NKSC-BUKLETAS-FINAL-4.0.pdf" TargetMode="External"/><Relationship Id="rId288" Type="http://schemas.openxmlformats.org/officeDocument/2006/relationships/hyperlink" Target="https://www.kenresearch.com/germany-cybersecurity-and-cloud-security-market" TargetMode="External"/><Relationship Id="rId289" Type="http://schemas.openxmlformats.org/officeDocument/2006/relationships/hyperlink" Target="https://www.kenresearch.com/industry-reports/europe-cyber-security-industry" TargetMode="External"/><Relationship Id="rId290" Type="http://schemas.openxmlformats.org/officeDocument/2006/relationships/hyperlink" Target="https://www.kenresearch.com/romania-cybersecurity-for-government-market" TargetMode="External"/><Relationship Id="rId291" Type="http://schemas.openxmlformats.org/officeDocument/2006/relationships/hyperlink" Target="https://www.kenresearch.com/uk-cybersecurity-in-government-services-market" TargetMode="External"/><Relationship Id="rId292" Type="http://schemas.openxmlformats.org/officeDocument/2006/relationships/hyperlink" Target="https://www.kenresearch.com/italy-cybersecurity-and-mssp-market" TargetMode="External"/><Relationship Id="rId293" Type="http://schemas.openxmlformats.org/officeDocument/2006/relationships/hyperlink" Target="https://www.kenresearch.com/poland-cybersecurity-and-mssp-market" TargetMode="External"/><Relationship Id="rId294" Type="http://schemas.openxmlformats.org/officeDocument/2006/relationships/hyperlink" Target="https://www.kenresearch.com/uk-cybersecurity-market" TargetMode="External"/><Relationship Id="rId295" Type="http://schemas.openxmlformats.org/officeDocument/2006/relationships/hyperlink" Target="https://gokensai.com/blog/dach-cybersecurity-market-overview-2026/" TargetMode="External"/><Relationship Id="rId296" Type="http://schemas.openxmlformats.org/officeDocument/2006/relationships/hyperlink" Target="https://www.kommerskollegium.se/en/analyses-and-seminars/published/market-study/2025/the-swedish-market-for-cybersecurity/" TargetMode="External"/><Relationship Id="rId297" Type="http://schemas.openxmlformats.org/officeDocument/2006/relationships/hyperlink" Target="https://www.ruv.at/wp-content/uploads/kpmg-studie-cybersecurity-in-oesterreich-2023_1x1.pdf" TargetMode="External"/><Relationship Id="rId298" Type="http://schemas.openxmlformats.org/officeDocument/2006/relationships/hyperlink" Target="https://kpmg.com/at/de/media/publications/cybersecurity-studie.html" TargetMode="External"/><Relationship Id="rId299" Type="http://schemas.openxmlformats.org/officeDocument/2006/relationships/hyperlink" Target="https://www.lrt.lt/naujienos/lietuvoje/2/2093159/gynybos-finansavimas-kitamet-sieks-2-71-proc-bvp-rodo-biudzeto-projektas" TargetMode="External"/><Relationship Id="rId300" Type="http://schemas.openxmlformats.org/officeDocument/2006/relationships/hyperlink" Target="https://www.eunity-project.eu/m/filer_public/4b/62/4b6262dc-3bca-4145-a84b-b514049156ce/1_lsec_japan_eunity_ecso_wg2_cima_seldeslachts_ulrich_20190124881.pdf" TargetMode="External"/><Relationship Id="rId301" Type="http://schemas.openxmlformats.org/officeDocument/2006/relationships/hyperlink" Target="https://www.digitalsecuritycatalyst.com/cima-cybersecurity-industry-market-analysis/" TargetMode="External"/><Relationship Id="rId302" Type="http://schemas.openxmlformats.org/officeDocument/2006/relationships/hyperlink" Target="https://budget.public.lu/lb/budget2025/am-detail.html?chpt=depenses&amp;dept=1&amp;sect=16" TargetMode="External"/><Relationship Id="rId303" Type="http://schemas.openxmlformats.org/officeDocument/2006/relationships/hyperlink" Target="https://budget.public.lu/lb/budget2026/am-detail.html?chpt=depenses&amp;dept=6&amp;sect=55" TargetMode="External"/><Relationship Id="rId304" Type="http://schemas.openxmlformats.org/officeDocument/2006/relationships/hyperlink" Target="https://www.luenendonk.de/luenendonk-listen-2025-it-dienstleister-blicken-nach-durchwachsenem-jahr-2024-optimistisch-in-die-zukunft/" TargetMode="External"/><Relationship Id="rId305" Type="http://schemas.openxmlformats.org/officeDocument/2006/relationships/hyperlink" Target="https://valtioneuvosto.fi/-/1410829/kyberturvallisuusstrategian-toimeenpanoon-tarvitaan-pysyvaa-rahoitusta" TargetMode="External"/><Relationship Id="rId306" Type="http://schemas.openxmlformats.org/officeDocument/2006/relationships/hyperlink" Target="https://www.marketdataforecast.com/market-reports/europe-cyber-security-market" TargetMode="External"/><Relationship Id="rId307" Type="http://schemas.openxmlformats.org/officeDocument/2006/relationships/hyperlink" Target="https://www.marketsandmarkets.com/Market-Reports/germany-cybersecurity-market-91945586.html" TargetMode="External"/><Relationship Id="rId308" Type="http://schemas.openxmlformats.org/officeDocument/2006/relationships/hyperlink" Target="https://www.marketsandmarkets.com/Market-Reports/geography/cyber-security-market/germany" TargetMode="External"/><Relationship Id="rId309" Type="http://schemas.openxmlformats.org/officeDocument/2006/relationships/hyperlink" Target="https://www.marketsandmarkets.com/Market-Reports/europe-cybersecurity-market-156644743.html" TargetMode="External"/><Relationship Id="rId310" Type="http://schemas.openxmlformats.org/officeDocument/2006/relationships/hyperlink" Target="https://www.marketsandmarkets.com/Market-Reports/geography/cyber-security-market/europe" TargetMode="External"/><Relationship Id="rId311" Type="http://schemas.openxmlformats.org/officeDocument/2006/relationships/hyperlink" Target="https://www.marketsandmarkets.com/Market-Reports/geography/cyber-security-market/france" TargetMode="External"/><Relationship Id="rId312" Type="http://schemas.openxmlformats.org/officeDocument/2006/relationships/hyperlink" Target="https://www.marketsandmarkets.com/Market-Reports/geography/cyber-security-market/italy" TargetMode="External"/><Relationship Id="rId313" Type="http://schemas.openxmlformats.org/officeDocument/2006/relationships/hyperlink" Target="https://www.marketsandmarkets.com/Market-Reports/geography/defense-cybersecurity-market/poland" TargetMode="External"/><Relationship Id="rId314" Type="http://schemas.openxmlformats.org/officeDocument/2006/relationships/hyperlink" Target="https://www.marketsandmarkets.com/Market-Reports/geography/government-public-sector-cybersecurity-market/Germany" TargetMode="External"/><Relationship Id="rId315" Type="http://schemas.openxmlformats.org/officeDocument/2006/relationships/hyperlink" Target="https://www.marketsandmarkets.com/Market-Reports/geography/industrial-cybersecurity-market/netherlands" TargetMode="External"/><Relationship Id="rId316" Type="http://schemas.openxmlformats.org/officeDocument/2006/relationships/hyperlink" Target="https://www.marketsandmarkets.com/Market-Reports/geography/cyber-security-market/US" TargetMode="External"/><Relationship Id="rId317" Type="http://schemas.openxmlformats.org/officeDocument/2006/relationships/hyperlink" Target="https://www.marketsandmarkets.com/Market-Reports/us-cybersecurity-market-199745351.html" TargetMode="External"/><Relationship Id="rId318" Type="http://schemas.openxmlformats.org/officeDocument/2006/relationships/hyperlink" Target="https://markwideresearch.com/hungary-cybersecurity-market" TargetMode="External"/><Relationship Id="rId319" Type="http://schemas.openxmlformats.org/officeDocument/2006/relationships/hyperlink" Target="https://markwideresearch.com/nordics-cybersecurity-market" TargetMode="External"/><Relationship Id="rId320" Type="http://schemas.openxmlformats.org/officeDocument/2006/relationships/hyperlink" Target="https://www.gov.pl/web/cyfryzacja/polska-inwestuje-rekordowe-srodki-w-ochrone-przed-cyberatakami" TargetMode="External"/><Relationship Id="rId321" Type="http://schemas.openxmlformats.org/officeDocument/2006/relationships/hyperlink" Target="https://www.gov.pl/web/cyfryzacja/15-mld-zl-dla-samorzadow-na-cyberbezpieczenstwo" TargetMode="External"/><Relationship Id="rId322" Type="http://schemas.openxmlformats.org/officeDocument/2006/relationships/hyperlink" Target="https://www.gov.pl/web/cyfryzacja/wiecej-pieniedzy-na-fundusz-cyberbezpieczenstwa" TargetMode="External"/><Relationship Id="rId323" Type="http://schemas.openxmlformats.org/officeDocument/2006/relationships/hyperlink" Target="https://www.gov.pl/web/cyfryzacja/nowa-platforma-wspolpracy-w-obszarze-cyberbezpieczenstwa-zwiekszy-odpornosc-samorzadow" TargetMode="External"/><Relationship Id="rId324" Type="http://schemas.openxmlformats.org/officeDocument/2006/relationships/hyperlink" Target="https://static.messe-essen-digitalmedia.de/uploads/E302/presstexts/3_marktdaten.pdf" TargetMode="External"/><Relationship Id="rId325" Type="http://schemas.openxmlformats.org/officeDocument/2006/relationships/hyperlink" Target="https://metastatinsight.com/report/austria-cybersecurity-market" TargetMode="External"/><Relationship Id="rId326" Type="http://schemas.openxmlformats.org/officeDocument/2006/relationships/hyperlink" Target="https://www.uradni-list.si/files/RS_-2025-095-03358-OB~P002-0000.PDF" TargetMode="External"/><Relationship Id="rId327" Type="http://schemas.openxmlformats.org/officeDocument/2006/relationships/hyperlink" Target="https://www.gov.si/assets/ministrstva/MF/Proracun-direktorat/Drzavni-proracun/Zakljucni-racun/2022-ZR/Obrazlozitve-posebni-del/ZR2022-258-III_3_1544_UVIV.pdf" TargetMode="External"/><Relationship Id="rId328" Type="http://schemas.openxmlformats.org/officeDocument/2006/relationships/hyperlink" Target="https://mf.gov.cz/cs/ministerstvo/media/tiskove-zpravy/2025/vlada-schvalila-navrh-statniho-rozpoctu-na-rok-202-61433" TargetMode="External"/><Relationship Id="rId329" Type="http://schemas.openxmlformats.org/officeDocument/2006/relationships/hyperlink" Target="https://www.lupa.cz/aktuality/kyberurad-opet-dostane-vice-penez-rad-by-jeste-vice-celi-tlaku-na-platy-a-zajisteni-cinnosti/" TargetMode="External"/><Relationship Id="rId330" Type="http://schemas.openxmlformats.org/officeDocument/2006/relationships/hyperlink" Target="https://mf.gov.cz/cs/ministerstvo/media/tiskove-zpravy/2024/snemovna-schvalila-statni-rozpocet-na-rok-2025-57982" TargetMode="External"/><Relationship Id="rId331" Type="http://schemas.openxmlformats.org/officeDocument/2006/relationships/hyperlink" Target="https://www.mfsr.sk/files/sk/financie/hodnota-za-peniaze/hodnotenia/informatizacia/hodnotenie_kybernastroj.pdf" TargetMode="External"/><Relationship Id="rId332" Type="http://schemas.openxmlformats.org/officeDocument/2006/relationships/hyperlink" Target="https://www.mfsr.sk/files/sk/financie/hodnota-za-peniaze/hodnotenia/informatizacia/hodnotenie_kyberneticka-bezpecnost-samosprave-do-6-000-obyvatelov.pdf" TargetMode="External"/><Relationship Id="rId333" Type="http://schemas.openxmlformats.org/officeDocument/2006/relationships/hyperlink" Target="https://www.mig.government.bg/wp-content/uploads/2023/08/11.-selection-criteria_cs1_-central-components.pdf" TargetMode="External"/><Relationship Id="rId334" Type="http://schemas.openxmlformats.org/officeDocument/2006/relationships/hyperlink" Target="https://digital.gob.es/content/dam/portal-mtdfp/avance-digital/telecomunicacion-e-infraestructuras-digitales/areas_interes/&#8203;ciberseguridad-y-despliegue-del-5g/Componente15.pdf" TargetMode="External"/><Relationship Id="rId335" Type="http://schemas.openxmlformats.org/officeDocument/2006/relationships/hyperlink" Target="https://www.economie.gouv.fr/strategie-nationale-acceleration-cybersecurite" TargetMode="External"/><Relationship Id="rId336" Type="http://schemas.openxmlformats.org/officeDocument/2006/relationships/hyperlink" Target="https://mirri.gov.sk/wp-content/uploads/2024/05/Indik_harmonogram_vyhlas_VaPV_v6.pdf" TargetMode="External"/><Relationship Id="rId337" Type="http://schemas.openxmlformats.org/officeDocument/2006/relationships/hyperlink" Target="https://www.itapa.sk/data/att/060/10844.b0fc12.pdf" TargetMode="External"/><Relationship Id="rId338" Type="http://schemas.openxmlformats.org/officeDocument/2006/relationships/hyperlink" Target="https://mirri.gov.sk/aktuality/digitalna-agenda/rezort-informatizacie-podporil-kyberneticku-bezpecnost-sumou-15-milionov-eur/" TargetMode="External"/><Relationship Id="rId339" Type="http://schemas.openxmlformats.org/officeDocument/2006/relationships/hyperlink" Target="https://www.mk.gov.lv/lv/jaunums/valdiba-atbalsta-butiskas-es-fondu-investicijas-kiberdrosiba-un-militaras-mobilitates-infrastruktura" TargetMode="External"/><Relationship Id="rId340" Type="http://schemas.openxmlformats.org/officeDocument/2006/relationships/hyperlink" Target="https://m.likumi.lv/ta/id/340633-par-latvijas-kiberdrosibas-strategiju-20232026-gadam" TargetMode="External"/><Relationship Id="rId341" Type="http://schemas.openxmlformats.org/officeDocument/2006/relationships/hyperlink" Target="https://www.mkm.ee/sites/default/files/documents/2024-07/Kyberturvalisuse%20strateegia%202024-2030_labivalt_IT_vaatlik_Eesti.pdf" TargetMode="External"/><Relationship Id="rId342" Type="http://schemas.openxmlformats.org/officeDocument/2006/relationships/hyperlink" Target="https://www.mordorintelligence.com/de/industry-reports/austria-cybersecurity-market" TargetMode="External"/><Relationship Id="rId343" Type="http://schemas.openxmlformats.org/officeDocument/2006/relationships/hyperlink" Target="https://www.mordorintelligence.com/fr/industry-reports/belgium-cybersecurity-market" TargetMode="External"/><Relationship Id="rId344" Type="http://schemas.openxmlformats.org/officeDocument/2006/relationships/hyperlink" Target="https://www.mordorintelligence.com/industry-reports/benelux-cybersecurity-market/market-size" TargetMode="External"/><Relationship Id="rId345" Type="http://schemas.openxmlformats.org/officeDocument/2006/relationships/hyperlink" Target="https://www.mordorintelligence.com/industry-reports/benelux-cybersecurity-market" TargetMode="External"/><Relationship Id="rId346" Type="http://schemas.openxmlformats.org/officeDocument/2006/relationships/hyperlink" Target="https://www.mordorintelligence.com/industry-reports/europe-cybersecurity-market" TargetMode="External"/><Relationship Id="rId347" Type="http://schemas.openxmlformats.org/officeDocument/2006/relationships/hyperlink" Target="https://www.mordorintelligence.com/de/industry-reports/germany-cybersecurity-market" TargetMode="External"/><Relationship Id="rId348" Type="http://schemas.openxmlformats.org/officeDocument/2006/relationships/hyperlink" Target="https://www.mordorintelligence.com/industry-reports/denmark-cybersecurity-market" TargetMode="External"/><Relationship Id="rId349" Type="http://schemas.openxmlformats.org/officeDocument/2006/relationships/hyperlink" Target="https://www.mordorintelligence.com/industry-reports/greece-cybersecurity-market" TargetMode="External"/><Relationship Id="rId350" Type="http://schemas.openxmlformats.org/officeDocument/2006/relationships/hyperlink" Target="https://www.mordorintelligence.com/fr/industry-reports/spain-cybersecurity-market/market-size" TargetMode="External"/><Relationship Id="rId351" Type="http://schemas.openxmlformats.org/officeDocument/2006/relationships/hyperlink" Target="https://www.mordorintelligence.com/industry-reports/spain-cybersecurity-market" TargetMode="External"/><Relationship Id="rId352" Type="http://schemas.openxmlformats.org/officeDocument/2006/relationships/hyperlink" Target="https://www.mordorintelligence.com/industry-reports/europe-cybersecurity-market" TargetMode="External"/><Relationship Id="rId353" Type="http://schemas.openxmlformats.org/officeDocument/2006/relationships/hyperlink" Target="https://www.mordorintelligence.com/industry-reports/europe-cybersecurity-market" TargetMode="External"/><Relationship Id="rId354" Type="http://schemas.openxmlformats.org/officeDocument/2006/relationships/hyperlink" Target="https://www.mordorintelligence.com/industry-reports/finland-cybersecurity-market/market-size" TargetMode="External"/><Relationship Id="rId355" Type="http://schemas.openxmlformats.org/officeDocument/2006/relationships/hyperlink" Target="https://www.mordorintelligence.com/industry-reports/finland-cybersecurity-market" TargetMode="External"/><Relationship Id="rId356" Type="http://schemas.openxmlformats.org/officeDocument/2006/relationships/hyperlink" Target="https://www.mordorintelligence.com/fr/industry-reports/france-cybersecurity-market" TargetMode="External"/><Relationship Id="rId357" Type="http://schemas.openxmlformats.org/officeDocument/2006/relationships/hyperlink" Target="https://www.mordorintelligence.com/industry-reports/hungary-cybersecurity-market" TargetMode="External"/><Relationship Id="rId358" Type="http://schemas.openxmlformats.org/officeDocument/2006/relationships/hyperlink" Target="https://www.mordorintelligence.com/fr/industry-reports/italy-cybersecurity-market/market-size" TargetMode="External"/><Relationship Id="rId359" Type="http://schemas.openxmlformats.org/officeDocument/2006/relationships/hyperlink" Target="https://www.mordorintelligence.com/industry-reports/italy-cybersecurity-market" TargetMode="External"/><Relationship Id="rId360" Type="http://schemas.openxmlformats.org/officeDocument/2006/relationships/hyperlink" Target="https://www.mordorintelligence.com/industry-reports/netherlands-cybersecurity-market" TargetMode="External"/><Relationship Id="rId361" Type="http://schemas.openxmlformats.org/officeDocument/2006/relationships/hyperlink" Target="https://www.mordorintelligence.com/industry-reports/nordics-cybersecurity-market/market-size" TargetMode="External"/><Relationship Id="rId362" Type="http://schemas.openxmlformats.org/officeDocument/2006/relationships/hyperlink" Target="https://www.mordorintelligence.com/industry-reports/nordics-cybersecurity-market" TargetMode="External"/><Relationship Id="rId363" Type="http://schemas.openxmlformats.org/officeDocument/2006/relationships/hyperlink" Target="https://www.mordorintelligence.com/industry-reports/europe-cybersecurity-market" TargetMode="External"/><Relationship Id="rId364" Type="http://schemas.openxmlformats.org/officeDocument/2006/relationships/hyperlink" Target="https://www.mordorintelligence.com/industry-reports/poland-cybersecurity-market/market-size" TargetMode="External"/><Relationship Id="rId365" Type="http://schemas.openxmlformats.org/officeDocument/2006/relationships/hyperlink" Target="https://www.mordorintelligence.com/industry-reports/poland-cybersecurity-market/market-size" TargetMode="External"/><Relationship Id="rId366" Type="http://schemas.openxmlformats.org/officeDocument/2006/relationships/hyperlink" Target="https://www.mordorintelligence.com/industry-reports/poland-cybersecurity-market" TargetMode="External"/><Relationship Id="rId367" Type="http://schemas.openxmlformats.org/officeDocument/2006/relationships/hyperlink" Target="https://www.mordorintelligence.com/industry-reports/portugal-cybersecurity-market/market-size" TargetMode="External"/><Relationship Id="rId368" Type="http://schemas.openxmlformats.org/officeDocument/2006/relationships/hyperlink" Target="https://www.mordorintelligence.com/industry-reports/portugal-cybersecurity-market" TargetMode="External"/><Relationship Id="rId369" Type="http://schemas.openxmlformats.org/officeDocument/2006/relationships/hyperlink" Target="https://www.mordorintelligence.com/industry-reports/romania-cybersecurity-market/market-size" TargetMode="External"/><Relationship Id="rId370" Type="http://schemas.openxmlformats.org/officeDocument/2006/relationships/hyperlink" Target="https://www.mordorintelligence.com/industry-reports/romania-cybersecurity-market/market-size" TargetMode="External"/><Relationship Id="rId371" Type="http://schemas.openxmlformats.org/officeDocument/2006/relationships/hyperlink" Target="https://www.mordorintelligence.com/industry-reports/romania-cybersecurity-market" TargetMode="External"/><Relationship Id="rId372" Type="http://schemas.openxmlformats.org/officeDocument/2006/relationships/hyperlink" Target="https://www.mordorintelligence.it/industry-reports/sweden-cybersecurity-market" TargetMode="External"/><Relationship Id="rId373" Type="http://schemas.openxmlformats.org/officeDocument/2006/relationships/hyperlink" Target="https://www.mordorintelligence.com/industry-reports/sweden-cybersecurity-market" TargetMode="External"/><Relationship Id="rId374" Type="http://schemas.openxmlformats.org/officeDocument/2006/relationships/hyperlink" Target="https://www.mordorintelligence.com/industry-reports/uk-cybersecurity-market" TargetMode="External"/><Relationship Id="rId375" Type="http://schemas.openxmlformats.org/officeDocument/2006/relationships/hyperlink" Target="https://www.mordorintelligence.com/industry-reports/europe-cybersecurity-market" TargetMode="External"/><Relationship Id="rId376" Type="http://schemas.openxmlformats.org/officeDocument/2006/relationships/hyperlink" Target="https://www.mordorintelligence.com/industry-reports/europe-cybersecurity-market" TargetMode="External"/><Relationship Id="rId377" Type="http://schemas.openxmlformats.org/officeDocument/2006/relationships/hyperlink" Target="https://www.mordorintelligence.com/industry-reports/europe-security-services-market" TargetMode="External"/><Relationship Id="rId378" Type="http://schemas.openxmlformats.org/officeDocument/2006/relationships/hyperlink" Target="https://www.mordorintelligence.com/industry-reports/europe-cybersecurity-market" TargetMode="External"/><Relationship Id="rId379" Type="http://schemas.openxmlformats.org/officeDocument/2006/relationships/hyperlink" Target="https://www.morganreedinsights.com/nordic-cybersecurity-market/" TargetMode="External"/><Relationship Id="rId380" Type="http://schemas.openxmlformats.org/officeDocument/2006/relationships/hyperlink" Target="https://mpudt.gov.hr/vijesti-8/republika-hrvatska-dodatno-se-pozicionirala-kao-predvodnica-u-jacanju-europskog-ekosustava-kiberneticke-sigurnosti/29877?lang=cs" TargetMode="External"/><Relationship Id="rId381" Type="http://schemas.openxmlformats.org/officeDocument/2006/relationships/hyperlink" Target="https://www.marketresearchfuture.com/reports/germany-cybersecurity-market-46036" TargetMode="External"/><Relationship Id="rId382" Type="http://schemas.openxmlformats.org/officeDocument/2006/relationships/hyperlink" Target="https://www.marketresearchfuture.com/reports/france-cybersecurity-market-46038" TargetMode="External"/><Relationship Id="rId383" Type="http://schemas.openxmlformats.org/officeDocument/2006/relationships/hyperlink" Target="https://mssb.dk/media/4ifhls3a/aftaletekst-strategi-for-cyber-og-informationssikkerhed-2026-2029.pdf" TargetMode="External"/><Relationship Id="rId384" Type="http://schemas.openxmlformats.org/officeDocument/2006/relationships/hyperlink" Target="https://mup.gov.hr/vijesti/investicija-c2-3-r3-i2-jacanje-kapaciteta-policije-za-suzbijanje-kibernetickog-kriminaliteta-u-okviru-nacionalnog-programa-oporavka-i-otpornosti/294007" TargetMode="External"/><Relationship Id="rId385" Type="http://schemas.openxmlformats.org/officeDocument/2006/relationships/hyperlink" Target="https://mv.gov.cz/npo/soubor/vyzva-c-41-verze-2-k-predkladani-zadosti-o-financni-podporu-predem-definovanym-projektum-v-ramci-narodniho-planu-obnovy-cr.aspx" TargetMode="External"/><Relationship Id="rId386" Type="http://schemas.openxmlformats.org/officeDocument/2006/relationships/hyperlink" Target="https://mv.gov.cz/npo/soubor/vyzva-c-46-verze-2-k-predkladani-zadosti-o-financni-podporu-v-ramci-narodniho-planu-obnovy-cr.aspx" TargetMode="External"/><Relationship Id="rId387" Type="http://schemas.openxmlformats.org/officeDocument/2006/relationships/hyperlink" Target="https://www.nao.org.uk/wp-content/uploads/2025/01/government-cyber-resilience.pdf" TargetMode="External"/><Relationship Id="rId388" Type="http://schemas.openxmlformats.org/officeDocument/2006/relationships/hyperlink" Target="https://www.nao.org.uk/wp-content/uploads/2019/03/Progress-of-the-2016-2021-National-Cyber-Security-Programme.pdf" TargetMode="External"/><Relationship Id="rId389" Type="http://schemas.openxmlformats.org/officeDocument/2006/relationships/hyperlink" Target="https://www.nbu.gov.sk/data/att/134.pdf" TargetMode="External"/><Relationship Id="rId390" Type="http://schemas.openxmlformats.org/officeDocument/2006/relationships/hyperlink" Target="https://www.ncsc.nl/binaries/ncsc/documenten/publicaties/2019/mei/01/nederlandse-cybersecurity-agenda/CSAgenda_def_web_tcm31-322330.pdf" TargetMode="External"/><Relationship Id="rId391" Type="http://schemas.openxmlformats.org/officeDocument/2006/relationships/hyperlink" Target="https://inno3.it/2021/12/20/barometro-cyber-cybersecurity-le-aziende-adottano-resiliency-plan/" TargetMode="External"/><Relationship Id="rId392" Type="http://schemas.openxmlformats.org/officeDocument/2006/relationships/hyperlink" Target="https://www.newmoney.gr/roh/palmos-oikonomias/epixeiriseis/prooptiki-gia-tziro-e-34-dis-se-pliroforiki-ke-kivernoasfalia-stin-ellada-eos-to-2029-grafima/" TargetMode="External"/><Relationship Id="rId393" Type="http://schemas.openxmlformats.org/officeDocument/2006/relationships/hyperlink" Target="https://www.cyber.gov.lv/lv/zinas" TargetMode="External"/><Relationship Id="rId394" Type="http://schemas.openxmlformats.org/officeDocument/2006/relationships/hyperlink" Target="https://www.nksc.lt/es_projektai.html" TargetMode="External"/><Relationship Id="rId395" Type="http://schemas.openxmlformats.org/officeDocument/2006/relationships/hyperlink" Target="https://nordlo.com/wp-content/uploads/2024/04/nordlocybersakerhetsrapport-2024.pdf" TargetMode="External"/><Relationship Id="rId396" Type="http://schemas.openxmlformats.org/officeDocument/2006/relationships/hyperlink" Target="https://nordlo.com/wp-content/uploads/2024/01/cybersakerhetsrapport.pdf" TargetMode="External"/><Relationship Id="rId397" Type="http://schemas.openxmlformats.org/officeDocument/2006/relationships/hyperlink" Target="https://nukib.gov.cz/download/publikace/zpravy_o_stavu/Zprava-o-cinnosti-NUKIB-2025.pdf" TargetMode="External"/><Relationship Id="rId398" Type="http://schemas.openxmlformats.org/officeDocument/2006/relationships/hyperlink" Target="https://nukib.gov.cz/download/publikace/zpravy_o_stavu/Zprava_o_stavu_kyberneticke_bezpecnosti_CR_za_rok_2022.pdf" TargetMode="External"/><Relationship Id="rId399" Type="http://schemas.openxmlformats.org/officeDocument/2006/relationships/hyperlink" Target="https://nukib.gov.cz/download/publikace/zpravy_o_stavu/Zprava_o_stavu_kyberneticke_bezpecnosti_CR_za_rok_2023.pdf" TargetMode="External"/><Relationship Id="rId400" Type="http://schemas.openxmlformats.org/officeDocument/2006/relationships/hyperlink" Target="https://numeum.fr/wp-content/uploads/2025/03/CP20Numeum_ConfC3A9rence20semestrielle20juin202024.pdf.pdf" TargetMode="External"/><Relationship Id="rId401" Type="http://schemas.openxmlformats.org/officeDocument/2006/relationships/hyperlink" Target="https://numeum.fr/wp-content/uploads/2025/03/CP20Numeum_ConfC3A9rence20semestrielle20S2-2024.pdf.pdf" TargetMode="External"/><Relationship Id="rId402" Type="http://schemas.openxmlformats.org/officeDocument/2006/relationships/hyperlink" Target="https://www.ot.gr/2025/06/23/epixeiriseis/kyvernoasfaleia-oi-xakers-kratoun-ksagrypnes-tis-ellinikes-etaireies-oi-amynes-pou-stinoun/" TargetMode="External"/><Relationship Id="rId403" Type="http://schemas.openxmlformats.org/officeDocument/2006/relationships/hyperlink" Target="https://otrenix.com/europa-cybersecurity-market/" TargetMode="External"/><Relationship Id="rId404" Type="http://schemas.openxmlformats.org/officeDocument/2006/relationships/hyperlink" Target="https://sitsi.pacanalyst.com/le-marche-europeen-de-la-cybersecurite-une-croissance-sans-limite/" TargetMode="External"/><Relationship Id="rId405" Type="http://schemas.openxmlformats.org/officeDocument/2006/relationships/hyperlink" Target="https://sitsi.pacanalyst.com/wp-content/uploads/2023/11/PAC_Segmentation.pdf" TargetMode="External"/><Relationship Id="rId406" Type="http://schemas.openxmlformats.org/officeDocument/2006/relationships/hyperlink" Target="https://www.channelnews.fr/le-marche-francais-de-la-cybersecurite-va-encore-progresser-de-10-en-2025-145191" TargetMode="External"/><Relationship Id="rId407" Type="http://schemas.openxmlformats.org/officeDocument/2006/relationships/hyperlink" Target="https://incyber.org/article/croissance-marche-francais-cybersecurite-reste-trop-fragmente/" TargetMode="External"/><Relationship Id="rId408" Type="http://schemas.openxmlformats.org/officeDocument/2006/relationships/hyperlink" Target="https://www.parlament.gv.at/dokument/budgetdienst/untergliederungsanalysen/BD-UG-10-Bundeskanzleramt-Budgets-2025-und-2026_BF.pdf" TargetMode="External"/><Relationship Id="rId409" Type="http://schemas.openxmlformats.org/officeDocument/2006/relationships/hyperlink" Target="https://www.parlament.gv.at/dokument/fachinfos/zukunftsthemen/Cybersecurity-Endbericht_2021-12-17.pdf" TargetMode="External"/><Relationship Id="rId410" Type="http://schemas.openxmlformats.org/officeDocument/2006/relationships/hyperlink" Target="https://www.parlament.gv.at/dokument/XXVII/ME/326/imfname_1621137.pdf" TargetMode="External"/><Relationship Id="rId411" Type="http://schemas.openxmlformats.org/officeDocument/2006/relationships/hyperlink" Target="https://www.parlament.gv.at/dokument/XXVIII/I/308/imfname_1723248.pdf" TargetMode="External"/><Relationship Id="rId412" Type="http://schemas.openxmlformats.org/officeDocument/2006/relationships/hyperlink" Target="https://www.parlament.gv.at/gegenstand/XXVIII/I/354" TargetMode="External"/><Relationship Id="rId413" Type="http://schemas.openxmlformats.org/officeDocument/2006/relationships/hyperlink" Target="https://www.pmrmarketexperts.com/wiadomosci/rynek-cyberbezpieczenstwa-wzrosnie-do-2-5-mld-zl-w-2024-roku/" TargetMode="External"/><Relationship Id="rId414" Type="http://schemas.openxmlformats.org/officeDocument/2006/relationships/hyperlink" Target="https://files.mypmr.pro/nohash/01cd65bb537dee29d39fafc98963773de40dcb07.Pdf" TargetMode="External"/><Relationship Id="rId415" Type="http://schemas.openxmlformats.org/officeDocument/2006/relationships/hyperlink" Target="https://pmrmarketexperts.com/wp-content/uploads/2025/11/rynek-cyberbezpieczenstwa-w-polsce-table_of_content.pdf" TargetMode="External"/><Relationship Id="rId416" Type="http://schemas.openxmlformats.org/officeDocument/2006/relationships/hyperlink" Target="https://pmrmarketexperts.com/raport/rynek-cyberbezpieczenstwa-w-polsce/" TargetMode="External"/><Relationship Id="rId417" Type="http://schemas.openxmlformats.org/officeDocument/2006/relationships/hyperlink" Target="https://www.adrcentru.ro/pnrr-componenta7-digital/" TargetMode="External"/><Relationship Id="rId418" Type="http://schemas.openxmlformats.org/officeDocument/2006/relationships/hyperlink" Target="https://www.osservatori.net/comunicato/cybersecurity-data-protection/gdpr-e-security-un-percorso-impervio-a-trazione-integrale/" TargetMode="External"/><Relationship Id="rId419" Type="http://schemas.openxmlformats.org/officeDocument/2006/relationships/hyperlink" Target="https://www.osservatori.net/comunicato/cybersecurity-data-protection/information-cyber-security-e-privacy-aumentano-gli-investimenti/" TargetMode="External"/><Relationship Id="rId420" Type="http://schemas.openxmlformats.org/officeDocument/2006/relationships/hyperlink" Target="https://cyberoo.com/news/sicurezza-informatica-in-italia-ricerca-osservatorio-information-security-privacy/" TargetMode="External"/><Relationship Id="rId421" Type="http://schemas.openxmlformats.org/officeDocument/2006/relationships/hyperlink" Target="https://www.ipresslive.it/it/ipress/comunicati/view/47361/" TargetMode="External"/><Relationship Id="rId422" Type="http://schemas.openxmlformats.org/officeDocument/2006/relationships/hyperlink" Target="https://officeautomation.soiel.it/cybersecurity-aumentano-le-minacce-ma-anche-gli-investimenti/" TargetMode="External"/><Relationship Id="rId423" Type="http://schemas.openxmlformats.org/officeDocument/2006/relationships/hyperlink" Target="https://finanza.lastampa.it/News/2023/02/23/cybersecurity-aumentano-gli-attacchi-informatici-danni-tangibili-per-1-impresa-su-7/OTdfMjAyMy0wMi0yM19UTEI" TargetMode="External"/><Relationship Id="rId424" Type="http://schemas.openxmlformats.org/officeDocument/2006/relationships/hyperlink" Target="https://www.osservatori.net/comunicato/cybersecurity-data-protection/cybersecurity-italia-mercato-crescita-2023/" TargetMode="External"/><Relationship Id="rId425" Type="http://schemas.openxmlformats.org/officeDocument/2006/relationships/hyperlink" Target="https://www.osservatori.net/grafico-interattivo/cybersecurity-data-protection/cybersecurity-mercato-italia/" TargetMode="External"/><Relationship Id="rId426" Type="http://schemas.openxmlformats.org/officeDocument/2006/relationships/hyperlink" Target="https://finanza.repubblica.it/News/2025/02/27/cresce_il_mercato_della_cybersecurity_2_48_miliardi_di_euro_+15percento-45/" TargetMode="External"/><Relationship Id="rId427" Type="http://schemas.openxmlformats.org/officeDocument/2006/relationships/hyperlink" Target="https://www.osservatori.net/report/cybersecurity-data-protection/scenario-cybersecurity-italia-2024/" TargetMode="External"/><Relationship Id="rId428" Type="http://schemas.openxmlformats.org/officeDocument/2006/relationships/hyperlink" Target="https://www.osservatori.net/comunicato/cybersecurity-data-protection/cybersecurity-italia-mercato-crescita/" TargetMode="External"/><Relationship Id="rId429" Type="http://schemas.openxmlformats.org/officeDocument/2006/relationships/hyperlink" Target="https://www.osservatori.net/grafico-interattivo/cybersecurity-data-protection/cybersecurity-mercato-italia/" TargetMode="External"/><Relationship Id="rId430" Type="http://schemas.openxmlformats.org/officeDocument/2006/relationships/hyperlink" Target="https://www.praxis.ee/uploads/2018/04/K&#252;berturbe-uuring_aruanne-23_04_2019.pdf" TargetMode="External"/><Relationship Id="rId431" Type="http://schemas.openxmlformats.org/officeDocument/2006/relationships/hyperlink" Target="https://www.pwc.pl/pl/pdf/cyber-ruletka-po-polsku-raport-pwc-gsiss-2018.pdf" TargetMode="External"/><Relationship Id="rId432" Type="http://schemas.openxmlformats.org/officeDocument/2006/relationships/hyperlink" Target="https://www.pwc.co.uk/press-room/press-releases/research-commentary/2024/law-firm-performance-surpasses-expectations-with-continued-growt.html" TargetMode="External"/><Relationship Id="rId433" Type="http://schemas.openxmlformats.org/officeDocument/2006/relationships/hyperlink" Target="https://www.pwc.co.uk/industries/law-firms/law-firms-survey-2025.pdf" TargetMode="External"/><Relationship Id="rId434" Type="http://schemas.openxmlformats.org/officeDocument/2006/relationships/hyperlink" Target="https://hub.radargrp.com/content/svensk-cybersakerhet-2025-behov-prioriteringar-och-forutsattningar-i-en-orolig-omvarld" TargetMode="External"/><Relationship Id="rId435" Type="http://schemas.openxmlformats.org/officeDocument/2006/relationships/hyperlink" Target="https://www.regeringen.se/pressmeddelanden/2024/09/historisk-satsning-pa-cybersakerhet/" TargetMode="External"/><Relationship Id="rId436" Type="http://schemas.openxmlformats.org/officeDocument/2006/relationships/hyperlink" Target="https://www.regeringen.se/pressmeddelanden/2025/09/nationell-satsning-pa-cybersakerhet/" TargetMode="External"/><Relationship Id="rId437" Type="http://schemas.openxmlformats.org/officeDocument/2006/relationships/hyperlink" Target="https://www.regeringen.se/contentassets/9e2c6501b5814c71b03ae759eb32d80f/finansplan--utdrag-ur-budgetpropositionen-for-2026.pdf" TargetMode="External"/><Relationship Id="rId438" Type="http://schemas.openxmlformats.org/officeDocument/2006/relationships/hyperlink" Target="https://www.regeringen.se/globalassets/regeringen/dokument/forsvarsdepartementet/presentationsbilder-fran-presstraff/2024/presstraff-23-september-2024/presentationsbilder-fran-presstraff-den-23-september-2024.pdf" TargetMode="External"/><Relationship Id="rId439" Type="http://schemas.openxmlformats.org/officeDocument/2006/relationships/hyperlink" Target="https://www.researchandmarkets.com/reports/6072107/ireland-application-security-market-opportunity" TargetMode="External"/><Relationship Id="rId440" Type="http://schemas.openxmlformats.org/officeDocument/2006/relationships/hyperlink" Target="https://www.researchandmarkets.com/reports/6248575/ireland-application-security-market-opportunity" TargetMode="External"/><Relationship Id="rId441" Type="http://schemas.openxmlformats.org/officeDocument/2006/relationships/hyperlink" Target="https://www.researchandmarkets.com/reports/6241221/europe-cybersecurity-market-size-share-and-trends" TargetMode="External"/><Relationship Id="rId442" Type="http://schemas.openxmlformats.org/officeDocument/2006/relationships/hyperlink" Target="https://www.researchandmarkets.com/reports/5978459/europe-cyber-security-market-outlook" TargetMode="External"/><Relationship Id="rId443" Type="http://schemas.openxmlformats.org/officeDocument/2006/relationships/hyperlink" Target="https://eli.gov.pl/api/acts/DU/2024/1662/text.html" TargetMode="External"/><Relationship Id="rId444" Type="http://schemas.openxmlformats.org/officeDocument/2006/relationships/hyperlink" Target="https://api.sejm.gov.pl/eli/acts/DU/2026/20/text.pdf" TargetMode="External"/><Relationship Id="rId445" Type="http://schemas.openxmlformats.org/officeDocument/2006/relationships/hyperlink" Target="https://eli.gov.pl/api/acts/DU/2026/252/text.pdf" TargetMode="External"/><Relationship Id="rId446" Type="http://schemas.openxmlformats.org/officeDocument/2006/relationships/hyperlink" Target="https://www.senat.fr/rap/r22-638/r22-6381.pdf" TargetMode="External"/><Relationship Id="rId447" Type="http://schemas.openxmlformats.org/officeDocument/2006/relationships/hyperlink" Target="https://publika.skema.edu/fr/cybersecurite-francaise-une-offre-qui-croit-plus-vite-que-son-absorption/" TargetMode="External"/><Relationship Id="rId448" Type="http://schemas.openxmlformats.org/officeDocument/2006/relationships/hyperlink" Target="https://jurnalul.ro/special-jurnalul/anchete/sri-salvatori-pnrr-achizitie-mamut-protectie-cibernetica-softuri-1026111.html" TargetMode="External"/><Relationship Id="rId449" Type="http://schemas.openxmlformats.org/officeDocument/2006/relationships/hyperlink" Target="https://startupestonia.ee/wp-content/uploads/2024/01/CyberTech-koondulevaade.pdf" TargetMode="External"/><Relationship Id="rId450" Type="http://schemas.openxmlformats.org/officeDocument/2006/relationships/hyperlink" Target="https://www.statista.com/forecasts/1498506/europe-cybersecurity-market-revenue" TargetMode="External"/><Relationship Id="rId451" Type="http://schemas.openxmlformats.org/officeDocument/2006/relationships/hyperlink" Target="https://www.statista.com/outlook/tmo/cybersecurity/worldwide" TargetMode="External"/><Relationship Id="rId452" Type="http://schemas.openxmlformats.org/officeDocument/2006/relationships/hyperlink" Target="https://www.statista.com/outlook/tmo/cybersecurity/europe" TargetMode="External"/><Relationship Id="rId453" Type="http://schemas.openxmlformats.org/officeDocument/2006/relationships/hyperlink" Target="https://www.statista.com/outlook/tmo/cybersecurity/worldwide" TargetMode="External"/><Relationship Id="rId454" Type="http://schemas.openxmlformats.org/officeDocument/2006/relationships/hyperlink" Target="https://de.statista.com/infografik/36097/geschaetzter-weltweiter-umsatz-mit-cyber-security/" TargetMode="External"/><Relationship Id="rId455" Type="http://schemas.openxmlformats.org/officeDocument/2006/relationships/hyperlink" Target="https://www.statista.com/outlook/tmo/cybersecurity/germany" TargetMode="External"/><Relationship Id="rId456" Type="http://schemas.openxmlformats.org/officeDocument/2006/relationships/hyperlink" Target="https://www.statista.com/statistics/1489436/poland-market-size-of-cybersecurity-market/" TargetMode="External"/><Relationship Id="rId457" Type="http://schemas.openxmlformats.org/officeDocument/2006/relationships/hyperlink" Target="https://www.tc.cz/files_public/files/strat-sec-studie-trhu_2.pdf" TargetMode="External"/><Relationship Id="rId458" Type="http://schemas.openxmlformats.org/officeDocument/2006/relationships/hyperlink" Target="https://www.technavio.com/report/europe-cyber-security-market-industry-analysis" TargetMode="External"/><Relationship Id="rId459" Type="http://schemas.openxmlformats.org/officeDocument/2006/relationships/hyperlink" Target="https://www.technavio.com/report/software-market-industry-analysis" TargetMode="External"/><Relationship Id="rId460" Type="http://schemas.openxmlformats.org/officeDocument/2006/relationships/hyperlink" Target="https://www.technavio.com/report/software-market-industry-analysis" TargetMode="External"/><Relationship Id="rId461" Type="http://schemas.openxmlformats.org/officeDocument/2006/relationships/hyperlink" Target="https://op.europa.eu/o/opportal-service/download-handler?identifier=fa9b11af-6d4a-11f1-ae88-01aa75ed71a1&amp;format=PDF&amp;language=en&amp;productionSystem=cellar" TargetMode="External"/><Relationship Id="rId462" Type="http://schemas.openxmlformats.org/officeDocument/2006/relationships/hyperlink" Target="https://teknologiateollisuus.fi/katsaus-kyberturvallisuuden-osaamistarpeisiin-uudet-teknologiat-laajentavat-osaamistarvetta/" TargetMode="External"/><Relationship Id="rId463" Type="http://schemas.openxmlformats.org/officeDocument/2006/relationships/hyperlink" Target="https://www.gruppotim.it/content/dam/gt/centro-studi-tim/report-cybersecurity/cybersecurity%20made%20in%20italy_20230620.pdf" TargetMode="External"/><Relationship Id="rId464" Type="http://schemas.openxmlformats.org/officeDocument/2006/relationships/hyperlink" Target="https://www.tweedekamer.nl/downloads/document?id=2022D46208" TargetMode="External"/><Relationship Id="rId465" Type="http://schemas.openxmlformats.org/officeDocument/2006/relationships/hyperlink" Target="https://www.tweedekamer.nl/downloads/document?id=2024D01957" TargetMode="External"/><Relationship Id="rId466" Type="http://schemas.openxmlformats.org/officeDocument/2006/relationships/hyperlink" Target="https://vuosiraportit.traficom.fi/fi/kyberturvallisuuden-vuosi-2025/kyberturvallisuuskeskuksen-toimintoja-2025" TargetMode="External"/><Relationship Id="rId467" Type="http://schemas.openxmlformats.org/officeDocument/2006/relationships/hyperlink" Target="https://www.kyberturvallisuuskeskus.fi/fi/toimintamme/kyberturvallisuuden-tutkimuksen-kehityksen-ja-innovaatioiden-kansallinen-koordinointikeskus/kansalliset-rahoitustuet" TargetMode="External"/><Relationship Id="rId468" Type="http://schemas.openxmlformats.org/officeDocument/2006/relationships/hyperlink" Target="https://www.gov.si/novice/2025-09-18-vlada-uvrstila-vec-projektov-kibernetske-varnosti-v-veljavni-nacrt-razvojnih-programov-20252028/" TargetMode="External"/><Relationship Id="rId469" Type="http://schemas.openxmlformats.org/officeDocument/2006/relationships/hyperlink" Target="https://www.verifiedmarketresearch.com/product/hungary-cybersecurity-market/" TargetMode="External"/><Relationship Id="rId470" Type="http://schemas.openxmlformats.org/officeDocument/2006/relationships/hyperlink" Target="https://www.verifiedmarketresearch.com/product/nordics-cybersecurity-market/" TargetMode="External"/><Relationship Id="rId471" Type="http://schemas.openxmlformats.org/officeDocument/2006/relationships/hyperlink" Target="https://www.verifiedmarketresearch.com/product/poland-cybersecurity-market/" TargetMode="External"/><Relationship Id="rId472" Type="http://schemas.openxmlformats.org/officeDocument/2006/relationships/hyperlink" Target="https://www.verifiedmarketresearch.com/product/austria-cybersecurity-market/" TargetMode="External"/><Relationship Id="rId473" Type="http://schemas.openxmlformats.org/officeDocument/2006/relationships/hyperlink" Target="https://www.verifiedmarketresearch.com/product/austria-ict-market/" TargetMode="External"/><Relationship Id="rId474" Type="http://schemas.openxmlformats.org/officeDocument/2006/relationships/hyperlink" Target="https://vlada.gov.hr/UserDocsImages/2016/Sjednice/2025/Prosinac/136_sjednica_VRH/136%20-%206.docx" TargetMode="External"/><Relationship Id="rId475" Type="http://schemas.openxmlformats.org/officeDocument/2006/relationships/hyperlink" Target="https://www.zdruzenjeobcin.si/wp-content/uploads/2025/04/VLADA-RS_PREDLOG-ZAKONA-O-INFORMACIJSKI-VARNOSTI_APRIL-2025.pdf" TargetMode="External"/><Relationship Id="rId476" Type="http://schemas.openxmlformats.org/officeDocument/2006/relationships/hyperlink" Target="https://budjetti.vm.fi/sisalto.jsp?year=2025&amp;lang=fi&amp;maindoc=/2025/tae/valtiovarainministerionKanta/valtiovarainministerionKanta.xml&amp;opennode=0:1:241:941:943:" TargetMode="External"/><Relationship Id="rId477" Type="http://schemas.openxmlformats.org/officeDocument/2006/relationships/hyperlink" Target="https://budjetti.vm.fi/indox/sisalto.jsp?year=2027&amp;lang=fi&amp;maindoc=/2027/tae/hallituksenEsitys/hallituksenEsitys.xml&amp;id=/2027/tae/hallituksenEsitys/YksityiskohtaisetPerustelut/31/01/02/02.html" TargetMode="External"/><Relationship Id="rId478" Type="http://schemas.openxmlformats.org/officeDocument/2006/relationships/hyperlink" Target="https://www.voice-ev.org/wp-content/uploads/2022/02/VOICE-Metrics-Trendstudie-IT-Agenda-2022-DE-v1-1.pdf" TargetMode="External"/><Relationship Id="rId479" Type="http://schemas.openxmlformats.org/officeDocument/2006/relationships/hyperlink" Target="https://www.metrics.biz/files/metrics/media/umfragen/Metrics_2022_IT-Agenda_EN.pdf" TargetMode="External"/><Relationship Id="rId480" Type="http://schemas.openxmlformats.org/officeDocument/2006/relationships/hyperlink" Target="https://www.vrt.be/vrtnws/fr/2025/05/30/le-gouvernement-federal-prevoit-55-millions-d-euros-pour-la-cybe/" TargetMode="External"/><Relationship Id="rId481" Type="http://schemas.openxmlformats.org/officeDocument/2006/relationships/hyperlink" Target="https://www.wifor.com/uploads/2019/08/it-sicherheitsmarkt-in-deutschland-studie-2019.pdf" TargetMode="External"/><Relationship Id="rId482" Type="http://schemas.openxmlformats.org/officeDocument/2006/relationships/hyperlink" Target="https://www.publikationen-bundesregierung.de/pp-de/publikationssuche/der-it-sicherheitsmarkt-in-deutschland-1654956" TargetMode="External"/><Relationship Id="rId483" Type="http://schemas.openxmlformats.org/officeDocument/2006/relationships/hyperlink" Target="https://www.withsecure.com/wp-content/uploads/2026/06/MSP_Buyers_Guide_2026.pdf" TargetMode="External"/><Relationship Id="rId484" Type="http://schemas.openxmlformats.org/officeDocument/2006/relationships/hyperlink" Target="https://www.xerfi.com/presentationetude/le-marche-de-la-cybersecurite_sae24" TargetMode="External"/><Relationship Id="rId485" Type="http://schemas.openxmlformats.org/officeDocument/2006/relationships/hyperlink" Target="https://www.zsis.hr/default.aspx?id=470" TargetMode="External"/><Relationship Id="rId486" Type="http://schemas.openxmlformats.org/officeDocument/2006/relationships/hyperlink" Target="https://www.zsis.hr/default.aspx?id=663" TargetMode="External"/><Relationship Id="rId487"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ww.bundesbank.de/resource/blob/810492/a2153174ba561731ab6e03a033024545/472B63F073F071307366337C94F8C870/wk1e1213-data.pdf" TargetMode="External"/><Relationship Id="rId2" Type="http://schemas.openxmlformats.org/officeDocument/2006/relationships/hyperlink" Target="https://www.bundesbank.de/resource/blob/885410/cedfb45cae43b25bd1e9ac07901c960c/mL/2022-02-15-12-43-18-wechselkursstatistik-data.pdf" TargetMode="External"/><Relationship Id="rId3" Type="http://schemas.openxmlformats.org/officeDocument/2006/relationships/hyperlink" Target="https://www.bundesbank.de/resource/blob/924916/bde72e0f521cb3ad79e4172dcf37bda2/mL/2024-02-15-13-49-26-wechselkursstatistik-data.pdf" TargetMode="External"/><Relationship Id="rId4" Type="http://schemas.openxmlformats.org/officeDocument/2006/relationships/hyperlink" Target="https://www.oenb.at/isawebstat/stabfrage/createReport?lang=EN&amp;report=2.14" TargetMode="External"/><Relationship Id="rId5" Type="http://schemas.openxmlformats.org/officeDocument/2006/relationships/hyperlink" Target="https://www.oenb.at/isawebstat/stabfrage/createReport?lang=EN&amp;report=2.14" TargetMode="External"/><Relationship Id="rId6" Type="http://schemas.openxmlformats.org/officeDocument/2006/relationships/hyperlink" Target="https://www.oenb.at/isawebstat/stabfrage/createReport?lang=EN&amp;report=2.14" TargetMode="External"/><Relationship Id="rId7" Type="http://schemas.openxmlformats.org/officeDocument/2006/relationships/hyperlink" Target="https://www.oenb.at/isawebstat/stabfrage/createReport?lang=EN&amp;report=2.14" TargetMode="External"/><Relationship Id="rId8" Type="http://schemas.openxmlformats.org/officeDocument/2006/relationships/hyperlink" Target="https://www.bundesbank.de/resource/blob/810492/a2153174ba561731ab6e03a033024545/472B63F073F071307366337C94F8C870/wk1e1213-data.pdf" TargetMode="External"/><Relationship Id="rId9" Type="http://schemas.openxmlformats.org/officeDocument/2006/relationships/hyperlink" Target="https://www.bundesbank.de/resource/blob/924916/bde72e0f521cb3ad79e4172dcf37bda2/mL/2024-02-15-13-49-26-wechselkursstatistik-data.pdf" TargetMode="External"/><Relationship Id="rId10" Type="http://schemas.openxmlformats.org/officeDocument/2006/relationships/hyperlink" Target="https://www.oenb.at/isawebstat/stabfrage/createReport?lang=EN&amp;report=2.14" TargetMode="External"/><Relationship Id="rId11" Type="http://schemas.openxmlformats.org/officeDocument/2006/relationships/hyperlink" Target="https://www.oenb.at/isawebstat/stabfrage/createReport?lang=EN&amp;report=2.14" TargetMode="External"/><Relationship Id="rId12" Type="http://schemas.openxmlformats.org/officeDocument/2006/relationships/hyperlink" Target="https://www.bundesbank.de/resource/blob/737356/9f1e7821ed984c99057fbadce69ef511/mL/2018-05-devisenkursstatistik-data.pdf" TargetMode="External"/><Relationship Id="rId13" Type="http://schemas.openxmlformats.org/officeDocument/2006/relationships/hyperlink" Target="https://www.bundesbank.de/resource/blob/737356/9f1e7821ed984c99057fbadce69ef511/mL/2018-05-devisenkursstatistik-data.pdf" TargetMode="External"/><Relationship Id="rId14" Type="http://schemas.openxmlformats.org/officeDocument/2006/relationships/hyperlink" Target="https://www.bundesbank.de/resource/blob/709996/f36683564eccaa4c37976bbf02b4ffcf/mL/2018-01-devisenkursstatistik-data.pdf" TargetMode="External"/><Relationship Id="rId15" Type="http://schemas.openxmlformats.org/officeDocument/2006/relationships/hyperlink" Target="https://www.bundesbank.de/resource/blob/798980/188a2792b8578e3c7cff718eb35b4538/472B63F073F071307366337C94F8C870/2019-06-devisenkursstatistik-data.pdf" TargetMode="External"/><Relationship Id="rId16" Type="http://schemas.openxmlformats.org/officeDocument/2006/relationships/hyperlink" Target="https://www.bundesbank.de/resource/blob/828028/ebd9cdae8eb8e067e0965839011e311e/472B63F073F071307366337C94F8C870/2020-03-devisenkursstatistik-data.pdf" TargetMode="External"/><Relationship Id="rId17" Type="http://schemas.openxmlformats.org/officeDocument/2006/relationships/hyperlink" Target="https://www.bundesbank.de/resource/blob/810486/543ccafee008efc3df2f94f8e74c23eb/472B63F073F071307366337C94F8C870/ii-euro-referenzkurse-der-ezb-data.pdf" TargetMode="External"/><Relationship Id="rId18" Type="http://schemas.openxmlformats.org/officeDocument/2006/relationships/hyperlink" Target="https://www.bundesbank.de/resource/blob/810486/543ccafee008efc3df2f94f8e74c23eb/472B63F073F071307366337C94F8C870/ii-euro-referenzkurse-der-ezb-data.pdf" TargetMode="External"/><Relationship Id="rId19" Type="http://schemas.openxmlformats.org/officeDocument/2006/relationships/hyperlink" Target="https://www.bundesbank.de/resource/blob/913034/fabcc44214074f5a93c0a78eb9c10a96/mL/2023-07-17-10-49-26-wechselkursstatistik-data.pdf" TargetMode="External"/><Relationship Id="rId20" Type="http://schemas.openxmlformats.org/officeDocument/2006/relationships/hyperlink" Target="https://www.oenb.at/isawebstat/stabfrage/createReport;jsessionid=2C4AA6EA30652E6225478B954A4276D3?lang=EN&amp;report=2.14" TargetMode="External"/><Relationship Id="rId21" Type="http://schemas.openxmlformats.org/officeDocument/2006/relationships/hyperlink" Target="https://www.oenb.at/isawebstat/stabfrage/createReport?lang=EN&amp;report=2.14" TargetMode="External"/><Relationship Id="rId22" Type="http://schemas.openxmlformats.org/officeDocument/2006/relationships/hyperlink" Target="https://www.oenb.at/isawebstat/stabfrage/createReport?lang=EN&amp;report=2.14" TargetMode="External"/><Relationship Id="rId23" Type="http://schemas.openxmlformats.org/officeDocument/2006/relationships/hyperlink" Target="https://www.bundesbank.de/resource/blob/810492/a2153174ba561731ab6e03a033024545/472B63F073F071307366337C94F8C870/wk1e1213-data.pdf" TargetMode="External"/><Relationship Id="rId24" Type="http://schemas.openxmlformats.org/officeDocument/2006/relationships/hyperlink" Target="https://www.bundesbank.de/resource/blob/810492/a2153174ba561731ab6e03a033024545/472B63F073F071307366337C94F8C870/wk1e1213-data.pdf" TargetMode="External"/><Relationship Id="rId25" Type="http://schemas.openxmlformats.org/officeDocument/2006/relationships/hyperlink" Target="https://www.bundesbank.de/resource/blob/885410/cedfb45cae43b25bd1e9ac07901c960c/mL/2022-02-15-12-43-18-wechselkursstatistik-data.pdf" TargetMode="External"/><Relationship Id="rId26" Type="http://schemas.openxmlformats.org/officeDocument/2006/relationships/hyperlink" Target="https://www.bundesbank.de/resource/blob/885410/cedfb45cae43b25bd1e9ac07901c960c/mL/2022-02-15-12-43-18-wechselkursstatistik-data.pdf" TargetMode="External"/><Relationship Id="rId27" Type="http://schemas.openxmlformats.org/officeDocument/2006/relationships/hyperlink" Target="https://www.bundesbank.de/resource/blob/924916/bde72e0f521cb3ad79e4172dcf37bda2/mL/2024-02-15-13-49-26-wechselkursstatistik-data.pdf" TargetMode="External"/><Relationship Id="rId28" Type="http://schemas.openxmlformats.org/officeDocument/2006/relationships/hyperlink" Target="https://www.bundesbank.de/resource/blob/924916/bde72e0f521cb3ad79e4172dcf37bda2/mL/2024-02-15-13-49-26-wechselkursstatistik-data.pdf" TargetMode="External"/><Relationship Id="rId29" Type="http://schemas.openxmlformats.org/officeDocument/2006/relationships/hyperlink" Target="https://www.oenb.at/isawebstat/stabfrage/createReport?lang=EN&amp;report=2.14" TargetMode="External"/><Relationship Id="rId30" Type="http://schemas.openxmlformats.org/officeDocument/2006/relationships/hyperlink" Target="https://www.oenb.at/isawebstat/stabfrage/createReport?lang=EN&amp;report=2.14" TargetMode="External"/><Relationship Id="rId31" Type="http://schemas.openxmlformats.org/officeDocument/2006/relationships/hyperlink" Target="https://www.bundesbank.de/resource/blob/924916/bde72e0f521cb3ad79e4172dcf37bda2/mL/2024-02-15-13-49-26-wechselkursstatistik-data.pdf" TargetMode="External"/><Relationship Id="rId32" Type="http://schemas.openxmlformats.org/officeDocument/2006/relationships/hyperlink" Target="https://www.oenb.at/isawebstat/stabfrage/createReport?lang=EN&amp;report=2.14" TargetMode="External"/><Relationship Id="rId33" Type="http://schemas.openxmlformats.org/officeDocument/2006/relationships/hyperlink" Target="https://www.bundesbank.de/resource/blob/924916/bde72e0f521cb3ad79e4172dcf37bda2/mL/2024-02-15-13-49-26-wechselkursstatistik-data.pdf" TargetMode="External"/><Relationship Id="rId34" Type="http://schemas.openxmlformats.org/officeDocument/2006/relationships/hyperlink" Target="https://www.bundesbank.de/resource/blob/924916/bde72e0f521cb3ad79e4172dcf37bda2/mL/2024-02-15-13-49-26-wechselkursstatistik-data.pdf" TargetMode="External"/><Relationship Id="rId35" Type="http://schemas.openxmlformats.org/officeDocument/2006/relationships/hyperlink" Target="https://www.oenb.at/isawebstat/stabfrage/createReport?lang=EN&amp;report=2.14" TargetMode="External"/><Relationship Id="rId36" Type="http://schemas.openxmlformats.org/officeDocument/2006/relationships/hyperlink" Target="https://www.oenb.at/isawebstat/stabfrage/createReport?lang=EN&amp;report=2.14" TargetMode="External"/><Relationship Id="rId37" Type="http://schemas.openxmlformats.org/officeDocument/2006/relationships/hyperlink" Target="https://api.statistiken.bundesbank.de/rest/download/BBEX3/A.USD.EUR.BB.AC.A04?format=csv&amp;lang=en" TargetMode="External"/><Relationship Id="rId38" Type="http://schemas.openxmlformats.org/officeDocument/2006/relationships/hyperlink" Target="https://api.statistiken.bundesbank.de/rest/download/BBEX3/A.USD.EUR.BB.AC.A04?format=csv&amp;lang=en" TargetMode="External"/><Relationship Id="rId39" Type="http://schemas.openxmlformats.org/officeDocument/2006/relationships/hyperlink" Target="https://api.statistiken.bundesbank.de/rest/download/BBEX3/A.USD.EUR.BB.AC.A04?format=csv&amp;lang=en" TargetMode="External"/><Relationship Id="rId40" Type="http://schemas.openxmlformats.org/officeDocument/2006/relationships/hyperlink" Target="https://api.statistiken.bundesbank.de/rest/download/BBEX3/A.USD.EUR.BB.AC.A04?format=csv&amp;lang=en" TargetMode="External"/><Relationship Id="rId41" Type="http://schemas.openxmlformats.org/officeDocument/2006/relationships/hyperlink" Target="https://api.statistiken.bundesbank.de/rest/download/BBEX3/A.USD.EUR.BB.AC.A04?format=csv&amp;lang=en" TargetMode="External"/><Relationship Id="rId42" Type="http://schemas.openxmlformats.org/officeDocument/2006/relationships/hyperlink" Target="https://api.statistiken.bundesbank.de/rest/download/BBEX3/A.USD.EUR.BB.AC.A04?format=csv&amp;lang=en" TargetMode="External"/><Relationship Id="rId43" Type="http://schemas.openxmlformats.org/officeDocument/2006/relationships/hyperlink" Target="https://api.statistiken.bundesbank.de/rest/download/BBEX3/A.USD.EUR.BB.AC.A04?format=csv&amp;lang=en" TargetMode="External"/><Relationship Id="rId44" Type="http://schemas.openxmlformats.org/officeDocument/2006/relationships/hyperlink" Target="https://statistiken.bundesbank.de/statistiken-de/zeitreihen/BBEX3/A.USD.EUR.BB.AC.A04" TargetMode="External"/><Relationship Id="rId45" Type="http://schemas.openxmlformats.org/officeDocument/2006/relationships/hyperlink" Target="https://statistiken.bundesbank.de/statistiken-de/zeitreihen/BBEX3/A.USD.EUR.BB.AC.A04" TargetMode="External"/><Relationship Id="rId46" Type="http://schemas.openxmlformats.org/officeDocument/2006/relationships/hyperlink" Target="https://statistiken.bundesbank.de/statistiken-de/zeitreihen/BBEX3/A.USD.EUR.BB.AC.A0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7.35" hidden="false" customHeight="false" outlineLevel="0" collapsed="false">
      <c r="A1" s="1" t="s">
        <v>0</v>
      </c>
    </row>
    <row r="3" customFormat="false" ht="35.05" hidden="false" customHeight="false" outlineLevel="0" collapsed="false">
      <c r="A3" s="2" t="s">
        <v>1</v>
      </c>
      <c r="B3" s="3" t="s">
        <v>2</v>
      </c>
    </row>
    <row r="4" customFormat="false" ht="15" hidden="false" customHeight="false" outlineLevel="0" collapsed="false">
      <c r="A4" s="2" t="s">
        <v>3</v>
      </c>
      <c r="B4" s="3" t="s">
        <v>4</v>
      </c>
    </row>
    <row r="5" customFormat="false" ht="23.85" hidden="false" customHeight="false" outlineLevel="0" collapsed="false">
      <c r="A5" s="2" t="s">
        <v>5</v>
      </c>
      <c r="B5" s="3" t="s">
        <v>6</v>
      </c>
    </row>
    <row r="6" customFormat="false" ht="35.05" hidden="false" customHeight="false" outlineLevel="0" collapsed="false">
      <c r="A6" s="2" t="s">
        <v>7</v>
      </c>
      <c r="B6" s="3" t="s">
        <v>8</v>
      </c>
    </row>
    <row r="7" customFormat="false" ht="23.85" hidden="false" customHeight="false" outlineLevel="0" collapsed="false">
      <c r="A7" s="2" t="s">
        <v>9</v>
      </c>
      <c r="B7" s="3" t="s">
        <v>10</v>
      </c>
    </row>
    <row r="8" customFormat="false" ht="23.85" hidden="false" customHeight="false" outlineLevel="0" collapsed="false">
      <c r="A8" s="2" t="s">
        <v>11</v>
      </c>
      <c r="B8" s="3" t="s">
        <v>12</v>
      </c>
    </row>
    <row r="9" customFormat="false" ht="15" hidden="false" customHeight="false" outlineLevel="0" collapsed="false">
      <c r="A9" s="2"/>
      <c r="B9" s="3"/>
    </row>
    <row r="10" customFormat="false" ht="15" hidden="false" customHeight="false" outlineLevel="0" collapsed="false">
      <c r="A10" s="4" t="s">
        <v>13</v>
      </c>
      <c r="B10" s="3"/>
    </row>
    <row r="11" customFormat="false" ht="35.05" hidden="false" customHeight="false" outlineLevel="0" collapsed="false">
      <c r="A11" s="2" t="s">
        <v>14</v>
      </c>
      <c r="B11" s="3" t="s">
        <v>15</v>
      </c>
    </row>
    <row r="12" customFormat="false" ht="15" hidden="false" customHeight="false" outlineLevel="0" collapsed="false">
      <c r="A12" s="2" t="s">
        <v>16</v>
      </c>
      <c r="B12" s="3" t="s">
        <v>17</v>
      </c>
    </row>
    <row r="13" customFormat="false" ht="15" hidden="false" customHeight="false" outlineLevel="0" collapsed="false">
      <c r="A13" s="2" t="s">
        <v>18</v>
      </c>
      <c r="B13" s="3" t="s">
        <v>19</v>
      </c>
    </row>
    <row r="14" customFormat="false" ht="23.85" hidden="false" customHeight="false" outlineLevel="0" collapsed="false">
      <c r="A14" s="2" t="s">
        <v>20</v>
      </c>
      <c r="B14" s="3" t="s">
        <v>21</v>
      </c>
    </row>
    <row r="15" customFormat="false" ht="23.85" hidden="false" customHeight="false" outlineLevel="0" collapsed="false">
      <c r="A15" s="2" t="s">
        <v>22</v>
      </c>
      <c r="B15" s="3" t="s">
        <v>23</v>
      </c>
    </row>
    <row r="16" customFormat="false" ht="23.85" hidden="false" customHeight="false" outlineLevel="0" collapsed="false">
      <c r="A16" s="2" t="s">
        <v>24</v>
      </c>
      <c r="B16" s="3" t="s">
        <v>25</v>
      </c>
    </row>
    <row r="17" customFormat="false" ht="15" hidden="false" customHeight="false" outlineLevel="0" collapsed="false">
      <c r="A17" s="2" t="s">
        <v>26</v>
      </c>
      <c r="B17" s="3" t="s">
        <v>27</v>
      </c>
    </row>
    <row r="18" customFormat="false" ht="15" hidden="false" customHeight="false" outlineLevel="0" collapsed="false">
      <c r="A18" s="2"/>
      <c r="B18" s="3"/>
    </row>
    <row r="19" customFormat="false" ht="15" hidden="false" customHeight="false" outlineLevel="0" collapsed="false">
      <c r="A19" s="4" t="s">
        <v>28</v>
      </c>
      <c r="B19" s="3"/>
    </row>
    <row r="20" customFormat="false" ht="15" hidden="false" customHeight="false" outlineLevel="0" collapsed="false">
      <c r="A20" s="2" t="s">
        <v>29</v>
      </c>
      <c r="B20" s="5" t="s">
        <v>30</v>
      </c>
    </row>
    <row r="21" customFormat="false" ht="15" hidden="false" customHeight="false" outlineLevel="0" collapsed="false">
      <c r="A21" s="2" t="s">
        <v>31</v>
      </c>
      <c r="B21" s="6" t="s">
        <v>32</v>
      </c>
    </row>
    <row r="22" customFormat="false" ht="15" hidden="false" customHeight="false" outlineLevel="0" collapsed="false">
      <c r="A22" s="2" t="s">
        <v>33</v>
      </c>
      <c r="B22" s="7" t="s">
        <v>34</v>
      </c>
    </row>
    <row r="23" customFormat="false" ht="15" hidden="false" customHeight="false" outlineLevel="0" collapsed="false">
      <c r="A23" s="2" t="s">
        <v>35</v>
      </c>
      <c r="B23" s="8" t="s">
        <v>36</v>
      </c>
    </row>
    <row r="24" customFormat="false" ht="15" hidden="false" customHeight="false" outlineLevel="0" collapsed="false">
      <c r="A24" s="2" t="s">
        <v>37</v>
      </c>
      <c r="B24" s="9" t="s">
        <v>38</v>
      </c>
    </row>
    <row r="25" customFormat="false" ht="15" hidden="false" customHeight="false" outlineLevel="0" collapsed="false">
      <c r="A25" s="2"/>
      <c r="B25" s="3"/>
    </row>
    <row r="26" customFormat="false" ht="15" hidden="false" customHeight="false" outlineLevel="0" collapsed="false">
      <c r="A26" s="4" t="s">
        <v>39</v>
      </c>
      <c r="B26" s="3"/>
    </row>
    <row r="27" customFormat="false" ht="35.05" hidden="false" customHeight="false" outlineLevel="0" collapsed="false">
      <c r="A27" s="2" t="s">
        <v>40</v>
      </c>
      <c r="B27" s="3" t="s">
        <v>41</v>
      </c>
    </row>
    <row r="28" customFormat="false" ht="15" hidden="false" customHeight="false" outlineLevel="0" collapsed="false">
      <c r="A28" s="2" t="s">
        <v>42</v>
      </c>
      <c r="B28" s="3" t="s">
        <v>43</v>
      </c>
    </row>
    <row r="29" customFormat="false" ht="23.85" hidden="false" customHeight="false" outlineLevel="0" collapsed="false">
      <c r="A29" s="2" t="s">
        <v>44</v>
      </c>
      <c r="B29" s="3" t="s">
        <v>45</v>
      </c>
    </row>
    <row r="30" customFormat="false" ht="23.85" hidden="false" customHeight="false" outlineLevel="0" collapsed="false">
      <c r="A30" s="2" t="s">
        <v>46</v>
      </c>
      <c r="B30" s="3" t="s">
        <v>47</v>
      </c>
    </row>
    <row r="31" customFormat="false" ht="35.05" hidden="false" customHeight="false" outlineLevel="0" collapsed="false">
      <c r="A31" s="2" t="s">
        <v>48</v>
      </c>
      <c r="B31" s="3" t="s">
        <v>49</v>
      </c>
    </row>
    <row r="32" customFormat="false" ht="35.05" hidden="false" customHeight="false" outlineLevel="0" collapsed="false">
      <c r="A32" s="2" t="s">
        <v>50</v>
      </c>
      <c r="B32" s="3" t="s">
        <v>51</v>
      </c>
    </row>
    <row r="33" customFormat="false" ht="23.85" hidden="false" customHeight="false" outlineLevel="0" collapsed="false">
      <c r="A33" s="2" t="s">
        <v>52</v>
      </c>
      <c r="B33" s="3" t="s">
        <v>53</v>
      </c>
    </row>
    <row r="34" customFormat="false" ht="23.85" hidden="false" customHeight="false" outlineLevel="0" collapsed="false">
      <c r="A34" s="2" t="s">
        <v>54</v>
      </c>
      <c r="B34" s="3" t="s">
        <v>55</v>
      </c>
    </row>
    <row r="35" customFormat="false" ht="23.85" hidden="false" customHeight="false" outlineLevel="0" collapsed="false">
      <c r="A35" s="2" t="s">
        <v>56</v>
      </c>
      <c r="B35" s="3" t="s">
        <v>57</v>
      </c>
    </row>
    <row r="36" customFormat="false" ht="23.85" hidden="false" customHeight="false" outlineLevel="0" collapsed="false">
      <c r="A36" s="2" t="s">
        <v>58</v>
      </c>
      <c r="B36" s="3" t="s">
        <v>59</v>
      </c>
    </row>
    <row r="37" customFormat="false" ht="35.05" hidden="false" customHeight="false" outlineLevel="0" collapsed="false">
      <c r="A37" s="2" t="s">
        <v>60</v>
      </c>
      <c r="B37" s="3"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9"/>
    <col collapsed="false" customWidth="true" hidden="false" outlineLevel="0" max="4" min="4" style="0" width="18"/>
    <col collapsed="false" customWidth="true" hidden="false" outlineLevel="0" max="5" min="5" style="0" width="14"/>
    <col collapsed="false" customWidth="true" hidden="false" outlineLevel="0" max="6" min="6" style="0" width="24"/>
    <col collapsed="false" customWidth="true" hidden="false" outlineLevel="0" max="7" min="7" style="0" width="20"/>
    <col collapsed="false" customWidth="true" hidden="false" outlineLevel="0" max="8" min="8" style="0" width="40"/>
    <col collapsed="false" customWidth="true" hidden="false" outlineLevel="0" max="9" min="9" style="0" width="12"/>
    <col collapsed="false" customWidth="true" hidden="false" outlineLevel="0" max="10" min="10" style="0" width="40"/>
    <col collapsed="false" customWidth="true" hidden="false" outlineLevel="0" max="11" min="11" style="0" width="30"/>
    <col collapsed="false" customWidth="true" hidden="false" outlineLevel="0" max="12" min="12" style="0" width="34"/>
    <col collapsed="false" customWidth="true" hidden="false" outlineLevel="0" max="13" min="13" style="0" width="44"/>
    <col collapsed="false" customWidth="true" hidden="false" outlineLevel="0" max="14" min="14" style="0" width="24"/>
    <col collapsed="false" customWidth="true" hidden="false" outlineLevel="0" max="15" min="15" style="0" width="20"/>
    <col collapsed="false" customWidth="true" hidden="false" outlineLevel="0" max="16" min="16" style="0" width="16"/>
    <col collapsed="false" customWidth="true" hidden="false" outlineLevel="0" max="17" min="17" style="0" width="20"/>
    <col collapsed="false" customWidth="true" hidden="false" outlineLevel="0" max="18" min="18" style="0" width="12"/>
    <col collapsed="false" customWidth="true" hidden="false" outlineLevel="0" max="19" min="19" style="0" width="10"/>
    <col collapsed="false" customWidth="true" hidden="false" outlineLevel="0" max="20" min="20" style="0" width="9"/>
    <col collapsed="false" customWidth="true" hidden="false" outlineLevel="0" max="21" min="21" style="0" width="10"/>
    <col collapsed="false" customWidth="true" hidden="false" outlineLevel="0" max="22" min="22" style="0" width="16"/>
    <col collapsed="false" customWidth="true" hidden="false" outlineLevel="0" max="23" min="23" style="0" width="22"/>
    <col collapsed="false" customWidth="true" hidden="false" outlineLevel="0" max="24" min="24" style="0" width="14"/>
    <col collapsed="false" customWidth="true" hidden="false" outlineLevel="0" max="25" min="25" style="0" width="16"/>
    <col collapsed="false" customWidth="true" hidden="false" outlineLevel="0" max="26" min="26" style="0" width="12"/>
    <col collapsed="false" customWidth="true" hidden="false" outlineLevel="0" max="27" min="27" style="0" width="26"/>
    <col collapsed="false" customWidth="true" hidden="false" outlineLevel="0" max="28" min="28" style="0" width="18"/>
    <col collapsed="false" customWidth="true" hidden="false" outlineLevel="0" max="29" min="29" style="0" width="34"/>
    <col collapsed="false" customWidth="true" hidden="false" outlineLevel="0" max="30" min="30" style="0" width="22"/>
    <col collapsed="false" customWidth="true" hidden="false" outlineLevel="0" max="31" min="31" style="0" width="50"/>
    <col collapsed="false" customWidth="true" hidden="false" outlineLevel="0" max="32" min="32" style="0" width="44"/>
    <col collapsed="false" customWidth="true" hidden="false" outlineLevel="0" max="33" min="33" style="0" width="8"/>
    <col collapsed="false" customWidth="true" hidden="false" outlineLevel="0" max="34" min="34" style="0" width="22"/>
    <col collapsed="false" customWidth="true" hidden="false" outlineLevel="0" max="35" min="35" style="0" width="10"/>
    <col collapsed="false" customWidth="true" hidden="false" outlineLevel="0" max="36" min="36" style="0" width="50"/>
    <col collapsed="false" customWidth="true" hidden="false" outlineLevel="0" max="37" min="37" style="0" width="12"/>
  </cols>
  <sheetData>
    <row r="1" customFormat="false" ht="31.5" hidden="false" customHeight="true" outlineLevel="0" collapsed="false">
      <c r="A1" s="10" t="s">
        <v>62</v>
      </c>
      <c r="B1" s="10" t="s">
        <v>9</v>
      </c>
      <c r="C1" s="10" t="s">
        <v>63</v>
      </c>
      <c r="D1" s="10" t="s">
        <v>64</v>
      </c>
      <c r="E1" s="10" t="s">
        <v>65</v>
      </c>
      <c r="F1" s="10" t="s">
        <v>66</v>
      </c>
      <c r="G1" s="10" t="s">
        <v>67</v>
      </c>
      <c r="H1" s="10" t="s">
        <v>68</v>
      </c>
      <c r="I1" s="10" t="s">
        <v>69</v>
      </c>
      <c r="J1" s="10" t="s">
        <v>70</v>
      </c>
      <c r="K1" s="10" t="s">
        <v>71</v>
      </c>
      <c r="L1" s="10" t="s">
        <v>72</v>
      </c>
      <c r="M1" s="10" t="s">
        <v>73</v>
      </c>
      <c r="N1" s="10" t="s">
        <v>20</v>
      </c>
      <c r="O1" s="10" t="s">
        <v>22</v>
      </c>
      <c r="P1" s="10" t="s">
        <v>74</v>
      </c>
      <c r="Q1" s="10" t="s">
        <v>75</v>
      </c>
      <c r="R1" s="10" t="s">
        <v>76</v>
      </c>
      <c r="S1" s="10" t="s">
        <v>77</v>
      </c>
      <c r="T1" s="10" t="s">
        <v>78</v>
      </c>
      <c r="U1" s="10" t="s">
        <v>79</v>
      </c>
      <c r="V1" s="10" t="s">
        <v>26</v>
      </c>
      <c r="W1" s="10" t="s">
        <v>80</v>
      </c>
      <c r="X1" s="10" t="s">
        <v>11</v>
      </c>
      <c r="Y1" s="10" t="s">
        <v>81</v>
      </c>
      <c r="Z1" s="10" t="s">
        <v>82</v>
      </c>
      <c r="AA1" s="10" t="s">
        <v>83</v>
      </c>
      <c r="AB1" s="10" t="s">
        <v>14</v>
      </c>
      <c r="AC1" s="10" t="s">
        <v>16</v>
      </c>
      <c r="AD1" s="10" t="s">
        <v>18</v>
      </c>
      <c r="AE1" s="10" t="s">
        <v>84</v>
      </c>
      <c r="AF1" s="10" t="s">
        <v>85</v>
      </c>
      <c r="AG1" s="10" t="s">
        <v>24</v>
      </c>
      <c r="AH1" s="10" t="s">
        <v>86</v>
      </c>
      <c r="AI1" s="10" t="s">
        <v>87</v>
      </c>
      <c r="AJ1" s="10" t="s">
        <v>88</v>
      </c>
      <c r="AK1" s="10" t="s">
        <v>89</v>
      </c>
    </row>
    <row r="2" customFormat="false" ht="15" hidden="false" customHeight="false" outlineLevel="0" collapsed="false">
      <c r="A2" s="11" t="n">
        <v>1</v>
      </c>
      <c r="B2" s="12" t="s">
        <v>90</v>
      </c>
      <c r="C2" s="12" t="s">
        <v>91</v>
      </c>
      <c r="D2" s="12" t="s">
        <v>92</v>
      </c>
      <c r="E2" s="12" t="s">
        <v>93</v>
      </c>
      <c r="F2" s="12" t="s">
        <v>94</v>
      </c>
      <c r="G2" s="12" t="s">
        <v>95</v>
      </c>
      <c r="H2" s="12" t="s">
        <v>96</v>
      </c>
      <c r="I2" s="12" t="s">
        <v>97</v>
      </c>
      <c r="J2" s="13" t="s">
        <v>98</v>
      </c>
      <c r="K2" s="12"/>
      <c r="L2" s="12" t="s">
        <v>99</v>
      </c>
      <c r="M2" s="12" t="s">
        <v>100</v>
      </c>
      <c r="N2" s="12" t="s">
        <v>101</v>
      </c>
      <c r="O2" s="12" t="s">
        <v>102</v>
      </c>
      <c r="P2" s="12" t="s">
        <v>103</v>
      </c>
      <c r="Q2" s="12" t="s">
        <v>104</v>
      </c>
      <c r="R2" s="14" t="n">
        <v>49</v>
      </c>
      <c r="S2" s="14" t="s">
        <v>105</v>
      </c>
      <c r="T2" s="14" t="s">
        <v>106</v>
      </c>
      <c r="U2" s="14" t="n">
        <v>2028</v>
      </c>
      <c r="V2" s="12" t="s">
        <v>107</v>
      </c>
      <c r="W2" s="14"/>
      <c r="X2" s="15" t="n">
        <f aca="false">IF(OR($S2="%",$R2=""),"",$R2*INDEX(Cambi!$J$2:$J$5,MATCH($S2,Cambi!$I$2:$I$5,0))/IF($T2="EUR",1,INDEX(Cambi!$D:$D,MATCH($T2&amp;"|"&amp;$U2,Cambi!$C:$C,0))))</f>
        <v>49</v>
      </c>
      <c r="Y2" s="12" t="s">
        <v>108</v>
      </c>
      <c r="Z2" s="12" t="s">
        <v>109</v>
      </c>
      <c r="AA2" s="12" t="s">
        <v>109</v>
      </c>
      <c r="AB2" s="16" t="s">
        <v>110</v>
      </c>
      <c r="AC2" s="16" t="s">
        <v>111</v>
      </c>
      <c r="AD2" s="12" t="s">
        <v>112</v>
      </c>
      <c r="AE2" s="12" t="s">
        <v>113</v>
      </c>
      <c r="AF2" s="12" t="s">
        <v>114</v>
      </c>
      <c r="AG2" s="12" t="s">
        <v>115</v>
      </c>
      <c r="AH2" s="12" t="s">
        <v>116</v>
      </c>
      <c r="AI2" s="12" t="s">
        <v>117</v>
      </c>
      <c r="AJ2" s="12" t="s">
        <v>118</v>
      </c>
      <c r="AK2" s="12" t="s">
        <v>4</v>
      </c>
    </row>
    <row r="3" customFormat="false" ht="15" hidden="false" customHeight="false" outlineLevel="0" collapsed="false">
      <c r="A3" s="11" t="n">
        <v>2</v>
      </c>
      <c r="B3" s="12" t="s">
        <v>90</v>
      </c>
      <c r="C3" s="12" t="s">
        <v>91</v>
      </c>
      <c r="D3" s="12" t="s">
        <v>92</v>
      </c>
      <c r="E3" s="12" t="s">
        <v>93</v>
      </c>
      <c r="F3" s="12" t="s">
        <v>94</v>
      </c>
      <c r="G3" s="12" t="s">
        <v>95</v>
      </c>
      <c r="H3" s="12" t="s">
        <v>96</v>
      </c>
      <c r="I3" s="12" t="s">
        <v>97</v>
      </c>
      <c r="J3" s="13" t="s">
        <v>98</v>
      </c>
      <c r="K3" s="12"/>
      <c r="L3" s="12" t="s">
        <v>119</v>
      </c>
      <c r="M3" s="12" t="s">
        <v>120</v>
      </c>
      <c r="N3" s="12" t="s">
        <v>101</v>
      </c>
      <c r="O3" s="12" t="s">
        <v>102</v>
      </c>
      <c r="P3" s="12" t="s">
        <v>103</v>
      </c>
      <c r="Q3" s="12" t="s">
        <v>104</v>
      </c>
      <c r="R3" s="14" t="n">
        <v>341</v>
      </c>
      <c r="S3" s="14" t="s">
        <v>105</v>
      </c>
      <c r="T3" s="14" t="s">
        <v>106</v>
      </c>
      <c r="U3" s="14" t="n">
        <v>2034</v>
      </c>
      <c r="V3" s="12" t="s">
        <v>107</v>
      </c>
      <c r="W3" s="14"/>
      <c r="X3" s="15" t="n">
        <f aca="false">IF(OR($S3="%",$R3=""),"",$R3*INDEX(Cambi!$J$2:$J$5,MATCH($S3,Cambi!$I$2:$I$5,0))/IF($T3="EUR",1,INDEX(Cambi!$D:$D,MATCH($T3&amp;"|"&amp;$U3,Cambi!$C:$C,0))))</f>
        <v>341</v>
      </c>
      <c r="Y3" s="12" t="s">
        <v>108</v>
      </c>
      <c r="Z3" s="12" t="s">
        <v>109</v>
      </c>
      <c r="AA3" s="12" t="s">
        <v>109</v>
      </c>
      <c r="AB3" s="16" t="s">
        <v>110</v>
      </c>
      <c r="AC3" s="16" t="s">
        <v>111</v>
      </c>
      <c r="AD3" s="12" t="s">
        <v>112</v>
      </c>
      <c r="AE3" s="12" t="s">
        <v>113</v>
      </c>
      <c r="AF3" s="12" t="s">
        <v>121</v>
      </c>
      <c r="AG3" s="12" t="s">
        <v>115</v>
      </c>
      <c r="AH3" s="12" t="s">
        <v>116</v>
      </c>
      <c r="AI3" s="12" t="s">
        <v>117</v>
      </c>
      <c r="AJ3" s="12" t="s">
        <v>122</v>
      </c>
      <c r="AK3" s="12" t="s">
        <v>4</v>
      </c>
    </row>
    <row r="4" customFormat="false" ht="15" hidden="false" customHeight="false" outlineLevel="0" collapsed="false">
      <c r="A4" s="11" t="n">
        <v>3</v>
      </c>
      <c r="B4" s="12" t="s">
        <v>123</v>
      </c>
      <c r="C4" s="12" t="s">
        <v>91</v>
      </c>
      <c r="D4" s="12" t="s">
        <v>92</v>
      </c>
      <c r="E4" s="12" t="s">
        <v>93</v>
      </c>
      <c r="F4" s="12" t="s">
        <v>94</v>
      </c>
      <c r="G4" s="12" t="s">
        <v>95</v>
      </c>
      <c r="H4" s="12" t="s">
        <v>124</v>
      </c>
      <c r="I4" s="12" t="s">
        <v>125</v>
      </c>
      <c r="J4" s="13" t="s">
        <v>126</v>
      </c>
      <c r="K4" s="12"/>
      <c r="L4" s="12" t="s">
        <v>127</v>
      </c>
      <c r="M4" s="12" t="s">
        <v>128</v>
      </c>
      <c r="N4" s="12" t="s">
        <v>101</v>
      </c>
      <c r="O4" s="12" t="s">
        <v>102</v>
      </c>
      <c r="P4" s="12" t="s">
        <v>103</v>
      </c>
      <c r="Q4" s="12" t="s">
        <v>104</v>
      </c>
      <c r="R4" s="14" t="n">
        <v>1.1</v>
      </c>
      <c r="S4" s="14" t="s">
        <v>129</v>
      </c>
      <c r="T4" s="14" t="s">
        <v>106</v>
      </c>
      <c r="U4" s="14" t="n">
        <v>2027</v>
      </c>
      <c r="V4" s="12" t="s">
        <v>107</v>
      </c>
      <c r="W4" s="14"/>
      <c r="X4" s="15" t="n">
        <f aca="false">IF(OR($S4="%",$R4=""),"",$R4*INDEX(Cambi!$J$2:$J$5,MATCH($S4,Cambi!$I$2:$I$5,0))/IF($T4="EUR",1,INDEX(Cambi!$D:$D,MATCH($T4&amp;"|"&amp;$U4,Cambi!$C:$C,0))))</f>
        <v>1100</v>
      </c>
      <c r="Y4" s="12" t="s">
        <v>130</v>
      </c>
      <c r="Z4" s="12" t="s">
        <v>109</v>
      </c>
      <c r="AA4" s="12" t="s">
        <v>109</v>
      </c>
      <c r="AB4" s="16" t="s">
        <v>110</v>
      </c>
      <c r="AC4" s="16" t="s">
        <v>111</v>
      </c>
      <c r="AD4" s="12" t="s">
        <v>112</v>
      </c>
      <c r="AE4" s="12" t="s">
        <v>113</v>
      </c>
      <c r="AF4" s="12" t="s">
        <v>131</v>
      </c>
      <c r="AG4" s="12" t="s">
        <v>115</v>
      </c>
      <c r="AH4" s="12" t="s">
        <v>116</v>
      </c>
      <c r="AI4" s="12" t="s">
        <v>117</v>
      </c>
      <c r="AJ4" s="12" t="s">
        <v>132</v>
      </c>
      <c r="AK4" s="12" t="s">
        <v>4</v>
      </c>
    </row>
    <row r="5" customFormat="false" ht="15" hidden="false" customHeight="false" outlineLevel="0" collapsed="false">
      <c r="A5" s="11" t="n">
        <v>4</v>
      </c>
      <c r="B5" s="12" t="s">
        <v>133</v>
      </c>
      <c r="C5" s="12" t="s">
        <v>91</v>
      </c>
      <c r="D5" s="12" t="s">
        <v>92</v>
      </c>
      <c r="E5" s="12" t="s">
        <v>93</v>
      </c>
      <c r="F5" s="12" t="s">
        <v>94</v>
      </c>
      <c r="G5" s="12" t="s">
        <v>95</v>
      </c>
      <c r="H5" s="12" t="s">
        <v>134</v>
      </c>
      <c r="I5" s="12" t="s">
        <v>135</v>
      </c>
      <c r="J5" s="13" t="s">
        <v>136</v>
      </c>
      <c r="K5" s="12"/>
      <c r="L5" s="12" t="s">
        <v>137</v>
      </c>
      <c r="M5" s="12" t="s">
        <v>138</v>
      </c>
      <c r="N5" s="12" t="s">
        <v>101</v>
      </c>
      <c r="O5" s="12" t="s">
        <v>102</v>
      </c>
      <c r="P5" s="12" t="s">
        <v>103</v>
      </c>
      <c r="Q5" s="12" t="s">
        <v>104</v>
      </c>
      <c r="R5" s="14" t="n">
        <v>1.6</v>
      </c>
      <c r="S5" s="14" t="s">
        <v>129</v>
      </c>
      <c r="T5" s="14" t="s">
        <v>106</v>
      </c>
      <c r="U5" s="14" t="n">
        <v>2027</v>
      </c>
      <c r="V5" s="12" t="s">
        <v>107</v>
      </c>
      <c r="W5" s="14"/>
      <c r="X5" s="15" t="n">
        <f aca="false">IF(OR($S5="%",$R5=""),"",$R5*INDEX(Cambi!$J$2:$J$5,MATCH($S5,Cambi!$I$2:$I$5,0))/IF($T5="EUR",1,INDEX(Cambi!$D:$D,MATCH($T5&amp;"|"&amp;$U5,Cambi!$C:$C,0))))</f>
        <v>1600</v>
      </c>
      <c r="Y5" s="12" t="s">
        <v>130</v>
      </c>
      <c r="Z5" s="12" t="s">
        <v>109</v>
      </c>
      <c r="AA5" s="12" t="s">
        <v>109</v>
      </c>
      <c r="AB5" s="16" t="s">
        <v>110</v>
      </c>
      <c r="AC5" s="16" t="s">
        <v>111</v>
      </c>
      <c r="AD5" s="12" t="s">
        <v>112</v>
      </c>
      <c r="AE5" s="12" t="s">
        <v>113</v>
      </c>
      <c r="AF5" s="12" t="s">
        <v>139</v>
      </c>
      <c r="AG5" s="12" t="s">
        <v>115</v>
      </c>
      <c r="AH5" s="12" t="s">
        <v>116</v>
      </c>
      <c r="AI5" s="12" t="s">
        <v>117</v>
      </c>
      <c r="AJ5" s="12" t="s">
        <v>140</v>
      </c>
      <c r="AK5" s="12" t="s">
        <v>4</v>
      </c>
    </row>
    <row r="6" customFormat="false" ht="15" hidden="false" customHeight="false" outlineLevel="0" collapsed="false">
      <c r="A6" s="11" t="n">
        <v>5</v>
      </c>
      <c r="B6" s="12" t="s">
        <v>141</v>
      </c>
      <c r="C6" s="12" t="s">
        <v>91</v>
      </c>
      <c r="D6" s="12" t="s">
        <v>92</v>
      </c>
      <c r="E6" s="12" t="s">
        <v>93</v>
      </c>
      <c r="F6" s="12" t="s">
        <v>94</v>
      </c>
      <c r="G6" s="12" t="s">
        <v>95</v>
      </c>
      <c r="H6" s="12" t="s">
        <v>142</v>
      </c>
      <c r="I6" s="12" t="s">
        <v>143</v>
      </c>
      <c r="J6" s="13" t="s">
        <v>144</v>
      </c>
      <c r="K6" s="12"/>
      <c r="L6" s="12" t="s">
        <v>145</v>
      </c>
      <c r="M6" s="12" t="s">
        <v>146</v>
      </c>
      <c r="N6" s="12" t="s">
        <v>101</v>
      </c>
      <c r="O6" s="12" t="s">
        <v>102</v>
      </c>
      <c r="P6" s="12" t="s">
        <v>103</v>
      </c>
      <c r="Q6" s="12" t="s">
        <v>104</v>
      </c>
      <c r="R6" s="14" t="n">
        <v>1.9</v>
      </c>
      <c r="S6" s="14" t="s">
        <v>129</v>
      </c>
      <c r="T6" s="14" t="s">
        <v>106</v>
      </c>
      <c r="U6" s="14" t="n">
        <v>2027</v>
      </c>
      <c r="V6" s="12" t="s">
        <v>107</v>
      </c>
      <c r="W6" s="14"/>
      <c r="X6" s="15" t="n">
        <f aca="false">IF(OR($S6="%",$R6=""),"",$R6*INDEX(Cambi!$J$2:$J$5,MATCH($S6,Cambi!$I$2:$I$5,0))/IF($T6="EUR",1,INDEX(Cambi!$D:$D,MATCH($T6&amp;"|"&amp;$U6,Cambi!$C:$C,0))))</f>
        <v>1900</v>
      </c>
      <c r="Y6" s="12" t="s">
        <v>130</v>
      </c>
      <c r="Z6" s="12" t="s">
        <v>109</v>
      </c>
      <c r="AA6" s="12" t="s">
        <v>109</v>
      </c>
      <c r="AB6" s="16" t="s">
        <v>110</v>
      </c>
      <c r="AC6" s="16" t="s">
        <v>111</v>
      </c>
      <c r="AD6" s="12" t="s">
        <v>112</v>
      </c>
      <c r="AE6" s="12" t="s">
        <v>113</v>
      </c>
      <c r="AF6" s="12" t="s">
        <v>147</v>
      </c>
      <c r="AG6" s="12" t="s">
        <v>115</v>
      </c>
      <c r="AH6" s="12" t="s">
        <v>116</v>
      </c>
      <c r="AI6" s="12" t="s">
        <v>117</v>
      </c>
      <c r="AJ6" s="12" t="s">
        <v>148</v>
      </c>
      <c r="AK6" s="12" t="s">
        <v>4</v>
      </c>
    </row>
    <row r="7" customFormat="false" ht="15" hidden="false" customHeight="false" outlineLevel="0" collapsed="false">
      <c r="A7" s="11" t="n">
        <v>6</v>
      </c>
      <c r="B7" s="12" t="s">
        <v>149</v>
      </c>
      <c r="C7" s="12" t="s">
        <v>91</v>
      </c>
      <c r="D7" s="12" t="s">
        <v>92</v>
      </c>
      <c r="E7" s="12" t="s">
        <v>93</v>
      </c>
      <c r="F7" s="12" t="s">
        <v>94</v>
      </c>
      <c r="G7" s="12" t="s">
        <v>95</v>
      </c>
      <c r="H7" s="12" t="s">
        <v>150</v>
      </c>
      <c r="I7" s="12" t="s">
        <v>151</v>
      </c>
      <c r="J7" s="13" t="s">
        <v>152</v>
      </c>
      <c r="K7" s="12"/>
      <c r="L7" s="12" t="s">
        <v>153</v>
      </c>
      <c r="M7" s="12" t="s">
        <v>154</v>
      </c>
      <c r="N7" s="12" t="s">
        <v>101</v>
      </c>
      <c r="O7" s="12" t="s">
        <v>102</v>
      </c>
      <c r="P7" s="12" t="s">
        <v>155</v>
      </c>
      <c r="Q7" s="12" t="s">
        <v>156</v>
      </c>
      <c r="R7" s="14" t="n">
        <v>194</v>
      </c>
      <c r="S7" s="14" t="s">
        <v>105</v>
      </c>
      <c r="T7" s="14" t="s">
        <v>106</v>
      </c>
      <c r="U7" s="14" t="n">
        <v>2024</v>
      </c>
      <c r="V7" s="12" t="s">
        <v>157</v>
      </c>
      <c r="W7" s="14"/>
      <c r="X7" s="15" t="n">
        <f aca="false">IF(OR($S7="%",$R7=""),"",$R7*INDEX(Cambi!$J$2:$J$5,MATCH($S7,Cambi!$I$2:$I$5,0))/IF($T7="EUR",1,INDEX(Cambi!$D:$D,MATCH($T7&amp;"|"&amp;$U7,Cambi!$C:$C,0))))</f>
        <v>194</v>
      </c>
      <c r="Y7" s="12" t="s">
        <v>130</v>
      </c>
      <c r="Z7" s="12" t="s">
        <v>109</v>
      </c>
      <c r="AA7" s="12" t="s">
        <v>109</v>
      </c>
      <c r="AB7" s="16" t="s">
        <v>110</v>
      </c>
      <c r="AC7" s="16" t="s">
        <v>111</v>
      </c>
      <c r="AD7" s="12" t="s">
        <v>112</v>
      </c>
      <c r="AE7" s="12" t="s">
        <v>113</v>
      </c>
      <c r="AF7" s="12" t="s">
        <v>158</v>
      </c>
      <c r="AG7" s="12" t="s">
        <v>115</v>
      </c>
      <c r="AH7" s="12" t="s">
        <v>116</v>
      </c>
      <c r="AI7" s="12" t="s">
        <v>117</v>
      </c>
      <c r="AJ7" s="12" t="s">
        <v>159</v>
      </c>
      <c r="AK7" s="12" t="s">
        <v>4</v>
      </c>
    </row>
    <row r="8" customFormat="false" ht="15" hidden="false" customHeight="false" outlineLevel="0" collapsed="false">
      <c r="A8" s="11" t="n">
        <v>7</v>
      </c>
      <c r="B8" s="12" t="s">
        <v>160</v>
      </c>
      <c r="C8" s="12" t="s">
        <v>91</v>
      </c>
      <c r="D8" s="12" t="s">
        <v>92</v>
      </c>
      <c r="E8" s="12" t="s">
        <v>93</v>
      </c>
      <c r="F8" s="12" t="s">
        <v>94</v>
      </c>
      <c r="G8" s="12" t="s">
        <v>95</v>
      </c>
      <c r="H8" s="12" t="s">
        <v>161</v>
      </c>
      <c r="I8" s="12" t="s">
        <v>162</v>
      </c>
      <c r="J8" s="13" t="s">
        <v>163</v>
      </c>
      <c r="K8" s="12"/>
      <c r="L8" s="12" t="s">
        <v>164</v>
      </c>
      <c r="M8" s="12" t="s">
        <v>165</v>
      </c>
      <c r="N8" s="12" t="s">
        <v>101</v>
      </c>
      <c r="O8" s="12" t="s">
        <v>102</v>
      </c>
      <c r="P8" s="12" t="s">
        <v>103</v>
      </c>
      <c r="Q8" s="12" t="s">
        <v>104</v>
      </c>
      <c r="R8" s="14" t="n">
        <v>5.9</v>
      </c>
      <c r="S8" s="14" t="s">
        <v>129</v>
      </c>
      <c r="T8" s="14" t="s">
        <v>106</v>
      </c>
      <c r="U8" s="14" t="n">
        <v>2024</v>
      </c>
      <c r="V8" s="12" t="s">
        <v>107</v>
      </c>
      <c r="W8" s="14"/>
      <c r="X8" s="15" t="n">
        <f aca="false">IF(OR($S8="%",$R8=""),"",$R8*INDEX(Cambi!$J$2:$J$5,MATCH($S8,Cambi!$I$2:$I$5,0))/IF($T8="EUR",1,INDEX(Cambi!$D:$D,MATCH($T8&amp;"|"&amp;$U8,Cambi!$C:$C,0))))</f>
        <v>5900</v>
      </c>
      <c r="Y8" s="12" t="s">
        <v>130</v>
      </c>
      <c r="Z8" s="12" t="s">
        <v>109</v>
      </c>
      <c r="AA8" s="12" t="s">
        <v>109</v>
      </c>
      <c r="AB8" s="16" t="s">
        <v>110</v>
      </c>
      <c r="AC8" s="16" t="s">
        <v>111</v>
      </c>
      <c r="AD8" s="12" t="s">
        <v>166</v>
      </c>
      <c r="AE8" s="12" t="s">
        <v>167</v>
      </c>
      <c r="AF8" s="12" t="s">
        <v>168</v>
      </c>
      <c r="AG8" s="12" t="s">
        <v>115</v>
      </c>
      <c r="AH8" s="12" t="s">
        <v>116</v>
      </c>
      <c r="AI8" s="12" t="s">
        <v>117</v>
      </c>
      <c r="AJ8" s="12" t="s">
        <v>169</v>
      </c>
      <c r="AK8" s="12" t="s">
        <v>4</v>
      </c>
    </row>
    <row r="9" customFormat="false" ht="15" hidden="false" customHeight="false" outlineLevel="0" collapsed="false">
      <c r="A9" s="11" t="n">
        <v>8</v>
      </c>
      <c r="B9" s="12" t="s">
        <v>170</v>
      </c>
      <c r="C9" s="12" t="s">
        <v>91</v>
      </c>
      <c r="D9" s="12" t="s">
        <v>92</v>
      </c>
      <c r="E9" s="12" t="s">
        <v>93</v>
      </c>
      <c r="F9" s="12" t="s">
        <v>94</v>
      </c>
      <c r="G9" s="12" t="s">
        <v>95</v>
      </c>
      <c r="H9" s="12" t="s">
        <v>171</v>
      </c>
      <c r="I9" s="12" t="s">
        <v>172</v>
      </c>
      <c r="J9" s="13" t="s">
        <v>173</v>
      </c>
      <c r="K9" s="12"/>
      <c r="L9" s="12" t="s">
        <v>174</v>
      </c>
      <c r="M9" s="12" t="s">
        <v>175</v>
      </c>
      <c r="N9" s="12" t="s">
        <v>101</v>
      </c>
      <c r="O9" s="12" t="s">
        <v>102</v>
      </c>
      <c r="P9" s="12" t="s">
        <v>103</v>
      </c>
      <c r="Q9" s="12" t="s">
        <v>104</v>
      </c>
      <c r="R9" s="14" t="n">
        <v>0.8</v>
      </c>
      <c r="S9" s="14" t="s">
        <v>129</v>
      </c>
      <c r="T9" s="14" t="s">
        <v>106</v>
      </c>
      <c r="U9" s="14" t="n">
        <v>2025</v>
      </c>
      <c r="V9" s="12" t="s">
        <v>107</v>
      </c>
      <c r="W9" s="14"/>
      <c r="X9" s="15" t="n">
        <f aca="false">IF(OR($S9="%",$R9=""),"",$R9*INDEX(Cambi!$J$2:$J$5,MATCH($S9,Cambi!$I$2:$I$5,0))/IF($T9="EUR",1,INDEX(Cambi!$D:$D,MATCH($T9&amp;"|"&amp;$U9,Cambi!$C:$C,0))))</f>
        <v>800</v>
      </c>
      <c r="Y9" s="12" t="s">
        <v>130</v>
      </c>
      <c r="Z9" s="12" t="s">
        <v>109</v>
      </c>
      <c r="AA9" s="12" t="s">
        <v>109</v>
      </c>
      <c r="AB9" s="16" t="s">
        <v>110</v>
      </c>
      <c r="AC9" s="16" t="s">
        <v>111</v>
      </c>
      <c r="AD9" s="12" t="s">
        <v>112</v>
      </c>
      <c r="AE9" s="12" t="s">
        <v>176</v>
      </c>
      <c r="AF9" s="12" t="s">
        <v>177</v>
      </c>
      <c r="AG9" s="12" t="s">
        <v>115</v>
      </c>
      <c r="AH9" s="12" t="s">
        <v>116</v>
      </c>
      <c r="AI9" s="12" t="s">
        <v>117</v>
      </c>
      <c r="AJ9" s="12" t="s">
        <v>178</v>
      </c>
      <c r="AK9" s="12" t="s">
        <v>4</v>
      </c>
    </row>
    <row r="10" customFormat="false" ht="15" hidden="false" customHeight="false" outlineLevel="0" collapsed="false">
      <c r="A10" s="11" t="n">
        <v>9</v>
      </c>
      <c r="B10" s="12" t="s">
        <v>179</v>
      </c>
      <c r="C10" s="12" t="s">
        <v>91</v>
      </c>
      <c r="D10" s="12" t="s">
        <v>92</v>
      </c>
      <c r="E10" s="12" t="s">
        <v>93</v>
      </c>
      <c r="F10" s="12" t="s">
        <v>94</v>
      </c>
      <c r="G10" s="12" t="s">
        <v>95</v>
      </c>
      <c r="H10" s="12" t="s">
        <v>180</v>
      </c>
      <c r="I10" s="12" t="s">
        <v>181</v>
      </c>
      <c r="J10" s="13" t="s">
        <v>182</v>
      </c>
      <c r="K10" s="12"/>
      <c r="L10" s="12" t="s">
        <v>183</v>
      </c>
      <c r="M10" s="12" t="s">
        <v>184</v>
      </c>
      <c r="N10" s="12" t="s">
        <v>101</v>
      </c>
      <c r="O10" s="12" t="s">
        <v>102</v>
      </c>
      <c r="P10" s="12" t="s">
        <v>155</v>
      </c>
      <c r="Q10" s="12" t="s">
        <v>185</v>
      </c>
      <c r="R10" s="14" t="n">
        <v>90.55</v>
      </c>
      <c r="S10" s="14" t="s">
        <v>105</v>
      </c>
      <c r="T10" s="14" t="s">
        <v>106</v>
      </c>
      <c r="U10" s="14" t="n">
        <v>2025</v>
      </c>
      <c r="V10" s="12" t="s">
        <v>107</v>
      </c>
      <c r="W10" s="14"/>
      <c r="X10" s="15" t="n">
        <f aca="false">IF(OR($S10="%",$R10=""),"",$R10*INDEX(Cambi!$J$2:$J$5,MATCH($S10,Cambi!$I$2:$I$5,0))/IF($T10="EUR",1,INDEX(Cambi!$D:$D,MATCH($T10&amp;"|"&amp;$U10,Cambi!$C:$C,0))))</f>
        <v>90.55</v>
      </c>
      <c r="Y10" s="12" t="s">
        <v>130</v>
      </c>
      <c r="Z10" s="12" t="s">
        <v>109</v>
      </c>
      <c r="AA10" s="12" t="s">
        <v>109</v>
      </c>
      <c r="AB10" s="16" t="s">
        <v>110</v>
      </c>
      <c r="AC10" s="16" t="s">
        <v>111</v>
      </c>
      <c r="AD10" s="12" t="s">
        <v>112</v>
      </c>
      <c r="AE10" s="12" t="s">
        <v>113</v>
      </c>
      <c r="AF10" s="12" t="s">
        <v>186</v>
      </c>
      <c r="AG10" s="12" t="s">
        <v>115</v>
      </c>
      <c r="AH10" s="12" t="s">
        <v>116</v>
      </c>
      <c r="AI10" s="12" t="s">
        <v>117</v>
      </c>
      <c r="AJ10" s="12" t="s">
        <v>187</v>
      </c>
      <c r="AK10" s="12" t="s">
        <v>4</v>
      </c>
    </row>
    <row r="11" customFormat="false" ht="15" hidden="false" customHeight="false" outlineLevel="0" collapsed="false">
      <c r="A11" s="11" t="n">
        <v>10</v>
      </c>
      <c r="B11" s="12" t="s">
        <v>188</v>
      </c>
      <c r="C11" s="12" t="s">
        <v>91</v>
      </c>
      <c r="D11" s="12" t="s">
        <v>92</v>
      </c>
      <c r="E11" s="12" t="s">
        <v>93</v>
      </c>
      <c r="F11" s="12" t="s">
        <v>94</v>
      </c>
      <c r="G11" s="12" t="s">
        <v>95</v>
      </c>
      <c r="H11" s="12" t="s">
        <v>189</v>
      </c>
      <c r="I11" s="12" t="s">
        <v>190</v>
      </c>
      <c r="J11" s="13" t="s">
        <v>191</v>
      </c>
      <c r="K11" s="12" t="s">
        <v>192</v>
      </c>
      <c r="L11" s="12" t="s">
        <v>193</v>
      </c>
      <c r="M11" s="12" t="s">
        <v>194</v>
      </c>
      <c r="N11" s="12" t="s">
        <v>195</v>
      </c>
      <c r="O11" s="12" t="s">
        <v>196</v>
      </c>
      <c r="P11" s="12" t="s">
        <v>103</v>
      </c>
      <c r="Q11" s="12" t="s">
        <v>104</v>
      </c>
      <c r="R11" s="14" t="n">
        <v>0.52</v>
      </c>
      <c r="S11" s="14" t="s">
        <v>197</v>
      </c>
      <c r="T11" s="14"/>
      <c r="U11" s="14" t="n">
        <v>2020</v>
      </c>
      <c r="V11" s="12" t="s">
        <v>198</v>
      </c>
      <c r="W11" s="14"/>
      <c r="X11" s="15" t="str">
        <f aca="false">IF(OR($S11="%",$R11=""),"",$R11*INDEX(Cambi!$J$2:$J$5,MATCH($S11,Cambi!$I$2:$I$5,0))/IF($T11="EUR",1,INDEX(Cambi!$D:$D,MATCH($T11&amp;"|"&amp;$U11,Cambi!$C:$C,0))))</f>
        <v/>
      </c>
      <c r="Y11" s="12" t="s">
        <v>130</v>
      </c>
      <c r="Z11" s="12" t="s">
        <v>109</v>
      </c>
      <c r="AA11" s="12" t="s">
        <v>199</v>
      </c>
      <c r="AB11" s="16" t="s">
        <v>110</v>
      </c>
      <c r="AC11" s="16" t="s">
        <v>200</v>
      </c>
      <c r="AD11" s="12" t="s">
        <v>201</v>
      </c>
      <c r="AE11" s="12" t="s">
        <v>202</v>
      </c>
      <c r="AF11" s="12" t="s">
        <v>203</v>
      </c>
      <c r="AG11" s="12" t="s">
        <v>115</v>
      </c>
      <c r="AH11" s="12" t="s">
        <v>116</v>
      </c>
      <c r="AI11" s="12" t="s">
        <v>117</v>
      </c>
      <c r="AJ11" s="12" t="s">
        <v>204</v>
      </c>
      <c r="AK11" s="12" t="s">
        <v>4</v>
      </c>
    </row>
    <row r="12" customFormat="false" ht="15" hidden="false" customHeight="false" outlineLevel="0" collapsed="false">
      <c r="A12" s="11" t="n">
        <v>11</v>
      </c>
      <c r="B12" s="12" t="s">
        <v>188</v>
      </c>
      <c r="C12" s="12" t="s">
        <v>91</v>
      </c>
      <c r="D12" s="12" t="s">
        <v>92</v>
      </c>
      <c r="E12" s="12" t="s">
        <v>93</v>
      </c>
      <c r="F12" s="12" t="s">
        <v>94</v>
      </c>
      <c r="G12" s="12" t="s">
        <v>95</v>
      </c>
      <c r="H12" s="12" t="s">
        <v>189</v>
      </c>
      <c r="I12" s="12" t="s">
        <v>190</v>
      </c>
      <c r="J12" s="13" t="s">
        <v>191</v>
      </c>
      <c r="K12" s="12" t="s">
        <v>192</v>
      </c>
      <c r="L12" s="12" t="s">
        <v>205</v>
      </c>
      <c r="M12" s="12" t="s">
        <v>206</v>
      </c>
      <c r="N12" s="12" t="s">
        <v>195</v>
      </c>
      <c r="O12" s="12" t="s">
        <v>196</v>
      </c>
      <c r="P12" s="12" t="s">
        <v>103</v>
      </c>
      <c r="Q12" s="12" t="s">
        <v>104</v>
      </c>
      <c r="R12" s="14" t="n">
        <v>9.14</v>
      </c>
      <c r="S12" s="14" t="s">
        <v>197</v>
      </c>
      <c r="T12" s="14"/>
      <c r="U12" s="14" t="n">
        <v>2020</v>
      </c>
      <c r="V12" s="12" t="s">
        <v>198</v>
      </c>
      <c r="W12" s="14"/>
      <c r="X12" s="15" t="str">
        <f aca="false">IF(OR($S12="%",$R12=""),"",$R12*INDEX(Cambi!$J$2:$J$5,MATCH($S12,Cambi!$I$2:$I$5,0))/IF($T12="EUR",1,INDEX(Cambi!$D:$D,MATCH($T12&amp;"|"&amp;$U12,Cambi!$C:$C,0))))</f>
        <v/>
      </c>
      <c r="Y12" s="12" t="s">
        <v>130</v>
      </c>
      <c r="Z12" s="12" t="s">
        <v>109</v>
      </c>
      <c r="AA12" s="12" t="s">
        <v>199</v>
      </c>
      <c r="AB12" s="16" t="s">
        <v>110</v>
      </c>
      <c r="AC12" s="16" t="s">
        <v>200</v>
      </c>
      <c r="AD12" s="12" t="s">
        <v>201</v>
      </c>
      <c r="AE12" s="12" t="s">
        <v>202</v>
      </c>
      <c r="AF12" s="12" t="s">
        <v>207</v>
      </c>
      <c r="AG12" s="12" t="s">
        <v>115</v>
      </c>
      <c r="AH12" s="12" t="s">
        <v>116</v>
      </c>
      <c r="AI12" s="12" t="s">
        <v>117</v>
      </c>
      <c r="AJ12" s="12" t="s">
        <v>208</v>
      </c>
      <c r="AK12" s="12" t="s">
        <v>4</v>
      </c>
    </row>
    <row r="13" customFormat="false" ht="15" hidden="false" customHeight="false" outlineLevel="0" collapsed="false">
      <c r="A13" s="11" t="n">
        <v>12</v>
      </c>
      <c r="B13" s="12" t="s">
        <v>188</v>
      </c>
      <c r="C13" s="12" t="s">
        <v>91</v>
      </c>
      <c r="D13" s="12" t="s">
        <v>92</v>
      </c>
      <c r="E13" s="12" t="s">
        <v>93</v>
      </c>
      <c r="F13" s="12" t="s">
        <v>94</v>
      </c>
      <c r="G13" s="12" t="s">
        <v>95</v>
      </c>
      <c r="H13" s="12" t="s">
        <v>189</v>
      </c>
      <c r="I13" s="12" t="s">
        <v>190</v>
      </c>
      <c r="J13" s="13" t="s">
        <v>209</v>
      </c>
      <c r="K13" s="12" t="s">
        <v>192</v>
      </c>
      <c r="L13" s="12" t="s">
        <v>210</v>
      </c>
      <c r="M13" s="12" t="s">
        <v>211</v>
      </c>
      <c r="N13" s="12" t="s">
        <v>212</v>
      </c>
      <c r="O13" s="12" t="s">
        <v>213</v>
      </c>
      <c r="P13" s="12" t="s">
        <v>214</v>
      </c>
      <c r="Q13" s="12" t="s">
        <v>215</v>
      </c>
      <c r="R13" s="14" t="n">
        <v>12</v>
      </c>
      <c r="S13" s="14" t="s">
        <v>197</v>
      </c>
      <c r="T13" s="14"/>
      <c r="U13" s="14" t="n">
        <v>2025</v>
      </c>
      <c r="V13" s="12" t="s">
        <v>107</v>
      </c>
      <c r="W13" s="14"/>
      <c r="X13" s="15" t="str">
        <f aca="false">IF(OR($S13="%",$R13=""),"",$R13*INDEX(Cambi!$J$2:$J$5,MATCH($S13,Cambi!$I$2:$I$5,0))/IF($T13="EUR",1,INDEX(Cambi!$D:$D,MATCH($T13&amp;"|"&amp;$U13,Cambi!$C:$C,0))))</f>
        <v/>
      </c>
      <c r="Y13" s="12" t="s">
        <v>130</v>
      </c>
      <c r="Z13" s="12" t="s">
        <v>109</v>
      </c>
      <c r="AA13" s="12" t="s">
        <v>199</v>
      </c>
      <c r="AB13" s="16" t="s">
        <v>110</v>
      </c>
      <c r="AC13" s="16" t="s">
        <v>200</v>
      </c>
      <c r="AD13" s="12" t="s">
        <v>201</v>
      </c>
      <c r="AE13" s="12" t="s">
        <v>202</v>
      </c>
      <c r="AF13" s="12" t="s">
        <v>216</v>
      </c>
      <c r="AG13" s="12" t="s">
        <v>115</v>
      </c>
      <c r="AH13" s="12" t="s">
        <v>116</v>
      </c>
      <c r="AI13" s="12" t="s">
        <v>117</v>
      </c>
      <c r="AJ13" s="12" t="s">
        <v>217</v>
      </c>
      <c r="AK13" s="12" t="s">
        <v>4</v>
      </c>
    </row>
    <row r="14" customFormat="false" ht="15" hidden="false" customHeight="false" outlineLevel="0" collapsed="false">
      <c r="A14" s="11" t="n">
        <v>13</v>
      </c>
      <c r="B14" s="12" t="s">
        <v>188</v>
      </c>
      <c r="C14" s="12" t="s">
        <v>91</v>
      </c>
      <c r="D14" s="12" t="s">
        <v>92</v>
      </c>
      <c r="E14" s="12" t="s">
        <v>93</v>
      </c>
      <c r="F14" s="12" t="s">
        <v>94</v>
      </c>
      <c r="G14" s="12" t="s">
        <v>95</v>
      </c>
      <c r="H14" s="12" t="s">
        <v>189</v>
      </c>
      <c r="I14" s="12" t="s">
        <v>190</v>
      </c>
      <c r="J14" s="13" t="s">
        <v>209</v>
      </c>
      <c r="K14" s="12" t="s">
        <v>192</v>
      </c>
      <c r="L14" s="12" t="s">
        <v>218</v>
      </c>
      <c r="M14" s="12" t="s">
        <v>219</v>
      </c>
      <c r="N14" s="12" t="s">
        <v>212</v>
      </c>
      <c r="O14" s="12" t="s">
        <v>213</v>
      </c>
      <c r="P14" s="12" t="s">
        <v>214</v>
      </c>
      <c r="Q14" s="12" t="s">
        <v>220</v>
      </c>
      <c r="R14" s="14" t="n">
        <v>22</v>
      </c>
      <c r="S14" s="14" t="s">
        <v>197</v>
      </c>
      <c r="T14" s="14"/>
      <c r="U14" s="14" t="n">
        <v>2025</v>
      </c>
      <c r="V14" s="12" t="s">
        <v>107</v>
      </c>
      <c r="W14" s="14"/>
      <c r="X14" s="15" t="str">
        <f aca="false">IF(OR($S14="%",$R14=""),"",$R14*INDEX(Cambi!$J$2:$J$5,MATCH($S14,Cambi!$I$2:$I$5,0))/IF($T14="EUR",1,INDEX(Cambi!$D:$D,MATCH($T14&amp;"|"&amp;$U14,Cambi!$C:$C,0))))</f>
        <v/>
      </c>
      <c r="Y14" s="12" t="s">
        <v>130</v>
      </c>
      <c r="Z14" s="12" t="s">
        <v>109</v>
      </c>
      <c r="AA14" s="12" t="s">
        <v>199</v>
      </c>
      <c r="AB14" s="16" t="s">
        <v>110</v>
      </c>
      <c r="AC14" s="16" t="s">
        <v>200</v>
      </c>
      <c r="AD14" s="12" t="s">
        <v>201</v>
      </c>
      <c r="AE14" s="12" t="s">
        <v>202</v>
      </c>
      <c r="AF14" s="12" t="s">
        <v>221</v>
      </c>
      <c r="AG14" s="12" t="s">
        <v>115</v>
      </c>
      <c r="AH14" s="12" t="s">
        <v>116</v>
      </c>
      <c r="AI14" s="12" t="s">
        <v>117</v>
      </c>
      <c r="AJ14" s="12" t="s">
        <v>217</v>
      </c>
      <c r="AK14" s="12" t="s">
        <v>4</v>
      </c>
    </row>
    <row r="15" customFormat="false" ht="15" hidden="false" customHeight="false" outlineLevel="0" collapsed="false">
      <c r="A15" s="11" t="n">
        <v>14</v>
      </c>
      <c r="B15" s="12" t="s">
        <v>188</v>
      </c>
      <c r="C15" s="12" t="s">
        <v>91</v>
      </c>
      <c r="D15" s="12" t="s">
        <v>92</v>
      </c>
      <c r="E15" s="12" t="s">
        <v>93</v>
      </c>
      <c r="F15" s="12" t="s">
        <v>94</v>
      </c>
      <c r="G15" s="12" t="s">
        <v>95</v>
      </c>
      <c r="H15" s="12" t="s">
        <v>189</v>
      </c>
      <c r="I15" s="12" t="s">
        <v>190</v>
      </c>
      <c r="J15" s="13" t="s">
        <v>191</v>
      </c>
      <c r="K15" s="12" t="s">
        <v>192</v>
      </c>
      <c r="L15" s="12" t="s">
        <v>222</v>
      </c>
      <c r="M15" s="12" t="s">
        <v>223</v>
      </c>
      <c r="N15" s="12" t="s">
        <v>195</v>
      </c>
      <c r="O15" s="12" t="s">
        <v>196</v>
      </c>
      <c r="P15" s="12" t="s">
        <v>103</v>
      </c>
      <c r="Q15" s="12" t="s">
        <v>104</v>
      </c>
      <c r="R15" s="14" t="n">
        <v>11</v>
      </c>
      <c r="S15" s="14" t="s">
        <v>197</v>
      </c>
      <c r="T15" s="14"/>
      <c r="U15" s="14" t="n">
        <v>2025</v>
      </c>
      <c r="V15" s="12" t="s">
        <v>107</v>
      </c>
      <c r="W15" s="14"/>
      <c r="X15" s="15" t="str">
        <f aca="false">IF(OR($S15="%",$R15=""),"",$R15*INDEX(Cambi!$J$2:$J$5,MATCH($S15,Cambi!$I$2:$I$5,0))/IF($T15="EUR",1,INDEX(Cambi!$D:$D,MATCH($T15&amp;"|"&amp;$U15,Cambi!$C:$C,0))))</f>
        <v/>
      </c>
      <c r="Y15" s="12" t="s">
        <v>130</v>
      </c>
      <c r="Z15" s="12" t="s">
        <v>109</v>
      </c>
      <c r="AA15" s="12" t="s">
        <v>199</v>
      </c>
      <c r="AB15" s="16" t="s">
        <v>110</v>
      </c>
      <c r="AC15" s="16" t="s">
        <v>200</v>
      </c>
      <c r="AD15" s="12" t="s">
        <v>201</v>
      </c>
      <c r="AE15" s="12" t="s">
        <v>202</v>
      </c>
      <c r="AF15" s="12" t="s">
        <v>224</v>
      </c>
      <c r="AG15" s="12" t="s">
        <v>115</v>
      </c>
      <c r="AH15" s="12" t="s">
        <v>116</v>
      </c>
      <c r="AI15" s="12" t="s">
        <v>117</v>
      </c>
      <c r="AJ15" s="12" t="s">
        <v>225</v>
      </c>
      <c r="AK15" s="12" t="s">
        <v>4</v>
      </c>
    </row>
    <row r="16" customFormat="false" ht="15" hidden="false" customHeight="false" outlineLevel="0" collapsed="false">
      <c r="A16" s="11" t="n">
        <v>15</v>
      </c>
      <c r="B16" s="12" t="s">
        <v>188</v>
      </c>
      <c r="C16" s="12" t="s">
        <v>91</v>
      </c>
      <c r="D16" s="12" t="s">
        <v>92</v>
      </c>
      <c r="E16" s="12" t="s">
        <v>93</v>
      </c>
      <c r="F16" s="12" t="s">
        <v>94</v>
      </c>
      <c r="G16" s="12" t="s">
        <v>95</v>
      </c>
      <c r="H16" s="12" t="s">
        <v>189</v>
      </c>
      <c r="I16" s="12" t="s">
        <v>190</v>
      </c>
      <c r="J16" s="13" t="s">
        <v>191</v>
      </c>
      <c r="K16" s="12" t="s">
        <v>192</v>
      </c>
      <c r="L16" s="12" t="s">
        <v>226</v>
      </c>
      <c r="M16" s="12" t="s">
        <v>227</v>
      </c>
      <c r="N16" s="12" t="s">
        <v>195</v>
      </c>
      <c r="O16" s="12" t="s">
        <v>196</v>
      </c>
      <c r="P16" s="12" t="s">
        <v>103</v>
      </c>
      <c r="Q16" s="12" t="s">
        <v>104</v>
      </c>
      <c r="R16" s="14" t="n">
        <v>0.63</v>
      </c>
      <c r="S16" s="14" t="s">
        <v>197</v>
      </c>
      <c r="T16" s="14"/>
      <c r="U16" s="14" t="n">
        <v>2025</v>
      </c>
      <c r="V16" s="12" t="s">
        <v>107</v>
      </c>
      <c r="W16" s="14"/>
      <c r="X16" s="15" t="str">
        <f aca="false">IF(OR($S16="%",$R16=""),"",$R16*INDEX(Cambi!$J$2:$J$5,MATCH($S16,Cambi!$I$2:$I$5,0))/IF($T16="EUR",1,INDEX(Cambi!$D:$D,MATCH($T16&amp;"|"&amp;$U16,Cambi!$C:$C,0))))</f>
        <v/>
      </c>
      <c r="Y16" s="12" t="s">
        <v>130</v>
      </c>
      <c r="Z16" s="12" t="s">
        <v>109</v>
      </c>
      <c r="AA16" s="12" t="s">
        <v>199</v>
      </c>
      <c r="AB16" s="16" t="s">
        <v>110</v>
      </c>
      <c r="AC16" s="16" t="s">
        <v>200</v>
      </c>
      <c r="AD16" s="12" t="s">
        <v>201</v>
      </c>
      <c r="AE16" s="12" t="s">
        <v>202</v>
      </c>
      <c r="AF16" s="12" t="s">
        <v>224</v>
      </c>
      <c r="AG16" s="12" t="s">
        <v>115</v>
      </c>
      <c r="AH16" s="12" t="s">
        <v>116</v>
      </c>
      <c r="AI16" s="12" t="s">
        <v>117</v>
      </c>
      <c r="AJ16" s="12" t="s">
        <v>228</v>
      </c>
      <c r="AK16" s="12" t="s">
        <v>4</v>
      </c>
    </row>
    <row r="17" customFormat="false" ht="15" hidden="false" customHeight="false" outlineLevel="0" collapsed="false">
      <c r="A17" s="11" t="n">
        <v>16</v>
      </c>
      <c r="B17" s="12" t="s">
        <v>188</v>
      </c>
      <c r="C17" s="12" t="s">
        <v>91</v>
      </c>
      <c r="D17" s="12" t="s">
        <v>92</v>
      </c>
      <c r="E17" s="12" t="s">
        <v>93</v>
      </c>
      <c r="F17" s="12" t="s">
        <v>94</v>
      </c>
      <c r="G17" s="12" t="s">
        <v>95</v>
      </c>
      <c r="H17" s="12" t="s">
        <v>189</v>
      </c>
      <c r="I17" s="12" t="s">
        <v>190</v>
      </c>
      <c r="J17" s="13" t="s">
        <v>191</v>
      </c>
      <c r="K17" s="12" t="s">
        <v>192</v>
      </c>
      <c r="L17" s="12" t="s">
        <v>229</v>
      </c>
      <c r="M17" s="12" t="s">
        <v>230</v>
      </c>
      <c r="N17" s="12" t="s">
        <v>195</v>
      </c>
      <c r="O17" s="12" t="s">
        <v>196</v>
      </c>
      <c r="P17" s="12" t="s">
        <v>214</v>
      </c>
      <c r="Q17" s="12" t="s">
        <v>220</v>
      </c>
      <c r="R17" s="14" t="n">
        <v>11.4</v>
      </c>
      <c r="S17" s="14" t="s">
        <v>197</v>
      </c>
      <c r="T17" s="14"/>
      <c r="U17" s="14" t="n">
        <v>2025</v>
      </c>
      <c r="V17" s="12" t="s">
        <v>107</v>
      </c>
      <c r="W17" s="14"/>
      <c r="X17" s="15" t="str">
        <f aca="false">IF(OR($S17="%",$R17=""),"",$R17*INDEX(Cambi!$J$2:$J$5,MATCH($S17,Cambi!$I$2:$I$5,0))/IF($T17="EUR",1,INDEX(Cambi!$D:$D,MATCH($T17&amp;"|"&amp;$U17,Cambi!$C:$C,0))))</f>
        <v/>
      </c>
      <c r="Y17" s="12" t="s">
        <v>130</v>
      </c>
      <c r="Z17" s="12" t="s">
        <v>109</v>
      </c>
      <c r="AA17" s="12" t="s">
        <v>199</v>
      </c>
      <c r="AB17" s="16" t="s">
        <v>110</v>
      </c>
      <c r="AC17" s="16" t="s">
        <v>200</v>
      </c>
      <c r="AD17" s="12" t="s">
        <v>201</v>
      </c>
      <c r="AE17" s="12" t="s">
        <v>202</v>
      </c>
      <c r="AF17" s="12" t="s">
        <v>231</v>
      </c>
      <c r="AG17" s="12" t="s">
        <v>115</v>
      </c>
      <c r="AH17" s="12" t="s">
        <v>116</v>
      </c>
      <c r="AI17" s="12" t="s">
        <v>117</v>
      </c>
      <c r="AJ17" s="12" t="s">
        <v>232</v>
      </c>
      <c r="AK17" s="12" t="s">
        <v>4</v>
      </c>
    </row>
    <row r="18" customFormat="false" ht="15" hidden="false" customHeight="false" outlineLevel="0" collapsed="false">
      <c r="A18" s="11" t="n">
        <v>17</v>
      </c>
      <c r="B18" s="12" t="s">
        <v>188</v>
      </c>
      <c r="C18" s="12" t="s">
        <v>91</v>
      </c>
      <c r="D18" s="12" t="s">
        <v>92</v>
      </c>
      <c r="E18" s="12" t="s">
        <v>93</v>
      </c>
      <c r="F18" s="12" t="s">
        <v>94</v>
      </c>
      <c r="G18" s="12" t="s">
        <v>95</v>
      </c>
      <c r="H18" s="12" t="s">
        <v>189</v>
      </c>
      <c r="I18" s="12" t="s">
        <v>190</v>
      </c>
      <c r="J18" s="13" t="s">
        <v>191</v>
      </c>
      <c r="K18" s="12" t="s">
        <v>192</v>
      </c>
      <c r="L18" s="12" t="s">
        <v>233</v>
      </c>
      <c r="M18" s="12" t="s">
        <v>234</v>
      </c>
      <c r="N18" s="12" t="s">
        <v>195</v>
      </c>
      <c r="O18" s="12" t="s">
        <v>196</v>
      </c>
      <c r="P18" s="12" t="s">
        <v>214</v>
      </c>
      <c r="Q18" s="12" t="s">
        <v>220</v>
      </c>
      <c r="R18" s="14" t="n">
        <v>0.65</v>
      </c>
      <c r="S18" s="14" t="s">
        <v>197</v>
      </c>
      <c r="T18" s="14"/>
      <c r="U18" s="14" t="n">
        <v>2025</v>
      </c>
      <c r="V18" s="12" t="s">
        <v>107</v>
      </c>
      <c r="W18" s="14"/>
      <c r="X18" s="15" t="str">
        <f aca="false">IF(OR($S18="%",$R18=""),"",$R18*INDEX(Cambi!$J$2:$J$5,MATCH($S18,Cambi!$I$2:$I$5,0))/IF($T18="EUR",1,INDEX(Cambi!$D:$D,MATCH($T18&amp;"|"&amp;$U18,Cambi!$C:$C,0))))</f>
        <v/>
      </c>
      <c r="Y18" s="12" t="s">
        <v>130</v>
      </c>
      <c r="Z18" s="12" t="s">
        <v>109</v>
      </c>
      <c r="AA18" s="12" t="s">
        <v>199</v>
      </c>
      <c r="AB18" s="16" t="s">
        <v>110</v>
      </c>
      <c r="AC18" s="16" t="s">
        <v>200</v>
      </c>
      <c r="AD18" s="12" t="s">
        <v>201</v>
      </c>
      <c r="AE18" s="12" t="s">
        <v>202</v>
      </c>
      <c r="AF18" s="12" t="s">
        <v>235</v>
      </c>
      <c r="AG18" s="12" t="s">
        <v>115</v>
      </c>
      <c r="AH18" s="12" t="s">
        <v>116</v>
      </c>
      <c r="AI18" s="12" t="s">
        <v>117</v>
      </c>
      <c r="AJ18" s="12" t="s">
        <v>228</v>
      </c>
      <c r="AK18" s="12" t="s">
        <v>4</v>
      </c>
    </row>
    <row r="19" customFormat="false" ht="15" hidden="false" customHeight="false" outlineLevel="0" collapsed="false">
      <c r="A19" s="11" t="n">
        <v>18</v>
      </c>
      <c r="B19" s="12" t="s">
        <v>188</v>
      </c>
      <c r="C19" s="12" t="s">
        <v>91</v>
      </c>
      <c r="D19" s="12" t="s">
        <v>92</v>
      </c>
      <c r="E19" s="12" t="s">
        <v>93</v>
      </c>
      <c r="F19" s="12" t="s">
        <v>94</v>
      </c>
      <c r="G19" s="12" t="s">
        <v>95</v>
      </c>
      <c r="H19" s="12" t="s">
        <v>189</v>
      </c>
      <c r="I19" s="12" t="s">
        <v>190</v>
      </c>
      <c r="J19" s="13" t="s">
        <v>191</v>
      </c>
      <c r="K19" s="12" t="s">
        <v>192</v>
      </c>
      <c r="L19" s="12" t="s">
        <v>236</v>
      </c>
      <c r="M19" s="12" t="s">
        <v>237</v>
      </c>
      <c r="N19" s="12" t="s">
        <v>212</v>
      </c>
      <c r="O19" s="12" t="s">
        <v>102</v>
      </c>
      <c r="P19" s="12" t="s">
        <v>214</v>
      </c>
      <c r="Q19" s="12" t="s">
        <v>238</v>
      </c>
      <c r="R19" s="14" t="n">
        <v>0.27</v>
      </c>
      <c r="S19" s="14" t="s">
        <v>129</v>
      </c>
      <c r="T19" s="14" t="s">
        <v>106</v>
      </c>
      <c r="U19" s="14" t="n">
        <v>2025</v>
      </c>
      <c r="V19" s="12" t="s">
        <v>107</v>
      </c>
      <c r="W19" s="14"/>
      <c r="X19" s="15" t="n">
        <f aca="false">IF(OR($S19="%",$R19=""),"",$R19*INDEX(Cambi!$J$2:$J$5,MATCH($S19,Cambi!$I$2:$I$5,0))/IF($T19="EUR",1,INDEX(Cambi!$D:$D,MATCH($T19&amp;"|"&amp;$U19,Cambi!$C:$C,0))))</f>
        <v>270</v>
      </c>
      <c r="Y19" s="12" t="s">
        <v>239</v>
      </c>
      <c r="Z19" s="12" t="s">
        <v>109</v>
      </c>
      <c r="AA19" s="12" t="s">
        <v>199</v>
      </c>
      <c r="AB19" s="16" t="s">
        <v>110</v>
      </c>
      <c r="AC19" s="16" t="s">
        <v>200</v>
      </c>
      <c r="AD19" s="12" t="s">
        <v>201</v>
      </c>
      <c r="AE19" s="12" t="s">
        <v>202</v>
      </c>
      <c r="AF19" s="12" t="s">
        <v>240</v>
      </c>
      <c r="AG19" s="12" t="s">
        <v>115</v>
      </c>
      <c r="AH19" s="12" t="s">
        <v>116</v>
      </c>
      <c r="AI19" s="12" t="s">
        <v>117</v>
      </c>
      <c r="AJ19" s="12" t="s">
        <v>241</v>
      </c>
      <c r="AK19" s="12" t="s">
        <v>4</v>
      </c>
    </row>
    <row r="20" customFormat="false" ht="15" hidden="false" customHeight="false" outlineLevel="0" collapsed="false">
      <c r="A20" s="11" t="n">
        <v>19</v>
      </c>
      <c r="B20" s="12" t="s">
        <v>188</v>
      </c>
      <c r="C20" s="12" t="s">
        <v>91</v>
      </c>
      <c r="D20" s="12" t="s">
        <v>92</v>
      </c>
      <c r="E20" s="12" t="s">
        <v>93</v>
      </c>
      <c r="F20" s="12" t="s">
        <v>94</v>
      </c>
      <c r="G20" s="12" t="s">
        <v>95</v>
      </c>
      <c r="H20" s="12" t="s">
        <v>189</v>
      </c>
      <c r="I20" s="12" t="s">
        <v>190</v>
      </c>
      <c r="J20" s="13" t="s">
        <v>191</v>
      </c>
      <c r="K20" s="12" t="s">
        <v>192</v>
      </c>
      <c r="L20" s="12" t="s">
        <v>242</v>
      </c>
      <c r="M20" s="12" t="s">
        <v>243</v>
      </c>
      <c r="N20" s="12" t="s">
        <v>212</v>
      </c>
      <c r="O20" s="12" t="s">
        <v>244</v>
      </c>
      <c r="P20" s="12" t="s">
        <v>214</v>
      </c>
      <c r="Q20" s="12" t="s">
        <v>245</v>
      </c>
      <c r="R20" s="14" t="n">
        <v>1.94</v>
      </c>
      <c r="S20" s="14" t="s">
        <v>105</v>
      </c>
      <c r="T20" s="14" t="s">
        <v>106</v>
      </c>
      <c r="U20" s="14" t="n">
        <v>2025</v>
      </c>
      <c r="V20" s="12" t="s">
        <v>107</v>
      </c>
      <c r="W20" s="14"/>
      <c r="X20" s="15" t="n">
        <f aca="false">IF(OR($S20="%",$R20=""),"",$R20*INDEX(Cambi!$J$2:$J$5,MATCH($S20,Cambi!$I$2:$I$5,0))/IF($T20="EUR",1,INDEX(Cambi!$D:$D,MATCH($T20&amp;"|"&amp;$U20,Cambi!$C:$C,0))))</f>
        <v>1.94</v>
      </c>
      <c r="Y20" s="12" t="s">
        <v>239</v>
      </c>
      <c r="Z20" s="12" t="s">
        <v>109</v>
      </c>
      <c r="AA20" s="12" t="s">
        <v>199</v>
      </c>
      <c r="AB20" s="16" t="s">
        <v>110</v>
      </c>
      <c r="AC20" s="16" t="s">
        <v>200</v>
      </c>
      <c r="AD20" s="12" t="s">
        <v>201</v>
      </c>
      <c r="AE20" s="12" t="s">
        <v>202</v>
      </c>
      <c r="AF20" s="12" t="s">
        <v>246</v>
      </c>
      <c r="AG20" s="12" t="s">
        <v>115</v>
      </c>
      <c r="AH20" s="12" t="s">
        <v>116</v>
      </c>
      <c r="AI20" s="12" t="s">
        <v>117</v>
      </c>
      <c r="AJ20" s="12" t="s">
        <v>247</v>
      </c>
      <c r="AK20" s="12" t="s">
        <v>4</v>
      </c>
    </row>
    <row r="21" customFormat="false" ht="15" hidden="false" customHeight="false" outlineLevel="0" collapsed="false">
      <c r="A21" s="11" t="n">
        <v>20</v>
      </c>
      <c r="B21" s="12" t="s">
        <v>188</v>
      </c>
      <c r="C21" s="12" t="s">
        <v>91</v>
      </c>
      <c r="D21" s="12" t="s">
        <v>92</v>
      </c>
      <c r="E21" s="12" t="s">
        <v>93</v>
      </c>
      <c r="F21" s="12" t="s">
        <v>94</v>
      </c>
      <c r="G21" s="12" t="s">
        <v>95</v>
      </c>
      <c r="H21" s="12" t="s">
        <v>189</v>
      </c>
      <c r="I21" s="12" t="s">
        <v>190</v>
      </c>
      <c r="J21" s="13" t="s">
        <v>191</v>
      </c>
      <c r="K21" s="12" t="s">
        <v>192</v>
      </c>
      <c r="L21" s="12" t="s">
        <v>248</v>
      </c>
      <c r="M21" s="12" t="s">
        <v>249</v>
      </c>
      <c r="N21" s="12" t="s">
        <v>212</v>
      </c>
      <c r="O21" s="12" t="s">
        <v>102</v>
      </c>
      <c r="P21" s="12" t="s">
        <v>214</v>
      </c>
      <c r="Q21" s="12" t="s">
        <v>245</v>
      </c>
      <c r="R21" s="14" t="n">
        <v>6</v>
      </c>
      <c r="S21" s="14" t="s">
        <v>129</v>
      </c>
      <c r="T21" s="14" t="s">
        <v>106</v>
      </c>
      <c r="U21" s="14" t="n">
        <v>2025</v>
      </c>
      <c r="V21" s="12" t="s">
        <v>107</v>
      </c>
      <c r="W21" s="14"/>
      <c r="X21" s="15" t="n">
        <f aca="false">IF(OR($S21="%",$R21=""),"",$R21*INDEX(Cambi!$J$2:$J$5,MATCH($S21,Cambi!$I$2:$I$5,0))/IF($T21="EUR",1,INDEX(Cambi!$D:$D,MATCH($T21&amp;"|"&amp;$U21,Cambi!$C:$C,0))))</f>
        <v>6000</v>
      </c>
      <c r="Y21" s="12" t="s">
        <v>239</v>
      </c>
      <c r="Z21" s="12" t="s">
        <v>109</v>
      </c>
      <c r="AA21" s="12" t="s">
        <v>199</v>
      </c>
      <c r="AB21" s="16" t="s">
        <v>110</v>
      </c>
      <c r="AC21" s="16" t="s">
        <v>200</v>
      </c>
      <c r="AD21" s="12" t="s">
        <v>201</v>
      </c>
      <c r="AE21" s="12" t="s">
        <v>202</v>
      </c>
      <c r="AF21" s="12" t="s">
        <v>246</v>
      </c>
      <c r="AG21" s="12" t="s">
        <v>115</v>
      </c>
      <c r="AH21" s="12" t="s">
        <v>116</v>
      </c>
      <c r="AI21" s="12" t="s">
        <v>117</v>
      </c>
      <c r="AJ21" s="12" t="s">
        <v>250</v>
      </c>
      <c r="AK21" s="12" t="s">
        <v>4</v>
      </c>
    </row>
    <row r="22" customFormat="false" ht="15" hidden="false" customHeight="false" outlineLevel="0" collapsed="false">
      <c r="A22" s="11" t="n">
        <v>21</v>
      </c>
      <c r="B22" s="12" t="s">
        <v>251</v>
      </c>
      <c r="C22" s="12" t="s">
        <v>91</v>
      </c>
      <c r="D22" s="12" t="s">
        <v>92</v>
      </c>
      <c r="E22" s="12" t="s">
        <v>93</v>
      </c>
      <c r="F22" s="12" t="s">
        <v>252</v>
      </c>
      <c r="G22" s="12" t="s">
        <v>95</v>
      </c>
      <c r="H22" s="12" t="s">
        <v>253</v>
      </c>
      <c r="I22" s="12" t="s">
        <v>254</v>
      </c>
      <c r="J22" s="13" t="s">
        <v>255</v>
      </c>
      <c r="K22" s="12"/>
      <c r="L22" s="12" t="s">
        <v>256</v>
      </c>
      <c r="M22" s="12" t="s">
        <v>257</v>
      </c>
      <c r="N22" s="12" t="s">
        <v>101</v>
      </c>
      <c r="O22" s="12" t="s">
        <v>102</v>
      </c>
      <c r="P22" s="12" t="s">
        <v>155</v>
      </c>
      <c r="Q22" s="12" t="s">
        <v>258</v>
      </c>
      <c r="R22" s="14" t="n">
        <v>851.7</v>
      </c>
      <c r="S22" s="14" t="s">
        <v>105</v>
      </c>
      <c r="T22" s="14" t="s">
        <v>106</v>
      </c>
      <c r="U22" s="14" t="n">
        <v>2027</v>
      </c>
      <c r="V22" s="12" t="s">
        <v>107</v>
      </c>
      <c r="W22" s="14"/>
      <c r="X22" s="15" t="n">
        <f aca="false">IF(OR($S22="%",$R22=""),"",$R22*INDEX(Cambi!$J$2:$J$5,MATCH($S22,Cambi!$I$2:$I$5,0))/IF($T22="EUR",1,INDEX(Cambi!$D:$D,MATCH($T22&amp;"|"&amp;$U22,Cambi!$C:$C,0))))</f>
        <v>851.7</v>
      </c>
      <c r="Y22" s="12" t="s">
        <v>130</v>
      </c>
      <c r="Z22" s="12" t="s">
        <v>109</v>
      </c>
      <c r="AA22" s="12" t="s">
        <v>109</v>
      </c>
      <c r="AB22" s="16" t="s">
        <v>110</v>
      </c>
      <c r="AC22" s="16" t="s">
        <v>111</v>
      </c>
      <c r="AD22" s="12" t="s">
        <v>112</v>
      </c>
      <c r="AE22" s="12" t="s">
        <v>259</v>
      </c>
      <c r="AF22" s="12" t="s">
        <v>260</v>
      </c>
      <c r="AG22" s="12" t="s">
        <v>115</v>
      </c>
      <c r="AH22" s="12" t="s">
        <v>116</v>
      </c>
      <c r="AI22" s="12" t="s">
        <v>117</v>
      </c>
      <c r="AJ22" s="12" t="s">
        <v>261</v>
      </c>
      <c r="AK22" s="12" t="s">
        <v>4</v>
      </c>
    </row>
    <row r="23" customFormat="false" ht="15" hidden="false" customHeight="false" outlineLevel="0" collapsed="false">
      <c r="A23" s="11" t="n">
        <v>22</v>
      </c>
      <c r="B23" s="12" t="s">
        <v>251</v>
      </c>
      <c r="C23" s="12" t="s">
        <v>91</v>
      </c>
      <c r="D23" s="12" t="s">
        <v>92</v>
      </c>
      <c r="E23" s="12" t="s">
        <v>93</v>
      </c>
      <c r="F23" s="12" t="s">
        <v>252</v>
      </c>
      <c r="G23" s="12" t="s">
        <v>95</v>
      </c>
      <c r="H23" s="12" t="s">
        <v>253</v>
      </c>
      <c r="I23" s="12" t="s">
        <v>254</v>
      </c>
      <c r="J23" s="13" t="s">
        <v>255</v>
      </c>
      <c r="K23" s="12"/>
      <c r="L23" s="12" t="s">
        <v>256</v>
      </c>
      <c r="M23" s="12" t="s">
        <v>262</v>
      </c>
      <c r="N23" s="12" t="s">
        <v>101</v>
      </c>
      <c r="O23" s="12" t="s">
        <v>102</v>
      </c>
      <c r="P23" s="12" t="s">
        <v>155</v>
      </c>
      <c r="Q23" s="12" t="s">
        <v>263</v>
      </c>
      <c r="R23" s="14" t="n">
        <v>151.1</v>
      </c>
      <c r="S23" s="14" t="s">
        <v>105</v>
      </c>
      <c r="T23" s="14" t="s">
        <v>106</v>
      </c>
      <c r="U23" s="14" t="n">
        <v>2027</v>
      </c>
      <c r="V23" s="12" t="s">
        <v>107</v>
      </c>
      <c r="W23" s="14"/>
      <c r="X23" s="15" t="n">
        <f aca="false">IF(OR($S23="%",$R23=""),"",$R23*INDEX(Cambi!$J$2:$J$5,MATCH($S23,Cambi!$I$2:$I$5,0))/IF($T23="EUR",1,INDEX(Cambi!$D:$D,MATCH($T23&amp;"|"&amp;$U23,Cambi!$C:$C,0))))</f>
        <v>151.1</v>
      </c>
      <c r="Y23" s="12" t="s">
        <v>130</v>
      </c>
      <c r="Z23" s="12" t="s">
        <v>109</v>
      </c>
      <c r="AA23" s="12" t="s">
        <v>109</v>
      </c>
      <c r="AB23" s="16" t="s">
        <v>110</v>
      </c>
      <c r="AC23" s="16" t="s">
        <v>111</v>
      </c>
      <c r="AD23" s="12" t="s">
        <v>112</v>
      </c>
      <c r="AE23" s="12" t="s">
        <v>259</v>
      </c>
      <c r="AF23" s="12" t="s">
        <v>260</v>
      </c>
      <c r="AG23" s="12" t="s">
        <v>115</v>
      </c>
      <c r="AH23" s="12" t="s">
        <v>116</v>
      </c>
      <c r="AI23" s="12" t="s">
        <v>117</v>
      </c>
      <c r="AJ23" s="12" t="s">
        <v>261</v>
      </c>
      <c r="AK23" s="12" t="s">
        <v>4</v>
      </c>
    </row>
    <row r="24" customFormat="false" ht="15" hidden="false" customHeight="false" outlineLevel="0" collapsed="false">
      <c r="A24" s="11" t="n">
        <v>23</v>
      </c>
      <c r="B24" s="12" t="s">
        <v>251</v>
      </c>
      <c r="C24" s="12" t="s">
        <v>91</v>
      </c>
      <c r="D24" s="12" t="s">
        <v>92</v>
      </c>
      <c r="E24" s="12" t="s">
        <v>93</v>
      </c>
      <c r="F24" s="12" t="s">
        <v>252</v>
      </c>
      <c r="G24" s="12" t="s">
        <v>95</v>
      </c>
      <c r="H24" s="12" t="s">
        <v>253</v>
      </c>
      <c r="I24" s="12" t="s">
        <v>254</v>
      </c>
      <c r="J24" s="13" t="s">
        <v>255</v>
      </c>
      <c r="K24" s="12"/>
      <c r="L24" s="12" t="s">
        <v>256</v>
      </c>
      <c r="M24" s="12" t="s">
        <v>264</v>
      </c>
      <c r="N24" s="12" t="s">
        <v>101</v>
      </c>
      <c r="O24" s="12" t="s">
        <v>102</v>
      </c>
      <c r="P24" s="12" t="s">
        <v>155</v>
      </c>
      <c r="Q24" s="12" t="s">
        <v>265</v>
      </c>
      <c r="R24" s="14" t="n">
        <v>65.8</v>
      </c>
      <c r="S24" s="14" t="s">
        <v>105</v>
      </c>
      <c r="T24" s="14" t="s">
        <v>106</v>
      </c>
      <c r="U24" s="14" t="n">
        <v>2027</v>
      </c>
      <c r="V24" s="12" t="s">
        <v>107</v>
      </c>
      <c r="W24" s="14"/>
      <c r="X24" s="15" t="n">
        <f aca="false">IF(OR($S24="%",$R24=""),"",$R24*INDEX(Cambi!$J$2:$J$5,MATCH($S24,Cambi!$I$2:$I$5,0))/IF($T24="EUR",1,INDEX(Cambi!$D:$D,MATCH($T24&amp;"|"&amp;$U24,Cambi!$C:$C,0))))</f>
        <v>65.8</v>
      </c>
      <c r="Y24" s="12" t="s">
        <v>130</v>
      </c>
      <c r="Z24" s="12" t="s">
        <v>109</v>
      </c>
      <c r="AA24" s="12" t="s">
        <v>109</v>
      </c>
      <c r="AB24" s="16" t="s">
        <v>110</v>
      </c>
      <c r="AC24" s="16" t="s">
        <v>111</v>
      </c>
      <c r="AD24" s="12" t="s">
        <v>112</v>
      </c>
      <c r="AE24" s="12" t="s">
        <v>259</v>
      </c>
      <c r="AF24" s="12" t="s">
        <v>260</v>
      </c>
      <c r="AG24" s="12" t="s">
        <v>115</v>
      </c>
      <c r="AH24" s="12" t="s">
        <v>116</v>
      </c>
      <c r="AI24" s="12" t="s">
        <v>117</v>
      </c>
      <c r="AJ24" s="12" t="s">
        <v>266</v>
      </c>
      <c r="AK24" s="12" t="s">
        <v>4</v>
      </c>
    </row>
    <row r="25" customFormat="false" ht="15" hidden="false" customHeight="false" outlineLevel="0" collapsed="false">
      <c r="A25" s="11" t="n">
        <v>24</v>
      </c>
      <c r="B25" s="12" t="s">
        <v>251</v>
      </c>
      <c r="C25" s="12" t="s">
        <v>91</v>
      </c>
      <c r="D25" s="12" t="s">
        <v>92</v>
      </c>
      <c r="E25" s="12" t="s">
        <v>93</v>
      </c>
      <c r="F25" s="12" t="s">
        <v>252</v>
      </c>
      <c r="G25" s="12" t="s">
        <v>95</v>
      </c>
      <c r="H25" s="12" t="s">
        <v>253</v>
      </c>
      <c r="I25" s="12" t="s">
        <v>254</v>
      </c>
      <c r="J25" s="13" t="s">
        <v>255</v>
      </c>
      <c r="K25" s="12"/>
      <c r="L25" s="12" t="s">
        <v>267</v>
      </c>
      <c r="M25" s="12" t="s">
        <v>268</v>
      </c>
      <c r="N25" s="12" t="s">
        <v>101</v>
      </c>
      <c r="O25" s="12" t="s">
        <v>102</v>
      </c>
      <c r="P25" s="12" t="s">
        <v>103</v>
      </c>
      <c r="Q25" s="12" t="s">
        <v>104</v>
      </c>
      <c r="R25" s="14" t="n">
        <v>1149</v>
      </c>
      <c r="S25" s="14" t="s">
        <v>105</v>
      </c>
      <c r="T25" s="14" t="s">
        <v>106</v>
      </c>
      <c r="U25" s="14" t="n">
        <v>2027</v>
      </c>
      <c r="V25" s="12" t="s">
        <v>107</v>
      </c>
      <c r="W25" s="14"/>
      <c r="X25" s="15" t="n">
        <f aca="false">IF(OR($S25="%",$R25=""),"",$R25*INDEX(Cambi!$J$2:$J$5,MATCH($S25,Cambi!$I$2:$I$5,0))/IF($T25="EUR",1,INDEX(Cambi!$D:$D,MATCH($T25&amp;"|"&amp;$U25,Cambi!$C:$C,0))))</f>
        <v>1149</v>
      </c>
      <c r="Y25" s="12" t="s">
        <v>130</v>
      </c>
      <c r="Z25" s="12" t="s">
        <v>109</v>
      </c>
      <c r="AA25" s="12" t="s">
        <v>109</v>
      </c>
      <c r="AB25" s="16" t="s">
        <v>110</v>
      </c>
      <c r="AC25" s="16" t="s">
        <v>111</v>
      </c>
      <c r="AD25" s="12" t="s">
        <v>112</v>
      </c>
      <c r="AE25" s="12" t="s">
        <v>259</v>
      </c>
      <c r="AF25" s="12" t="s">
        <v>269</v>
      </c>
      <c r="AG25" s="12" t="s">
        <v>115</v>
      </c>
      <c r="AH25" s="12" t="s">
        <v>116</v>
      </c>
      <c r="AI25" s="12" t="s">
        <v>117</v>
      </c>
      <c r="AJ25" s="12" t="s">
        <v>270</v>
      </c>
      <c r="AK25" s="12" t="s">
        <v>4</v>
      </c>
    </row>
    <row r="26" customFormat="false" ht="15" hidden="false" customHeight="false" outlineLevel="0" collapsed="false">
      <c r="A26" s="11" t="n">
        <v>25</v>
      </c>
      <c r="B26" s="12" t="s">
        <v>271</v>
      </c>
      <c r="C26" s="12" t="s">
        <v>91</v>
      </c>
      <c r="D26" s="12" t="s">
        <v>92</v>
      </c>
      <c r="E26" s="12" t="s">
        <v>93</v>
      </c>
      <c r="F26" s="12" t="s">
        <v>272</v>
      </c>
      <c r="G26" s="12" t="s">
        <v>95</v>
      </c>
      <c r="H26" s="12" t="s">
        <v>273</v>
      </c>
      <c r="I26" s="12" t="s">
        <v>274</v>
      </c>
      <c r="J26" s="13" t="s">
        <v>275</v>
      </c>
      <c r="K26" s="12" t="s">
        <v>276</v>
      </c>
      <c r="L26" s="12" t="s">
        <v>277</v>
      </c>
      <c r="M26" s="12" t="s">
        <v>278</v>
      </c>
      <c r="N26" s="12" t="s">
        <v>101</v>
      </c>
      <c r="O26" s="12" t="s">
        <v>102</v>
      </c>
      <c r="P26" s="12" t="s">
        <v>103</v>
      </c>
      <c r="Q26" s="12" t="s">
        <v>104</v>
      </c>
      <c r="R26" s="14" t="n">
        <v>200</v>
      </c>
      <c r="S26" s="14" t="s">
        <v>105</v>
      </c>
      <c r="T26" s="14" t="s">
        <v>106</v>
      </c>
      <c r="U26" s="14" t="n">
        <v>2020</v>
      </c>
      <c r="V26" s="12" t="s">
        <v>157</v>
      </c>
      <c r="W26" s="14"/>
      <c r="X26" s="15" t="n">
        <f aca="false">IF(OR($S26="%",$R26=""),"",$R26*INDEX(Cambi!$J$2:$J$5,MATCH($S26,Cambi!$I$2:$I$5,0))/IF($T26="EUR",1,INDEX(Cambi!$D:$D,MATCH($T26&amp;"|"&amp;$U26,Cambi!$C:$C,0))))</f>
        <v>200</v>
      </c>
      <c r="Y26" s="12" t="s">
        <v>108</v>
      </c>
      <c r="Z26" s="12" t="s">
        <v>109</v>
      </c>
      <c r="AA26" s="12" t="s">
        <v>279</v>
      </c>
      <c r="AB26" s="16" t="s">
        <v>110</v>
      </c>
      <c r="AC26" s="16" t="s">
        <v>280</v>
      </c>
      <c r="AD26" s="12" t="s">
        <v>281</v>
      </c>
      <c r="AE26" s="12" t="s">
        <v>282</v>
      </c>
      <c r="AF26" s="12" t="s">
        <v>283</v>
      </c>
      <c r="AG26" s="12" t="s">
        <v>284</v>
      </c>
      <c r="AH26" s="12" t="s">
        <v>116</v>
      </c>
      <c r="AI26" s="12" t="s">
        <v>285</v>
      </c>
      <c r="AJ26" s="12" t="s">
        <v>286</v>
      </c>
      <c r="AK26" s="12" t="s">
        <v>4</v>
      </c>
    </row>
    <row r="27" customFormat="false" ht="15" hidden="false" customHeight="false" outlineLevel="0" collapsed="false">
      <c r="A27" s="11" t="n">
        <v>26</v>
      </c>
      <c r="B27" s="12" t="s">
        <v>271</v>
      </c>
      <c r="C27" s="12" t="s">
        <v>91</v>
      </c>
      <c r="D27" s="12" t="s">
        <v>92</v>
      </c>
      <c r="E27" s="12" t="s">
        <v>93</v>
      </c>
      <c r="F27" s="12" t="s">
        <v>272</v>
      </c>
      <c r="G27" s="12" t="s">
        <v>95</v>
      </c>
      <c r="H27" s="12" t="s">
        <v>273</v>
      </c>
      <c r="I27" s="12" t="s">
        <v>274</v>
      </c>
      <c r="J27" s="13" t="s">
        <v>275</v>
      </c>
      <c r="K27" s="12" t="s">
        <v>276</v>
      </c>
      <c r="L27" s="12" t="s">
        <v>287</v>
      </c>
      <c r="M27" s="12" t="s">
        <v>288</v>
      </c>
      <c r="N27" s="12" t="s">
        <v>101</v>
      </c>
      <c r="O27" s="12" t="s">
        <v>102</v>
      </c>
      <c r="P27" s="12" t="s">
        <v>103</v>
      </c>
      <c r="Q27" s="12" t="s">
        <v>104</v>
      </c>
      <c r="R27" s="14" t="n">
        <v>600</v>
      </c>
      <c r="S27" s="14" t="s">
        <v>105</v>
      </c>
      <c r="T27" s="14" t="s">
        <v>106</v>
      </c>
      <c r="U27" s="14" t="n">
        <v>2020</v>
      </c>
      <c r="V27" s="12" t="s">
        <v>157</v>
      </c>
      <c r="W27" s="14"/>
      <c r="X27" s="15" t="n">
        <f aca="false">IF(OR($S27="%",$R27=""),"",$R27*INDEX(Cambi!$J$2:$J$5,MATCH($S27,Cambi!$I$2:$I$5,0))/IF($T27="EUR",1,INDEX(Cambi!$D:$D,MATCH($T27&amp;"|"&amp;$U27,Cambi!$C:$C,0))))</f>
        <v>600</v>
      </c>
      <c r="Y27" s="12" t="s">
        <v>108</v>
      </c>
      <c r="Z27" s="12" t="s">
        <v>109</v>
      </c>
      <c r="AA27" s="12" t="s">
        <v>279</v>
      </c>
      <c r="AB27" s="16" t="s">
        <v>110</v>
      </c>
      <c r="AC27" s="16" t="s">
        <v>280</v>
      </c>
      <c r="AD27" s="12" t="s">
        <v>281</v>
      </c>
      <c r="AE27" s="12" t="s">
        <v>282</v>
      </c>
      <c r="AF27" s="12" t="s">
        <v>289</v>
      </c>
      <c r="AG27" s="12" t="s">
        <v>284</v>
      </c>
      <c r="AH27" s="12" t="s">
        <v>116</v>
      </c>
      <c r="AI27" s="12" t="s">
        <v>285</v>
      </c>
      <c r="AJ27" s="12" t="s">
        <v>290</v>
      </c>
      <c r="AK27" s="12" t="s">
        <v>4</v>
      </c>
    </row>
    <row r="28" customFormat="false" ht="15" hidden="false" customHeight="false" outlineLevel="0" collapsed="false">
      <c r="A28" s="11" t="n">
        <v>27</v>
      </c>
      <c r="B28" s="12" t="s">
        <v>291</v>
      </c>
      <c r="C28" s="12" t="s">
        <v>91</v>
      </c>
      <c r="D28" s="12" t="s">
        <v>92</v>
      </c>
      <c r="E28" s="12" t="s">
        <v>93</v>
      </c>
      <c r="F28" s="12" t="s">
        <v>292</v>
      </c>
      <c r="G28" s="12" t="s">
        <v>95</v>
      </c>
      <c r="H28" s="12" t="s">
        <v>293</v>
      </c>
      <c r="I28" s="12" t="s">
        <v>294</v>
      </c>
      <c r="J28" s="13" t="s">
        <v>295</v>
      </c>
      <c r="K28" s="12"/>
      <c r="L28" s="12" t="s">
        <v>296</v>
      </c>
      <c r="M28" s="12" t="s">
        <v>297</v>
      </c>
      <c r="N28" s="12" t="s">
        <v>101</v>
      </c>
      <c r="O28" s="12" t="s">
        <v>102</v>
      </c>
      <c r="P28" s="12" t="s">
        <v>103</v>
      </c>
      <c r="Q28" s="12" t="s">
        <v>104</v>
      </c>
      <c r="R28" s="14" t="n">
        <v>158</v>
      </c>
      <c r="S28" s="14" t="s">
        <v>105</v>
      </c>
      <c r="T28" s="14" t="s">
        <v>106</v>
      </c>
      <c r="U28" s="14" t="n">
        <v>2025</v>
      </c>
      <c r="V28" s="12" t="s">
        <v>107</v>
      </c>
      <c r="W28" s="14"/>
      <c r="X28" s="15" t="n">
        <f aca="false">IF(OR($S28="%",$R28=""),"",$R28*INDEX(Cambi!$J$2:$J$5,MATCH($S28,Cambi!$I$2:$I$5,0))/IF($T28="EUR",1,INDEX(Cambi!$D:$D,MATCH($T28&amp;"|"&amp;$U28,Cambi!$C:$C,0))))</f>
        <v>158</v>
      </c>
      <c r="Y28" s="12" t="s">
        <v>130</v>
      </c>
      <c r="Z28" s="12" t="s">
        <v>109</v>
      </c>
      <c r="AA28" s="12" t="s">
        <v>109</v>
      </c>
      <c r="AB28" s="16" t="s">
        <v>110</v>
      </c>
      <c r="AC28" s="16" t="s">
        <v>111</v>
      </c>
      <c r="AD28" s="12" t="s">
        <v>112</v>
      </c>
      <c r="AE28" s="12" t="s">
        <v>113</v>
      </c>
      <c r="AF28" s="12" t="s">
        <v>298</v>
      </c>
      <c r="AG28" s="12" t="s">
        <v>115</v>
      </c>
      <c r="AH28" s="12" t="s">
        <v>116</v>
      </c>
      <c r="AI28" s="12" t="s">
        <v>117</v>
      </c>
      <c r="AJ28" s="12" t="s">
        <v>299</v>
      </c>
      <c r="AK28" s="12" t="s">
        <v>4</v>
      </c>
    </row>
    <row r="29" customFormat="false" ht="15" hidden="false" customHeight="false" outlineLevel="0" collapsed="false">
      <c r="A29" s="11" t="n">
        <v>28</v>
      </c>
      <c r="B29" s="12" t="s">
        <v>291</v>
      </c>
      <c r="C29" s="12" t="s">
        <v>91</v>
      </c>
      <c r="D29" s="12" t="s">
        <v>92</v>
      </c>
      <c r="E29" s="12" t="s">
        <v>93</v>
      </c>
      <c r="F29" s="12" t="s">
        <v>292</v>
      </c>
      <c r="G29" s="12" t="s">
        <v>95</v>
      </c>
      <c r="H29" s="12" t="s">
        <v>293</v>
      </c>
      <c r="I29" s="12" t="s">
        <v>294</v>
      </c>
      <c r="J29" s="13" t="s">
        <v>295</v>
      </c>
      <c r="K29" s="12"/>
      <c r="L29" s="12" t="s">
        <v>296</v>
      </c>
      <c r="M29" s="12" t="s">
        <v>300</v>
      </c>
      <c r="N29" s="12" t="s">
        <v>101</v>
      </c>
      <c r="O29" s="12" t="s">
        <v>102</v>
      </c>
      <c r="P29" s="12" t="s">
        <v>103</v>
      </c>
      <c r="Q29" s="12" t="s">
        <v>104</v>
      </c>
      <c r="R29" s="14" t="n">
        <v>118</v>
      </c>
      <c r="S29" s="14" t="s">
        <v>105</v>
      </c>
      <c r="T29" s="14" t="s">
        <v>106</v>
      </c>
      <c r="U29" s="14" t="n">
        <v>2026</v>
      </c>
      <c r="V29" s="12" t="s">
        <v>107</v>
      </c>
      <c r="W29" s="14"/>
      <c r="X29" s="15" t="n">
        <f aca="false">IF(OR($S29="%",$R29=""),"",$R29*INDEX(Cambi!$J$2:$J$5,MATCH($S29,Cambi!$I$2:$I$5,0))/IF($T29="EUR",1,INDEX(Cambi!$D:$D,MATCH($T29&amp;"|"&amp;$U29,Cambi!$C:$C,0))))</f>
        <v>118</v>
      </c>
      <c r="Y29" s="12" t="s">
        <v>130</v>
      </c>
      <c r="Z29" s="12" t="s">
        <v>109</v>
      </c>
      <c r="AA29" s="12" t="s">
        <v>109</v>
      </c>
      <c r="AB29" s="16" t="s">
        <v>110</v>
      </c>
      <c r="AC29" s="16" t="s">
        <v>111</v>
      </c>
      <c r="AD29" s="12" t="s">
        <v>112</v>
      </c>
      <c r="AE29" s="12" t="s">
        <v>113</v>
      </c>
      <c r="AF29" s="12" t="s">
        <v>298</v>
      </c>
      <c r="AG29" s="12" t="s">
        <v>115</v>
      </c>
      <c r="AH29" s="12" t="s">
        <v>116</v>
      </c>
      <c r="AI29" s="12" t="s">
        <v>117</v>
      </c>
      <c r="AJ29" s="12" t="s">
        <v>301</v>
      </c>
      <c r="AK29" s="12" t="s">
        <v>4</v>
      </c>
    </row>
    <row r="30" customFormat="false" ht="15" hidden="false" customHeight="false" outlineLevel="0" collapsed="false">
      <c r="A30" s="11" t="n">
        <v>29</v>
      </c>
      <c r="B30" s="12" t="s">
        <v>291</v>
      </c>
      <c r="C30" s="12" t="s">
        <v>91</v>
      </c>
      <c r="D30" s="12" t="s">
        <v>92</v>
      </c>
      <c r="E30" s="12" t="s">
        <v>93</v>
      </c>
      <c r="F30" s="12" t="s">
        <v>292</v>
      </c>
      <c r="G30" s="12" t="s">
        <v>95</v>
      </c>
      <c r="H30" s="12" t="s">
        <v>293</v>
      </c>
      <c r="I30" s="12" t="s">
        <v>294</v>
      </c>
      <c r="J30" s="13" t="s">
        <v>295</v>
      </c>
      <c r="K30" s="12"/>
      <c r="L30" s="12" t="s">
        <v>302</v>
      </c>
      <c r="M30" s="12" t="s">
        <v>303</v>
      </c>
      <c r="N30" s="12" t="s">
        <v>101</v>
      </c>
      <c r="O30" s="12" t="s">
        <v>102</v>
      </c>
      <c r="P30" s="12" t="s">
        <v>103</v>
      </c>
      <c r="Q30" s="12" t="s">
        <v>104</v>
      </c>
      <c r="R30" s="14" t="n">
        <v>390</v>
      </c>
      <c r="S30" s="14" t="s">
        <v>105</v>
      </c>
      <c r="T30" s="14" t="s">
        <v>106</v>
      </c>
      <c r="U30" s="14" t="n">
        <v>2027</v>
      </c>
      <c r="V30" s="12" t="s">
        <v>107</v>
      </c>
      <c r="W30" s="14"/>
      <c r="X30" s="15" t="n">
        <f aca="false">IF(OR($S30="%",$R30=""),"",$R30*INDEX(Cambi!$J$2:$J$5,MATCH($S30,Cambi!$I$2:$I$5,0))/IF($T30="EUR",1,INDEX(Cambi!$D:$D,MATCH($T30&amp;"|"&amp;$U30,Cambi!$C:$C,0))))</f>
        <v>390</v>
      </c>
      <c r="Y30" s="12" t="s">
        <v>130</v>
      </c>
      <c r="Z30" s="12" t="s">
        <v>109</v>
      </c>
      <c r="AA30" s="12" t="s">
        <v>109</v>
      </c>
      <c r="AB30" s="16" t="s">
        <v>110</v>
      </c>
      <c r="AC30" s="16" t="s">
        <v>111</v>
      </c>
      <c r="AD30" s="12" t="s">
        <v>112</v>
      </c>
      <c r="AE30" s="12" t="s">
        <v>113</v>
      </c>
      <c r="AF30" s="12" t="s">
        <v>304</v>
      </c>
      <c r="AG30" s="12" t="s">
        <v>115</v>
      </c>
      <c r="AH30" s="12" t="s">
        <v>116</v>
      </c>
      <c r="AI30" s="12" t="s">
        <v>117</v>
      </c>
      <c r="AJ30" s="12" t="s">
        <v>305</v>
      </c>
      <c r="AK30" s="12" t="s">
        <v>4</v>
      </c>
    </row>
    <row r="31" customFormat="false" ht="15" hidden="false" customHeight="false" outlineLevel="0" collapsed="false">
      <c r="A31" s="11" t="n">
        <v>30</v>
      </c>
      <c r="B31" s="12" t="s">
        <v>291</v>
      </c>
      <c r="C31" s="12" t="s">
        <v>91</v>
      </c>
      <c r="D31" s="12" t="s">
        <v>92</v>
      </c>
      <c r="E31" s="12" t="s">
        <v>93</v>
      </c>
      <c r="F31" s="12" t="s">
        <v>292</v>
      </c>
      <c r="G31" s="12" t="s">
        <v>95</v>
      </c>
      <c r="H31" s="12" t="s">
        <v>293</v>
      </c>
      <c r="I31" s="12" t="s">
        <v>294</v>
      </c>
      <c r="J31" s="13" t="s">
        <v>295</v>
      </c>
      <c r="K31" s="12"/>
      <c r="L31" s="12" t="s">
        <v>296</v>
      </c>
      <c r="M31" s="12" t="s">
        <v>306</v>
      </c>
      <c r="N31" s="12" t="s">
        <v>101</v>
      </c>
      <c r="O31" s="12" t="s">
        <v>102</v>
      </c>
      <c r="P31" s="12" t="s">
        <v>103</v>
      </c>
      <c r="Q31" s="12" t="s">
        <v>104</v>
      </c>
      <c r="R31" s="14" t="n">
        <v>114</v>
      </c>
      <c r="S31" s="14" t="s">
        <v>105</v>
      </c>
      <c r="T31" s="14" t="s">
        <v>106</v>
      </c>
      <c r="U31" s="14" t="n">
        <v>2027</v>
      </c>
      <c r="V31" s="12" t="s">
        <v>107</v>
      </c>
      <c r="W31" s="14"/>
      <c r="X31" s="15" t="n">
        <f aca="false">IF(OR($S31="%",$R31=""),"",$R31*INDEX(Cambi!$J$2:$J$5,MATCH($S31,Cambi!$I$2:$I$5,0))/IF($T31="EUR",1,INDEX(Cambi!$D:$D,MATCH($T31&amp;"|"&amp;$U31,Cambi!$C:$C,0))))</f>
        <v>114</v>
      </c>
      <c r="Y31" s="12" t="s">
        <v>130</v>
      </c>
      <c r="Z31" s="12" t="s">
        <v>109</v>
      </c>
      <c r="AA31" s="12" t="s">
        <v>109</v>
      </c>
      <c r="AB31" s="16" t="s">
        <v>110</v>
      </c>
      <c r="AC31" s="16" t="s">
        <v>111</v>
      </c>
      <c r="AD31" s="12" t="s">
        <v>112</v>
      </c>
      <c r="AE31" s="12" t="s">
        <v>113</v>
      </c>
      <c r="AF31" s="12" t="s">
        <v>298</v>
      </c>
      <c r="AG31" s="12" t="s">
        <v>115</v>
      </c>
      <c r="AH31" s="12" t="s">
        <v>116</v>
      </c>
      <c r="AI31" s="12" t="s">
        <v>117</v>
      </c>
      <c r="AJ31" s="12" t="s">
        <v>307</v>
      </c>
      <c r="AK31" s="12" t="s">
        <v>4</v>
      </c>
    </row>
    <row r="32" customFormat="false" ht="15" hidden="false" customHeight="false" outlineLevel="0" collapsed="false">
      <c r="A32" s="11" t="n">
        <v>31</v>
      </c>
      <c r="B32" s="12" t="s">
        <v>308</v>
      </c>
      <c r="C32" s="12" t="s">
        <v>91</v>
      </c>
      <c r="D32" s="12" t="s">
        <v>92</v>
      </c>
      <c r="E32" s="12" t="s">
        <v>93</v>
      </c>
      <c r="F32" s="12" t="s">
        <v>292</v>
      </c>
      <c r="G32" s="12" t="s">
        <v>95</v>
      </c>
      <c r="H32" s="12" t="s">
        <v>309</v>
      </c>
      <c r="I32" s="12" t="s">
        <v>181</v>
      </c>
      <c r="J32" s="13" t="s">
        <v>310</v>
      </c>
      <c r="K32" s="12"/>
      <c r="L32" s="12" t="s">
        <v>311</v>
      </c>
      <c r="M32" s="12" t="s">
        <v>312</v>
      </c>
      <c r="N32" s="12" t="s">
        <v>101</v>
      </c>
      <c r="O32" s="12" t="s">
        <v>102</v>
      </c>
      <c r="P32" s="12" t="s">
        <v>103</v>
      </c>
      <c r="Q32" s="12" t="s">
        <v>104</v>
      </c>
      <c r="R32" s="14" t="n">
        <v>355</v>
      </c>
      <c r="S32" s="14" t="s">
        <v>105</v>
      </c>
      <c r="T32" s="14" t="s">
        <v>106</v>
      </c>
      <c r="U32" s="14" t="n">
        <v>2027</v>
      </c>
      <c r="V32" s="12" t="s">
        <v>107</v>
      </c>
      <c r="W32" s="14"/>
      <c r="X32" s="15" t="n">
        <f aca="false">IF(OR($S32="%",$R32=""),"",$R32*INDEX(Cambi!$J$2:$J$5,MATCH($S32,Cambi!$I$2:$I$5,0))/IF($T32="EUR",1,INDEX(Cambi!$D:$D,MATCH($T32&amp;"|"&amp;$U32,Cambi!$C:$C,0))))</f>
        <v>355</v>
      </c>
      <c r="Y32" s="12" t="s">
        <v>130</v>
      </c>
      <c r="Z32" s="12" t="s">
        <v>109</v>
      </c>
      <c r="AA32" s="12" t="s">
        <v>109</v>
      </c>
      <c r="AB32" s="16" t="s">
        <v>110</v>
      </c>
      <c r="AC32" s="16" t="s">
        <v>111</v>
      </c>
      <c r="AD32" s="12" t="s">
        <v>112</v>
      </c>
      <c r="AE32" s="12" t="s">
        <v>113</v>
      </c>
      <c r="AF32" s="12" t="s">
        <v>313</v>
      </c>
      <c r="AG32" s="12" t="s">
        <v>115</v>
      </c>
      <c r="AH32" s="12" t="s">
        <v>116</v>
      </c>
      <c r="AI32" s="12" t="s">
        <v>117</v>
      </c>
      <c r="AJ32" s="12" t="s">
        <v>314</v>
      </c>
      <c r="AK32" s="12" t="s">
        <v>4</v>
      </c>
    </row>
    <row r="33" customFormat="false" ht="15" hidden="false" customHeight="false" outlineLevel="0" collapsed="false">
      <c r="A33" s="11" t="n">
        <v>32</v>
      </c>
      <c r="B33" s="12" t="s">
        <v>308</v>
      </c>
      <c r="C33" s="12" t="s">
        <v>91</v>
      </c>
      <c r="D33" s="12" t="s">
        <v>92</v>
      </c>
      <c r="E33" s="12" t="s">
        <v>93</v>
      </c>
      <c r="F33" s="12" t="s">
        <v>292</v>
      </c>
      <c r="G33" s="12" t="s">
        <v>95</v>
      </c>
      <c r="H33" s="12" t="s">
        <v>309</v>
      </c>
      <c r="I33" s="12" t="s">
        <v>181</v>
      </c>
      <c r="J33" s="13" t="s">
        <v>310</v>
      </c>
      <c r="K33" s="12"/>
      <c r="L33" s="12" t="s">
        <v>315</v>
      </c>
      <c r="M33" s="12" t="s">
        <v>316</v>
      </c>
      <c r="N33" s="12" t="s">
        <v>101</v>
      </c>
      <c r="O33" s="12" t="s">
        <v>102</v>
      </c>
      <c r="P33" s="12" t="s">
        <v>155</v>
      </c>
      <c r="Q33" s="12" t="s">
        <v>317</v>
      </c>
      <c r="R33" s="14" t="n">
        <v>97</v>
      </c>
      <c r="S33" s="14" t="s">
        <v>105</v>
      </c>
      <c r="T33" s="14" t="s">
        <v>106</v>
      </c>
      <c r="U33" s="14" t="n">
        <v>2027</v>
      </c>
      <c r="V33" s="12" t="s">
        <v>107</v>
      </c>
      <c r="W33" s="14"/>
      <c r="X33" s="15" t="n">
        <f aca="false">IF(OR($S33="%",$R33=""),"",$R33*INDEX(Cambi!$J$2:$J$5,MATCH($S33,Cambi!$I$2:$I$5,0))/IF($T33="EUR",1,INDEX(Cambi!$D:$D,MATCH($T33&amp;"|"&amp;$U33,Cambi!$C:$C,0))))</f>
        <v>97</v>
      </c>
      <c r="Y33" s="12" t="s">
        <v>130</v>
      </c>
      <c r="Z33" s="12" t="s">
        <v>109</v>
      </c>
      <c r="AA33" s="12" t="s">
        <v>109</v>
      </c>
      <c r="AB33" s="16" t="s">
        <v>110</v>
      </c>
      <c r="AC33" s="16" t="s">
        <v>111</v>
      </c>
      <c r="AD33" s="12" t="s">
        <v>112</v>
      </c>
      <c r="AE33" s="12" t="s">
        <v>113</v>
      </c>
      <c r="AF33" s="12" t="s">
        <v>318</v>
      </c>
      <c r="AG33" s="12" t="s">
        <v>115</v>
      </c>
      <c r="AH33" s="12" t="s">
        <v>116</v>
      </c>
      <c r="AI33" s="12" t="s">
        <v>117</v>
      </c>
      <c r="AJ33" s="12" t="s">
        <v>314</v>
      </c>
      <c r="AK33" s="12" t="s">
        <v>4</v>
      </c>
    </row>
    <row r="34" customFormat="false" ht="15" hidden="false" customHeight="false" outlineLevel="0" collapsed="false">
      <c r="A34" s="11" t="n">
        <v>33</v>
      </c>
      <c r="B34" s="12" t="s">
        <v>308</v>
      </c>
      <c r="C34" s="12" t="s">
        <v>91</v>
      </c>
      <c r="D34" s="12" t="s">
        <v>92</v>
      </c>
      <c r="E34" s="12" t="s">
        <v>93</v>
      </c>
      <c r="F34" s="12" t="s">
        <v>292</v>
      </c>
      <c r="G34" s="12" t="s">
        <v>95</v>
      </c>
      <c r="H34" s="12" t="s">
        <v>309</v>
      </c>
      <c r="I34" s="12" t="s">
        <v>181</v>
      </c>
      <c r="J34" s="13" t="s">
        <v>310</v>
      </c>
      <c r="K34" s="12"/>
      <c r="L34" s="12" t="s">
        <v>315</v>
      </c>
      <c r="M34" s="12" t="s">
        <v>319</v>
      </c>
      <c r="N34" s="12" t="s">
        <v>101</v>
      </c>
      <c r="O34" s="12" t="s">
        <v>102</v>
      </c>
      <c r="P34" s="12" t="s">
        <v>155</v>
      </c>
      <c r="Q34" s="12" t="s">
        <v>320</v>
      </c>
      <c r="R34" s="14" t="n">
        <v>139</v>
      </c>
      <c r="S34" s="14" t="s">
        <v>105</v>
      </c>
      <c r="T34" s="14" t="s">
        <v>106</v>
      </c>
      <c r="U34" s="14" t="n">
        <v>2027</v>
      </c>
      <c r="V34" s="12" t="s">
        <v>107</v>
      </c>
      <c r="W34" s="14"/>
      <c r="X34" s="15" t="n">
        <f aca="false">IF(OR($S34="%",$R34=""),"",$R34*INDEX(Cambi!$J$2:$J$5,MATCH($S34,Cambi!$I$2:$I$5,0))/IF($T34="EUR",1,INDEX(Cambi!$D:$D,MATCH($T34&amp;"|"&amp;$U34,Cambi!$C:$C,0))))</f>
        <v>139</v>
      </c>
      <c r="Y34" s="12" t="s">
        <v>130</v>
      </c>
      <c r="Z34" s="12" t="s">
        <v>109</v>
      </c>
      <c r="AA34" s="12" t="s">
        <v>109</v>
      </c>
      <c r="AB34" s="16" t="s">
        <v>110</v>
      </c>
      <c r="AC34" s="16" t="s">
        <v>111</v>
      </c>
      <c r="AD34" s="12" t="s">
        <v>112</v>
      </c>
      <c r="AE34" s="12" t="s">
        <v>113</v>
      </c>
      <c r="AF34" s="12" t="s">
        <v>321</v>
      </c>
      <c r="AG34" s="12" t="s">
        <v>115</v>
      </c>
      <c r="AH34" s="12" t="s">
        <v>116</v>
      </c>
      <c r="AI34" s="12" t="s">
        <v>117</v>
      </c>
      <c r="AJ34" s="12" t="s">
        <v>314</v>
      </c>
      <c r="AK34" s="12" t="s">
        <v>4</v>
      </c>
    </row>
    <row r="35" customFormat="false" ht="15" hidden="false" customHeight="false" outlineLevel="0" collapsed="false">
      <c r="A35" s="11" t="n">
        <v>34</v>
      </c>
      <c r="B35" s="12" t="s">
        <v>308</v>
      </c>
      <c r="C35" s="12" t="s">
        <v>91</v>
      </c>
      <c r="D35" s="12" t="s">
        <v>92</v>
      </c>
      <c r="E35" s="12" t="s">
        <v>93</v>
      </c>
      <c r="F35" s="12" t="s">
        <v>292</v>
      </c>
      <c r="G35" s="12" t="s">
        <v>95</v>
      </c>
      <c r="H35" s="12" t="s">
        <v>309</v>
      </c>
      <c r="I35" s="12" t="s">
        <v>181</v>
      </c>
      <c r="J35" s="13" t="s">
        <v>310</v>
      </c>
      <c r="K35" s="12"/>
      <c r="L35" s="12" t="s">
        <v>315</v>
      </c>
      <c r="M35" s="12" t="s">
        <v>322</v>
      </c>
      <c r="N35" s="12" t="s">
        <v>101</v>
      </c>
      <c r="O35" s="12" t="s">
        <v>102</v>
      </c>
      <c r="P35" s="12" t="s">
        <v>155</v>
      </c>
      <c r="Q35" s="12" t="s">
        <v>323</v>
      </c>
      <c r="R35" s="14" t="n">
        <v>9</v>
      </c>
      <c r="S35" s="14" t="s">
        <v>105</v>
      </c>
      <c r="T35" s="14" t="s">
        <v>106</v>
      </c>
      <c r="U35" s="14" t="n">
        <v>2027</v>
      </c>
      <c r="V35" s="12" t="s">
        <v>107</v>
      </c>
      <c r="W35" s="14"/>
      <c r="X35" s="15" t="n">
        <f aca="false">IF(OR($S35="%",$R35=""),"",$R35*INDEX(Cambi!$J$2:$J$5,MATCH($S35,Cambi!$I$2:$I$5,0))/IF($T35="EUR",1,INDEX(Cambi!$D:$D,MATCH($T35&amp;"|"&amp;$U35,Cambi!$C:$C,0))))</f>
        <v>9</v>
      </c>
      <c r="Y35" s="12" t="s">
        <v>130</v>
      </c>
      <c r="Z35" s="12" t="s">
        <v>109</v>
      </c>
      <c r="AA35" s="12" t="s">
        <v>109</v>
      </c>
      <c r="AB35" s="16" t="s">
        <v>110</v>
      </c>
      <c r="AC35" s="16" t="s">
        <v>111</v>
      </c>
      <c r="AD35" s="12" t="s">
        <v>112</v>
      </c>
      <c r="AE35" s="12" t="s">
        <v>113</v>
      </c>
      <c r="AF35" s="12" t="s">
        <v>324</v>
      </c>
      <c r="AG35" s="12" t="s">
        <v>115</v>
      </c>
      <c r="AH35" s="12" t="s">
        <v>116</v>
      </c>
      <c r="AI35" s="12" t="s">
        <v>117</v>
      </c>
      <c r="AJ35" s="12" t="s">
        <v>314</v>
      </c>
      <c r="AK35" s="12" t="s">
        <v>4</v>
      </c>
    </row>
    <row r="36" customFormat="false" ht="15" hidden="false" customHeight="false" outlineLevel="0" collapsed="false">
      <c r="A36" s="11" t="n">
        <v>35</v>
      </c>
      <c r="B36" s="12" t="s">
        <v>308</v>
      </c>
      <c r="C36" s="12" t="s">
        <v>91</v>
      </c>
      <c r="D36" s="12" t="s">
        <v>92</v>
      </c>
      <c r="E36" s="12" t="s">
        <v>93</v>
      </c>
      <c r="F36" s="12" t="s">
        <v>292</v>
      </c>
      <c r="G36" s="12" t="s">
        <v>95</v>
      </c>
      <c r="H36" s="12" t="s">
        <v>309</v>
      </c>
      <c r="I36" s="12" t="s">
        <v>181</v>
      </c>
      <c r="J36" s="13" t="s">
        <v>310</v>
      </c>
      <c r="K36" s="12"/>
      <c r="L36" s="12" t="s">
        <v>315</v>
      </c>
      <c r="M36" s="12" t="s">
        <v>325</v>
      </c>
      <c r="N36" s="12" t="s">
        <v>101</v>
      </c>
      <c r="O36" s="12" t="s">
        <v>102</v>
      </c>
      <c r="P36" s="12" t="s">
        <v>155</v>
      </c>
      <c r="Q36" s="12" t="s">
        <v>326</v>
      </c>
      <c r="R36" s="14" t="n">
        <v>110</v>
      </c>
      <c r="S36" s="14" t="s">
        <v>105</v>
      </c>
      <c r="T36" s="14" t="s">
        <v>106</v>
      </c>
      <c r="U36" s="14" t="n">
        <v>2027</v>
      </c>
      <c r="V36" s="12" t="s">
        <v>107</v>
      </c>
      <c r="W36" s="14"/>
      <c r="X36" s="15" t="n">
        <f aca="false">IF(OR($S36="%",$R36=""),"",$R36*INDEX(Cambi!$J$2:$J$5,MATCH($S36,Cambi!$I$2:$I$5,0))/IF($T36="EUR",1,INDEX(Cambi!$D:$D,MATCH($T36&amp;"|"&amp;$U36,Cambi!$C:$C,0))))</f>
        <v>110</v>
      </c>
      <c r="Y36" s="12" t="s">
        <v>130</v>
      </c>
      <c r="Z36" s="12" t="s">
        <v>109</v>
      </c>
      <c r="AA36" s="12" t="s">
        <v>109</v>
      </c>
      <c r="AB36" s="16" t="s">
        <v>110</v>
      </c>
      <c r="AC36" s="16" t="s">
        <v>111</v>
      </c>
      <c r="AD36" s="12" t="s">
        <v>112</v>
      </c>
      <c r="AE36" s="12" t="s">
        <v>113</v>
      </c>
      <c r="AF36" s="12" t="s">
        <v>327</v>
      </c>
      <c r="AG36" s="12" t="s">
        <v>115</v>
      </c>
      <c r="AH36" s="12" t="s">
        <v>116</v>
      </c>
      <c r="AI36" s="12" t="s">
        <v>117</v>
      </c>
      <c r="AJ36" s="12" t="s">
        <v>314</v>
      </c>
      <c r="AK36" s="12" t="s">
        <v>4</v>
      </c>
    </row>
    <row r="37" customFormat="false" ht="15" hidden="false" customHeight="false" outlineLevel="0" collapsed="false">
      <c r="A37" s="11" t="n">
        <v>36</v>
      </c>
      <c r="B37" s="12" t="s">
        <v>328</v>
      </c>
      <c r="C37" s="12" t="s">
        <v>91</v>
      </c>
      <c r="D37" s="12" t="s">
        <v>92</v>
      </c>
      <c r="E37" s="12" t="s">
        <v>93</v>
      </c>
      <c r="F37" s="12" t="s">
        <v>292</v>
      </c>
      <c r="G37" s="12" t="s">
        <v>95</v>
      </c>
      <c r="H37" s="12" t="s">
        <v>329</v>
      </c>
      <c r="I37" s="12" t="s">
        <v>330</v>
      </c>
      <c r="J37" s="13" t="s">
        <v>331</v>
      </c>
      <c r="K37" s="12"/>
      <c r="L37" s="12" t="s">
        <v>332</v>
      </c>
      <c r="M37" s="12" t="s">
        <v>333</v>
      </c>
      <c r="N37" s="12" t="s">
        <v>101</v>
      </c>
      <c r="O37" s="12" t="s">
        <v>102</v>
      </c>
      <c r="P37" s="12" t="s">
        <v>103</v>
      </c>
      <c r="Q37" s="12" t="s">
        <v>104</v>
      </c>
      <c r="R37" s="14" t="n">
        <v>375</v>
      </c>
      <c r="S37" s="14" t="s">
        <v>105</v>
      </c>
      <c r="T37" s="14" t="s">
        <v>106</v>
      </c>
      <c r="U37" s="14" t="n">
        <v>2024</v>
      </c>
      <c r="V37" s="12" t="s">
        <v>107</v>
      </c>
      <c r="W37" s="14"/>
      <c r="X37" s="15" t="n">
        <f aca="false">IF(OR($S37="%",$R37=""),"",$R37*INDEX(Cambi!$J$2:$J$5,MATCH($S37,Cambi!$I$2:$I$5,0))/IF($T37="EUR",1,INDEX(Cambi!$D:$D,MATCH($T37&amp;"|"&amp;$U37,Cambi!$C:$C,0))))</f>
        <v>375</v>
      </c>
      <c r="Y37" s="12" t="s">
        <v>130</v>
      </c>
      <c r="Z37" s="12" t="s">
        <v>109</v>
      </c>
      <c r="AA37" s="12" t="s">
        <v>109</v>
      </c>
      <c r="AB37" s="16" t="s">
        <v>110</v>
      </c>
      <c r="AC37" s="16" t="s">
        <v>111</v>
      </c>
      <c r="AD37" s="12" t="s">
        <v>112</v>
      </c>
      <c r="AE37" s="12" t="s">
        <v>113</v>
      </c>
      <c r="AF37" s="12" t="s">
        <v>334</v>
      </c>
      <c r="AG37" s="12" t="s">
        <v>115</v>
      </c>
      <c r="AH37" s="12" t="s">
        <v>116</v>
      </c>
      <c r="AI37" s="12" t="s">
        <v>117</v>
      </c>
      <c r="AJ37" s="12" t="s">
        <v>335</v>
      </c>
      <c r="AK37" s="12" t="s">
        <v>4</v>
      </c>
    </row>
    <row r="38" customFormat="false" ht="15" hidden="false" customHeight="false" outlineLevel="0" collapsed="false">
      <c r="A38" s="11" t="n">
        <v>37</v>
      </c>
      <c r="B38" s="12" t="s">
        <v>328</v>
      </c>
      <c r="C38" s="12" t="s">
        <v>91</v>
      </c>
      <c r="D38" s="12" t="s">
        <v>92</v>
      </c>
      <c r="E38" s="12" t="s">
        <v>93</v>
      </c>
      <c r="F38" s="12" t="s">
        <v>292</v>
      </c>
      <c r="G38" s="12" t="s">
        <v>95</v>
      </c>
      <c r="H38" s="12" t="s">
        <v>329</v>
      </c>
      <c r="I38" s="12" t="s">
        <v>330</v>
      </c>
      <c r="J38" s="13" t="s">
        <v>331</v>
      </c>
      <c r="K38" s="12"/>
      <c r="L38" s="12" t="s">
        <v>336</v>
      </c>
      <c r="M38" s="12" t="s">
        <v>337</v>
      </c>
      <c r="N38" s="12" t="s">
        <v>101</v>
      </c>
      <c r="O38" s="12" t="s">
        <v>102</v>
      </c>
      <c r="P38" s="12" t="s">
        <v>103</v>
      </c>
      <c r="Q38" s="12" t="s">
        <v>104</v>
      </c>
      <c r="R38" s="14" t="n">
        <v>218.831127</v>
      </c>
      <c r="S38" s="14" t="s">
        <v>105</v>
      </c>
      <c r="T38" s="14" t="s">
        <v>106</v>
      </c>
      <c r="U38" s="14" t="n">
        <v>2024</v>
      </c>
      <c r="V38" s="12" t="s">
        <v>107</v>
      </c>
      <c r="W38" s="14"/>
      <c r="X38" s="15" t="n">
        <f aca="false">IF(OR($S38="%",$R38=""),"",$R38*INDEX(Cambi!$J$2:$J$5,MATCH($S38,Cambi!$I$2:$I$5,0))/IF($T38="EUR",1,INDEX(Cambi!$D:$D,MATCH($T38&amp;"|"&amp;$U38,Cambi!$C:$C,0))))</f>
        <v>218.831127</v>
      </c>
      <c r="Y38" s="12" t="s">
        <v>130</v>
      </c>
      <c r="Z38" s="12" t="s">
        <v>109</v>
      </c>
      <c r="AA38" s="12" t="s">
        <v>109</v>
      </c>
      <c r="AB38" s="16" t="s">
        <v>110</v>
      </c>
      <c r="AC38" s="16" t="s">
        <v>111</v>
      </c>
      <c r="AD38" s="12" t="s">
        <v>112</v>
      </c>
      <c r="AE38" s="12" t="s">
        <v>113</v>
      </c>
      <c r="AF38" s="12" t="s">
        <v>338</v>
      </c>
      <c r="AG38" s="12" t="s">
        <v>115</v>
      </c>
      <c r="AH38" s="12" t="s">
        <v>116</v>
      </c>
      <c r="AI38" s="12" t="s">
        <v>117</v>
      </c>
      <c r="AJ38" s="12" t="s">
        <v>339</v>
      </c>
      <c r="AK38" s="12" t="s">
        <v>4</v>
      </c>
    </row>
    <row r="39" customFormat="false" ht="15" hidden="false" customHeight="false" outlineLevel="0" collapsed="false">
      <c r="A39" s="11" t="n">
        <v>38</v>
      </c>
      <c r="B39" s="12" t="s">
        <v>328</v>
      </c>
      <c r="C39" s="12" t="s">
        <v>91</v>
      </c>
      <c r="D39" s="12" t="s">
        <v>92</v>
      </c>
      <c r="E39" s="12" t="s">
        <v>93</v>
      </c>
      <c r="F39" s="12" t="s">
        <v>292</v>
      </c>
      <c r="G39" s="12" t="s">
        <v>95</v>
      </c>
      <c r="H39" s="12" t="s">
        <v>329</v>
      </c>
      <c r="I39" s="12" t="s">
        <v>330</v>
      </c>
      <c r="J39" s="13" t="s">
        <v>331</v>
      </c>
      <c r="K39" s="12"/>
      <c r="L39" s="12" t="s">
        <v>336</v>
      </c>
      <c r="M39" s="12" t="s">
        <v>340</v>
      </c>
      <c r="N39" s="12" t="s">
        <v>101</v>
      </c>
      <c r="O39" s="12" t="s">
        <v>102</v>
      </c>
      <c r="P39" s="12" t="s">
        <v>103</v>
      </c>
      <c r="Q39" s="12" t="s">
        <v>104</v>
      </c>
      <c r="R39" s="14" t="n">
        <v>125.766681</v>
      </c>
      <c r="S39" s="14" t="s">
        <v>105</v>
      </c>
      <c r="T39" s="14" t="s">
        <v>106</v>
      </c>
      <c r="U39" s="14" t="n">
        <v>2025</v>
      </c>
      <c r="V39" s="12" t="s">
        <v>107</v>
      </c>
      <c r="W39" s="14"/>
      <c r="X39" s="15" t="n">
        <f aca="false">IF(OR($S39="%",$R39=""),"",$R39*INDEX(Cambi!$J$2:$J$5,MATCH($S39,Cambi!$I$2:$I$5,0))/IF($T39="EUR",1,INDEX(Cambi!$D:$D,MATCH($T39&amp;"|"&amp;$U39,Cambi!$C:$C,0))))</f>
        <v>125.766681</v>
      </c>
      <c r="Y39" s="12" t="s">
        <v>130</v>
      </c>
      <c r="Z39" s="12" t="s">
        <v>109</v>
      </c>
      <c r="AA39" s="12" t="s">
        <v>109</v>
      </c>
      <c r="AB39" s="16" t="s">
        <v>110</v>
      </c>
      <c r="AC39" s="16" t="s">
        <v>111</v>
      </c>
      <c r="AD39" s="12" t="s">
        <v>112</v>
      </c>
      <c r="AE39" s="12" t="s">
        <v>113</v>
      </c>
      <c r="AF39" s="12" t="s">
        <v>338</v>
      </c>
      <c r="AG39" s="12" t="s">
        <v>115</v>
      </c>
      <c r="AH39" s="12" t="s">
        <v>116</v>
      </c>
      <c r="AI39" s="12" t="s">
        <v>117</v>
      </c>
      <c r="AJ39" s="12" t="s">
        <v>341</v>
      </c>
      <c r="AK39" s="12" t="s">
        <v>4</v>
      </c>
    </row>
    <row r="40" customFormat="false" ht="15" hidden="false" customHeight="false" outlineLevel="0" collapsed="false">
      <c r="A40" s="11" t="n">
        <v>39</v>
      </c>
      <c r="B40" s="12" t="s">
        <v>328</v>
      </c>
      <c r="C40" s="12" t="s">
        <v>91</v>
      </c>
      <c r="D40" s="12" t="s">
        <v>92</v>
      </c>
      <c r="E40" s="12" t="s">
        <v>93</v>
      </c>
      <c r="F40" s="12" t="s">
        <v>292</v>
      </c>
      <c r="G40" s="12" t="s">
        <v>95</v>
      </c>
      <c r="H40" s="12" t="s">
        <v>329</v>
      </c>
      <c r="I40" s="12" t="s">
        <v>330</v>
      </c>
      <c r="J40" s="13" t="s">
        <v>331</v>
      </c>
      <c r="K40" s="12"/>
      <c r="L40" s="12" t="s">
        <v>336</v>
      </c>
      <c r="M40" s="12" t="s">
        <v>342</v>
      </c>
      <c r="N40" s="12" t="s">
        <v>101</v>
      </c>
      <c r="O40" s="12" t="s">
        <v>102</v>
      </c>
      <c r="P40" s="12" t="s">
        <v>103</v>
      </c>
      <c r="Q40" s="12" t="s">
        <v>104</v>
      </c>
      <c r="R40" s="14" t="n">
        <v>126.032747</v>
      </c>
      <c r="S40" s="14" t="s">
        <v>105</v>
      </c>
      <c r="T40" s="14" t="s">
        <v>106</v>
      </c>
      <c r="U40" s="14" t="n">
        <v>2026</v>
      </c>
      <c r="V40" s="12" t="s">
        <v>107</v>
      </c>
      <c r="W40" s="14"/>
      <c r="X40" s="15" t="n">
        <f aca="false">IF(OR($S40="%",$R40=""),"",$R40*INDEX(Cambi!$J$2:$J$5,MATCH($S40,Cambi!$I$2:$I$5,0))/IF($T40="EUR",1,INDEX(Cambi!$D:$D,MATCH($T40&amp;"|"&amp;$U40,Cambi!$C:$C,0))))</f>
        <v>126.032747</v>
      </c>
      <c r="Y40" s="12" t="s">
        <v>130</v>
      </c>
      <c r="Z40" s="12" t="s">
        <v>109</v>
      </c>
      <c r="AA40" s="12" t="s">
        <v>109</v>
      </c>
      <c r="AB40" s="16" t="s">
        <v>110</v>
      </c>
      <c r="AC40" s="16" t="s">
        <v>111</v>
      </c>
      <c r="AD40" s="12" t="s">
        <v>112</v>
      </c>
      <c r="AE40" s="12" t="s">
        <v>113</v>
      </c>
      <c r="AF40" s="12" t="s">
        <v>338</v>
      </c>
      <c r="AG40" s="12" t="s">
        <v>115</v>
      </c>
      <c r="AH40" s="12" t="s">
        <v>116</v>
      </c>
      <c r="AI40" s="12" t="s">
        <v>117</v>
      </c>
      <c r="AJ40" s="12" t="s">
        <v>341</v>
      </c>
      <c r="AK40" s="12" t="s">
        <v>4</v>
      </c>
    </row>
    <row r="41" customFormat="false" ht="15" hidden="false" customHeight="false" outlineLevel="0" collapsed="false">
      <c r="A41" s="11" t="n">
        <v>40</v>
      </c>
      <c r="B41" s="12" t="s">
        <v>343</v>
      </c>
      <c r="C41" s="12" t="s">
        <v>91</v>
      </c>
      <c r="D41" s="12" t="s">
        <v>92</v>
      </c>
      <c r="E41" s="12" t="s">
        <v>93</v>
      </c>
      <c r="F41" s="12" t="s">
        <v>344</v>
      </c>
      <c r="G41" s="12" t="s">
        <v>345</v>
      </c>
      <c r="H41" s="12" t="s">
        <v>346</v>
      </c>
      <c r="I41" s="12" t="s">
        <v>347</v>
      </c>
      <c r="J41" s="13" t="s">
        <v>348</v>
      </c>
      <c r="K41" s="12" t="s">
        <v>349</v>
      </c>
      <c r="L41" s="12" t="s">
        <v>350</v>
      </c>
      <c r="M41" s="12" t="s">
        <v>351</v>
      </c>
      <c r="N41" s="12" t="s">
        <v>352</v>
      </c>
      <c r="O41" s="12" t="s">
        <v>102</v>
      </c>
      <c r="P41" s="12" t="s">
        <v>103</v>
      </c>
      <c r="Q41" s="12" t="s">
        <v>104</v>
      </c>
      <c r="R41" s="14" t="n">
        <v>30</v>
      </c>
      <c r="S41" s="14" t="s">
        <v>129</v>
      </c>
      <c r="T41" s="14" t="s">
        <v>106</v>
      </c>
      <c r="U41" s="14" t="n">
        <v>2024</v>
      </c>
      <c r="V41" s="12" t="s">
        <v>198</v>
      </c>
      <c r="W41" s="14" t="s">
        <v>353</v>
      </c>
      <c r="X41" s="15" t="n">
        <f aca="false">IF(OR($S41="%",$R41=""),"",$R41*INDEX(Cambi!$J$2:$J$5,MATCH($S41,Cambi!$I$2:$I$5,0))/IF($T41="EUR",1,INDEX(Cambi!$D:$D,MATCH($T41&amp;"|"&amp;$U41,Cambi!$C:$C,0))))</f>
        <v>30000</v>
      </c>
      <c r="Y41" s="12" t="s">
        <v>109</v>
      </c>
      <c r="Z41" s="12" t="s">
        <v>285</v>
      </c>
      <c r="AA41" s="12" t="s">
        <v>109</v>
      </c>
      <c r="AB41" s="16" t="s">
        <v>110</v>
      </c>
      <c r="AC41" s="16" t="s">
        <v>354</v>
      </c>
      <c r="AD41" s="12" t="s">
        <v>281</v>
      </c>
      <c r="AE41" s="12" t="s">
        <v>355</v>
      </c>
      <c r="AF41" s="12" t="s">
        <v>356</v>
      </c>
      <c r="AG41" s="12" t="s">
        <v>284</v>
      </c>
      <c r="AH41" s="12" t="s">
        <v>116</v>
      </c>
      <c r="AI41" s="12" t="s">
        <v>285</v>
      </c>
      <c r="AJ41" s="12" t="s">
        <v>357</v>
      </c>
      <c r="AK41" s="12" t="s">
        <v>4</v>
      </c>
    </row>
    <row r="42" customFormat="false" ht="15" hidden="false" customHeight="false" outlineLevel="0" collapsed="false">
      <c r="A42" s="11" t="n">
        <v>41</v>
      </c>
      <c r="B42" s="12" t="s">
        <v>343</v>
      </c>
      <c r="C42" s="12" t="s">
        <v>91</v>
      </c>
      <c r="D42" s="12" t="s">
        <v>92</v>
      </c>
      <c r="E42" s="12" t="s">
        <v>93</v>
      </c>
      <c r="F42" s="12" t="s">
        <v>344</v>
      </c>
      <c r="G42" s="12" t="s">
        <v>345</v>
      </c>
      <c r="H42" s="12" t="s">
        <v>346</v>
      </c>
      <c r="I42" s="12" t="s">
        <v>347</v>
      </c>
      <c r="J42" s="13" t="s">
        <v>348</v>
      </c>
      <c r="K42" s="12" t="s">
        <v>349</v>
      </c>
      <c r="L42" s="12" t="s">
        <v>358</v>
      </c>
      <c r="M42" s="12" t="s">
        <v>359</v>
      </c>
      <c r="N42" s="12" t="s">
        <v>352</v>
      </c>
      <c r="O42" s="12" t="s">
        <v>196</v>
      </c>
      <c r="P42" s="12" t="s">
        <v>214</v>
      </c>
      <c r="Q42" s="12" t="s">
        <v>360</v>
      </c>
      <c r="R42" s="14" t="n">
        <v>30</v>
      </c>
      <c r="S42" s="14" t="s">
        <v>197</v>
      </c>
      <c r="T42" s="14"/>
      <c r="U42" s="14" t="n">
        <v>2024</v>
      </c>
      <c r="V42" s="12" t="s">
        <v>198</v>
      </c>
      <c r="W42" s="14"/>
      <c r="X42" s="15" t="str">
        <f aca="false">IF(OR($S42="%",$R42=""),"",$R42*INDEX(Cambi!$J$2:$J$5,MATCH($S42,Cambi!$I$2:$I$5,0))/IF($T42="EUR",1,INDEX(Cambi!$D:$D,MATCH($T42&amp;"|"&amp;$U42,Cambi!$C:$C,0))))</f>
        <v/>
      </c>
      <c r="Y42" s="12" t="s">
        <v>109</v>
      </c>
      <c r="Z42" s="12" t="s">
        <v>285</v>
      </c>
      <c r="AA42" s="12" t="s">
        <v>109</v>
      </c>
      <c r="AB42" s="16" t="s">
        <v>110</v>
      </c>
      <c r="AC42" s="16" t="s">
        <v>354</v>
      </c>
      <c r="AD42" s="12" t="s">
        <v>281</v>
      </c>
      <c r="AE42" s="12" t="s">
        <v>355</v>
      </c>
      <c r="AF42" s="12" t="s">
        <v>361</v>
      </c>
      <c r="AG42" s="12" t="s">
        <v>284</v>
      </c>
      <c r="AH42" s="12" t="s">
        <v>116</v>
      </c>
      <c r="AI42" s="12" t="s">
        <v>285</v>
      </c>
      <c r="AJ42" s="12" t="s">
        <v>362</v>
      </c>
      <c r="AK42" s="12" t="s">
        <v>4</v>
      </c>
    </row>
    <row r="43" customFormat="false" ht="15" hidden="false" customHeight="false" outlineLevel="0" collapsed="false">
      <c r="A43" s="11" t="n">
        <v>42</v>
      </c>
      <c r="B43" s="12" t="s">
        <v>343</v>
      </c>
      <c r="C43" s="12" t="s">
        <v>91</v>
      </c>
      <c r="D43" s="12" t="s">
        <v>92</v>
      </c>
      <c r="E43" s="12" t="s">
        <v>93</v>
      </c>
      <c r="F43" s="12" t="s">
        <v>344</v>
      </c>
      <c r="G43" s="12" t="s">
        <v>345</v>
      </c>
      <c r="H43" s="12" t="s">
        <v>346</v>
      </c>
      <c r="I43" s="12" t="s">
        <v>347</v>
      </c>
      <c r="J43" s="13" t="s">
        <v>348</v>
      </c>
      <c r="K43" s="12" t="s">
        <v>349</v>
      </c>
      <c r="L43" s="12" t="s">
        <v>358</v>
      </c>
      <c r="M43" s="12" t="s">
        <v>363</v>
      </c>
      <c r="N43" s="12" t="s">
        <v>352</v>
      </c>
      <c r="O43" s="12" t="s">
        <v>196</v>
      </c>
      <c r="P43" s="12" t="s">
        <v>155</v>
      </c>
      <c r="Q43" s="12" t="s">
        <v>364</v>
      </c>
      <c r="R43" s="14" t="n">
        <v>15</v>
      </c>
      <c r="S43" s="14" t="s">
        <v>197</v>
      </c>
      <c r="T43" s="14"/>
      <c r="U43" s="14" t="n">
        <v>2024</v>
      </c>
      <c r="V43" s="12" t="s">
        <v>198</v>
      </c>
      <c r="W43" s="14"/>
      <c r="X43" s="15" t="str">
        <f aca="false">IF(OR($S43="%",$R43=""),"",$R43*INDEX(Cambi!$J$2:$J$5,MATCH($S43,Cambi!$I$2:$I$5,0))/IF($T43="EUR",1,INDEX(Cambi!$D:$D,MATCH($T43&amp;"|"&amp;$U43,Cambi!$C:$C,0))))</f>
        <v/>
      </c>
      <c r="Y43" s="12" t="s">
        <v>109</v>
      </c>
      <c r="Z43" s="12" t="s">
        <v>285</v>
      </c>
      <c r="AA43" s="12" t="s">
        <v>109</v>
      </c>
      <c r="AB43" s="16" t="s">
        <v>110</v>
      </c>
      <c r="AC43" s="16" t="s">
        <v>354</v>
      </c>
      <c r="AD43" s="12" t="s">
        <v>281</v>
      </c>
      <c r="AE43" s="12" t="s">
        <v>355</v>
      </c>
      <c r="AF43" s="12" t="s">
        <v>361</v>
      </c>
      <c r="AG43" s="12" t="s">
        <v>284</v>
      </c>
      <c r="AH43" s="12" t="s">
        <v>116</v>
      </c>
      <c r="AI43" s="12" t="s">
        <v>285</v>
      </c>
      <c r="AJ43" s="12" t="s">
        <v>362</v>
      </c>
      <c r="AK43" s="12" t="s">
        <v>4</v>
      </c>
    </row>
    <row r="44" customFormat="false" ht="15" hidden="false" customHeight="false" outlineLevel="0" collapsed="false">
      <c r="A44" s="11" t="n">
        <v>43</v>
      </c>
      <c r="B44" s="12" t="s">
        <v>343</v>
      </c>
      <c r="C44" s="12" t="s">
        <v>91</v>
      </c>
      <c r="D44" s="12" t="s">
        <v>92</v>
      </c>
      <c r="E44" s="12" t="s">
        <v>93</v>
      </c>
      <c r="F44" s="12" t="s">
        <v>344</v>
      </c>
      <c r="G44" s="12" t="s">
        <v>345</v>
      </c>
      <c r="H44" s="12" t="s">
        <v>346</v>
      </c>
      <c r="I44" s="12" t="s">
        <v>347</v>
      </c>
      <c r="J44" s="13" t="s">
        <v>348</v>
      </c>
      <c r="K44" s="12" t="s">
        <v>349</v>
      </c>
      <c r="L44" s="12" t="s">
        <v>358</v>
      </c>
      <c r="M44" s="12" t="s">
        <v>365</v>
      </c>
      <c r="N44" s="12" t="s">
        <v>352</v>
      </c>
      <c r="O44" s="12" t="s">
        <v>196</v>
      </c>
      <c r="P44" s="12" t="s">
        <v>366</v>
      </c>
      <c r="Q44" s="12" t="s">
        <v>367</v>
      </c>
      <c r="R44" s="14" t="n">
        <v>18</v>
      </c>
      <c r="S44" s="14" t="s">
        <v>197</v>
      </c>
      <c r="T44" s="14"/>
      <c r="U44" s="14" t="n">
        <v>2024</v>
      </c>
      <c r="V44" s="12" t="s">
        <v>198</v>
      </c>
      <c r="W44" s="14"/>
      <c r="X44" s="15" t="str">
        <f aca="false">IF(OR($S44="%",$R44=""),"",$R44*INDEX(Cambi!$J$2:$J$5,MATCH($S44,Cambi!$I$2:$I$5,0))/IF($T44="EUR",1,INDEX(Cambi!$D:$D,MATCH($T44&amp;"|"&amp;$U44,Cambi!$C:$C,0))))</f>
        <v/>
      </c>
      <c r="Y44" s="12" t="s">
        <v>109</v>
      </c>
      <c r="Z44" s="12" t="s">
        <v>285</v>
      </c>
      <c r="AA44" s="12" t="s">
        <v>109</v>
      </c>
      <c r="AB44" s="16" t="s">
        <v>110</v>
      </c>
      <c r="AC44" s="16" t="s">
        <v>354</v>
      </c>
      <c r="AD44" s="12" t="s">
        <v>281</v>
      </c>
      <c r="AE44" s="12" t="s">
        <v>355</v>
      </c>
      <c r="AF44" s="12" t="s">
        <v>361</v>
      </c>
      <c r="AG44" s="12" t="s">
        <v>284</v>
      </c>
      <c r="AH44" s="12" t="s">
        <v>116</v>
      </c>
      <c r="AI44" s="12" t="s">
        <v>285</v>
      </c>
      <c r="AJ44" s="12" t="s">
        <v>362</v>
      </c>
      <c r="AK44" s="12" t="s">
        <v>4</v>
      </c>
    </row>
    <row r="45" customFormat="false" ht="15" hidden="false" customHeight="false" outlineLevel="0" collapsed="false">
      <c r="A45" s="11" t="n">
        <v>44</v>
      </c>
      <c r="B45" s="12" t="s">
        <v>343</v>
      </c>
      <c r="C45" s="12" t="s">
        <v>91</v>
      </c>
      <c r="D45" s="12" t="s">
        <v>92</v>
      </c>
      <c r="E45" s="12" t="s">
        <v>93</v>
      </c>
      <c r="F45" s="12" t="s">
        <v>344</v>
      </c>
      <c r="G45" s="12" t="s">
        <v>345</v>
      </c>
      <c r="H45" s="12" t="s">
        <v>346</v>
      </c>
      <c r="I45" s="12" t="s">
        <v>347</v>
      </c>
      <c r="J45" s="13" t="s">
        <v>348</v>
      </c>
      <c r="K45" s="12" t="s">
        <v>349</v>
      </c>
      <c r="L45" s="12" t="s">
        <v>358</v>
      </c>
      <c r="M45" s="12" t="s">
        <v>368</v>
      </c>
      <c r="N45" s="12" t="s">
        <v>352</v>
      </c>
      <c r="O45" s="12" t="s">
        <v>196</v>
      </c>
      <c r="P45" s="12" t="s">
        <v>155</v>
      </c>
      <c r="Q45" s="12" t="s">
        <v>369</v>
      </c>
      <c r="R45" s="14" t="n">
        <v>40</v>
      </c>
      <c r="S45" s="14" t="s">
        <v>197</v>
      </c>
      <c r="T45" s="14"/>
      <c r="U45" s="14" t="n">
        <v>2024</v>
      </c>
      <c r="V45" s="12" t="s">
        <v>198</v>
      </c>
      <c r="W45" s="14"/>
      <c r="X45" s="15" t="str">
        <f aca="false">IF(OR($S45="%",$R45=""),"",$R45*INDEX(Cambi!$J$2:$J$5,MATCH($S45,Cambi!$I$2:$I$5,0))/IF($T45="EUR",1,INDEX(Cambi!$D:$D,MATCH($T45&amp;"|"&amp;$U45,Cambi!$C:$C,0))))</f>
        <v/>
      </c>
      <c r="Y45" s="12" t="s">
        <v>109</v>
      </c>
      <c r="Z45" s="12" t="s">
        <v>285</v>
      </c>
      <c r="AA45" s="12" t="s">
        <v>109</v>
      </c>
      <c r="AB45" s="16" t="s">
        <v>110</v>
      </c>
      <c r="AC45" s="16" t="s">
        <v>354</v>
      </c>
      <c r="AD45" s="12" t="s">
        <v>281</v>
      </c>
      <c r="AE45" s="12" t="s">
        <v>355</v>
      </c>
      <c r="AF45" s="12" t="s">
        <v>361</v>
      </c>
      <c r="AG45" s="12" t="s">
        <v>284</v>
      </c>
      <c r="AH45" s="12" t="s">
        <v>116</v>
      </c>
      <c r="AI45" s="12" t="s">
        <v>285</v>
      </c>
      <c r="AJ45" s="12" t="s">
        <v>370</v>
      </c>
      <c r="AK45" s="12" t="s">
        <v>4</v>
      </c>
    </row>
    <row r="46" customFormat="false" ht="15" hidden="false" customHeight="false" outlineLevel="0" collapsed="false">
      <c r="A46" s="11" t="n">
        <v>45</v>
      </c>
      <c r="B46" s="12" t="s">
        <v>343</v>
      </c>
      <c r="C46" s="12" t="s">
        <v>91</v>
      </c>
      <c r="D46" s="12" t="s">
        <v>92</v>
      </c>
      <c r="E46" s="12" t="s">
        <v>93</v>
      </c>
      <c r="F46" s="12" t="s">
        <v>344</v>
      </c>
      <c r="G46" s="12" t="s">
        <v>345</v>
      </c>
      <c r="H46" s="12" t="s">
        <v>346</v>
      </c>
      <c r="I46" s="12" t="s">
        <v>347</v>
      </c>
      <c r="J46" s="13" t="s">
        <v>348</v>
      </c>
      <c r="K46" s="12" t="s">
        <v>349</v>
      </c>
      <c r="L46" s="12" t="s">
        <v>358</v>
      </c>
      <c r="M46" s="12" t="s">
        <v>371</v>
      </c>
      <c r="N46" s="12" t="s">
        <v>352</v>
      </c>
      <c r="O46" s="12" t="s">
        <v>196</v>
      </c>
      <c r="P46" s="12" t="s">
        <v>155</v>
      </c>
      <c r="Q46" s="12" t="s">
        <v>372</v>
      </c>
      <c r="R46" s="14" t="n">
        <v>11</v>
      </c>
      <c r="S46" s="14" t="s">
        <v>197</v>
      </c>
      <c r="T46" s="14"/>
      <c r="U46" s="14" t="n">
        <v>2024</v>
      </c>
      <c r="V46" s="12" t="s">
        <v>198</v>
      </c>
      <c r="W46" s="14"/>
      <c r="X46" s="15" t="str">
        <f aca="false">IF(OR($S46="%",$R46=""),"",$R46*INDEX(Cambi!$J$2:$J$5,MATCH($S46,Cambi!$I$2:$I$5,0))/IF($T46="EUR",1,INDEX(Cambi!$D:$D,MATCH($T46&amp;"|"&amp;$U46,Cambi!$C:$C,0))))</f>
        <v/>
      </c>
      <c r="Y46" s="12" t="s">
        <v>109</v>
      </c>
      <c r="Z46" s="12" t="s">
        <v>285</v>
      </c>
      <c r="AA46" s="12" t="s">
        <v>109</v>
      </c>
      <c r="AB46" s="16" t="s">
        <v>110</v>
      </c>
      <c r="AC46" s="16" t="s">
        <v>354</v>
      </c>
      <c r="AD46" s="12" t="s">
        <v>281</v>
      </c>
      <c r="AE46" s="12" t="s">
        <v>355</v>
      </c>
      <c r="AF46" s="12" t="s">
        <v>361</v>
      </c>
      <c r="AG46" s="12" t="s">
        <v>284</v>
      </c>
      <c r="AH46" s="12" t="s">
        <v>116</v>
      </c>
      <c r="AI46" s="12" t="s">
        <v>285</v>
      </c>
      <c r="AJ46" s="12" t="s">
        <v>362</v>
      </c>
      <c r="AK46" s="12" t="s">
        <v>4</v>
      </c>
    </row>
    <row r="47" customFormat="false" ht="15" hidden="false" customHeight="false" outlineLevel="0" collapsed="false">
      <c r="A47" s="11" t="n">
        <v>46</v>
      </c>
      <c r="B47" s="12" t="s">
        <v>373</v>
      </c>
      <c r="C47" s="12" t="s">
        <v>91</v>
      </c>
      <c r="D47" s="12" t="s">
        <v>92</v>
      </c>
      <c r="E47" s="12" t="s">
        <v>93</v>
      </c>
      <c r="F47" s="12" t="s">
        <v>374</v>
      </c>
      <c r="G47" s="12" t="s">
        <v>95</v>
      </c>
      <c r="H47" s="12" t="s">
        <v>375</v>
      </c>
      <c r="I47" s="12" t="s">
        <v>376</v>
      </c>
      <c r="J47" s="13" t="s">
        <v>377</v>
      </c>
      <c r="K47" s="12"/>
      <c r="L47" s="12" t="s">
        <v>378</v>
      </c>
      <c r="M47" s="12" t="s">
        <v>379</v>
      </c>
      <c r="N47" s="12" t="s">
        <v>101</v>
      </c>
      <c r="O47" s="12" t="s">
        <v>102</v>
      </c>
      <c r="P47" s="12" t="s">
        <v>103</v>
      </c>
      <c r="Q47" s="12" t="s">
        <v>104</v>
      </c>
      <c r="R47" s="14" t="n">
        <v>25.2</v>
      </c>
      <c r="S47" s="14" t="s">
        <v>105</v>
      </c>
      <c r="T47" s="14" t="s">
        <v>106</v>
      </c>
      <c r="U47" s="14" t="n">
        <v>2023</v>
      </c>
      <c r="V47" s="12" t="s">
        <v>157</v>
      </c>
      <c r="W47" s="14"/>
      <c r="X47" s="15" t="n">
        <f aca="false">IF(OR($S47="%",$R47=""),"",$R47*INDEX(Cambi!$J$2:$J$5,MATCH($S47,Cambi!$I$2:$I$5,0))/IF($T47="EUR",1,INDEX(Cambi!$D:$D,MATCH($T47&amp;"|"&amp;$U47,Cambi!$C:$C,0))))</f>
        <v>25.2</v>
      </c>
      <c r="Y47" s="12" t="s">
        <v>108</v>
      </c>
      <c r="Z47" s="12" t="s">
        <v>109</v>
      </c>
      <c r="AA47" s="12" t="s">
        <v>109</v>
      </c>
      <c r="AB47" s="16" t="s">
        <v>110</v>
      </c>
      <c r="AC47" s="16" t="s">
        <v>111</v>
      </c>
      <c r="AD47" s="12" t="s">
        <v>112</v>
      </c>
      <c r="AE47" s="12" t="s">
        <v>380</v>
      </c>
      <c r="AF47" s="12" t="s">
        <v>381</v>
      </c>
      <c r="AG47" s="12" t="s">
        <v>115</v>
      </c>
      <c r="AH47" s="12" t="s">
        <v>116</v>
      </c>
      <c r="AI47" s="12" t="s">
        <v>117</v>
      </c>
      <c r="AJ47" s="12" t="s">
        <v>266</v>
      </c>
      <c r="AK47" s="12" t="s">
        <v>4</v>
      </c>
    </row>
    <row r="48" customFormat="false" ht="15" hidden="false" customHeight="false" outlineLevel="0" collapsed="false">
      <c r="A48" s="11" t="n">
        <v>47</v>
      </c>
      <c r="B48" s="12" t="s">
        <v>373</v>
      </c>
      <c r="C48" s="12" t="s">
        <v>91</v>
      </c>
      <c r="D48" s="12" t="s">
        <v>92</v>
      </c>
      <c r="E48" s="12" t="s">
        <v>93</v>
      </c>
      <c r="F48" s="12" t="s">
        <v>374</v>
      </c>
      <c r="G48" s="12" t="s">
        <v>95</v>
      </c>
      <c r="H48" s="12" t="s">
        <v>375</v>
      </c>
      <c r="I48" s="12" t="s">
        <v>376</v>
      </c>
      <c r="J48" s="13" t="s">
        <v>377</v>
      </c>
      <c r="K48" s="12"/>
      <c r="L48" s="12" t="s">
        <v>378</v>
      </c>
      <c r="M48" s="12" t="s">
        <v>382</v>
      </c>
      <c r="N48" s="12" t="s">
        <v>101</v>
      </c>
      <c r="O48" s="12" t="s">
        <v>102</v>
      </c>
      <c r="P48" s="12" t="s">
        <v>103</v>
      </c>
      <c r="Q48" s="12" t="s">
        <v>104</v>
      </c>
      <c r="R48" s="14" t="n">
        <v>26.2</v>
      </c>
      <c r="S48" s="14" t="s">
        <v>105</v>
      </c>
      <c r="T48" s="14" t="s">
        <v>106</v>
      </c>
      <c r="U48" s="14" t="n">
        <v>2024</v>
      </c>
      <c r="V48" s="12" t="s">
        <v>157</v>
      </c>
      <c r="W48" s="14"/>
      <c r="X48" s="15" t="n">
        <f aca="false">IF(OR($S48="%",$R48=""),"",$R48*INDEX(Cambi!$J$2:$J$5,MATCH($S48,Cambi!$I$2:$I$5,0))/IF($T48="EUR",1,INDEX(Cambi!$D:$D,MATCH($T48&amp;"|"&amp;$U48,Cambi!$C:$C,0))))</f>
        <v>26.2</v>
      </c>
      <c r="Y48" s="12" t="s">
        <v>108</v>
      </c>
      <c r="Z48" s="12" t="s">
        <v>109</v>
      </c>
      <c r="AA48" s="12" t="s">
        <v>109</v>
      </c>
      <c r="AB48" s="16" t="s">
        <v>110</v>
      </c>
      <c r="AC48" s="16" t="s">
        <v>111</v>
      </c>
      <c r="AD48" s="12" t="s">
        <v>112</v>
      </c>
      <c r="AE48" s="12" t="s">
        <v>380</v>
      </c>
      <c r="AF48" s="12" t="s">
        <v>381</v>
      </c>
      <c r="AG48" s="12" t="s">
        <v>115</v>
      </c>
      <c r="AH48" s="12" t="s">
        <v>116</v>
      </c>
      <c r="AI48" s="12" t="s">
        <v>117</v>
      </c>
      <c r="AJ48" s="12" t="s">
        <v>383</v>
      </c>
      <c r="AK48" s="12" t="s">
        <v>4</v>
      </c>
    </row>
    <row r="49" customFormat="false" ht="15" hidden="false" customHeight="false" outlineLevel="0" collapsed="false">
      <c r="A49" s="11" t="n">
        <v>48</v>
      </c>
      <c r="B49" s="12" t="s">
        <v>384</v>
      </c>
      <c r="C49" s="12" t="s">
        <v>91</v>
      </c>
      <c r="D49" s="12" t="s">
        <v>92</v>
      </c>
      <c r="E49" s="12" t="s">
        <v>93</v>
      </c>
      <c r="F49" s="12" t="s">
        <v>385</v>
      </c>
      <c r="G49" s="12" t="s">
        <v>95</v>
      </c>
      <c r="H49" s="12" t="s">
        <v>386</v>
      </c>
      <c r="I49" s="12" t="s">
        <v>387</v>
      </c>
      <c r="J49" s="13" t="s">
        <v>388</v>
      </c>
      <c r="K49" s="12"/>
      <c r="L49" s="12" t="s">
        <v>389</v>
      </c>
      <c r="M49" s="12" t="s">
        <v>390</v>
      </c>
      <c r="N49" s="12" t="s">
        <v>212</v>
      </c>
      <c r="O49" s="12" t="s">
        <v>244</v>
      </c>
      <c r="P49" s="12" t="s">
        <v>155</v>
      </c>
      <c r="Q49" s="12" t="s">
        <v>391</v>
      </c>
      <c r="R49" s="14" t="n">
        <v>175</v>
      </c>
      <c r="S49" s="14" t="s">
        <v>392</v>
      </c>
      <c r="T49" s="14" t="s">
        <v>106</v>
      </c>
      <c r="U49" s="14" t="n">
        <v>2020</v>
      </c>
      <c r="V49" s="12" t="s">
        <v>157</v>
      </c>
      <c r="W49" s="14"/>
      <c r="X49" s="15" t="n">
        <f aca="false">IF(OR($S49="%",$R49=""),"",$R49*INDEX(Cambi!$J$2:$J$5,MATCH($S49,Cambi!$I$2:$I$5,0))/IF($T49="EUR",1,INDEX(Cambi!$D:$D,MATCH($T49&amp;"|"&amp;$U49,Cambi!$C:$C,0))))</f>
        <v>0.175</v>
      </c>
      <c r="Y49" s="12" t="s">
        <v>130</v>
      </c>
      <c r="Z49" s="12" t="s">
        <v>109</v>
      </c>
      <c r="AA49" s="12" t="s">
        <v>393</v>
      </c>
      <c r="AB49" s="12" t="s">
        <v>394</v>
      </c>
      <c r="AC49" s="12" t="s">
        <v>395</v>
      </c>
      <c r="AD49" s="12" t="s">
        <v>112</v>
      </c>
      <c r="AE49" s="12" t="s">
        <v>396</v>
      </c>
      <c r="AF49" s="12" t="s">
        <v>397</v>
      </c>
      <c r="AG49" s="12" t="s">
        <v>115</v>
      </c>
      <c r="AH49" s="12" t="s">
        <v>116</v>
      </c>
      <c r="AI49" s="12" t="s">
        <v>117</v>
      </c>
      <c r="AJ49" s="12" t="s">
        <v>398</v>
      </c>
      <c r="AK49" s="12" t="s">
        <v>4</v>
      </c>
    </row>
    <row r="50" customFormat="false" ht="15" hidden="false" customHeight="false" outlineLevel="0" collapsed="false">
      <c r="A50" s="11" t="n">
        <v>49</v>
      </c>
      <c r="B50" s="12" t="s">
        <v>399</v>
      </c>
      <c r="C50" s="12" t="s">
        <v>91</v>
      </c>
      <c r="D50" s="12" t="s">
        <v>92</v>
      </c>
      <c r="E50" s="12" t="s">
        <v>93</v>
      </c>
      <c r="F50" s="12" t="s">
        <v>385</v>
      </c>
      <c r="G50" s="12" t="s">
        <v>95</v>
      </c>
      <c r="H50" s="12" t="s">
        <v>400</v>
      </c>
      <c r="I50" s="12" t="s">
        <v>401</v>
      </c>
      <c r="J50" s="13" t="s">
        <v>402</v>
      </c>
      <c r="K50" s="12"/>
      <c r="L50" s="12" t="s">
        <v>403</v>
      </c>
      <c r="M50" s="12" t="s">
        <v>404</v>
      </c>
      <c r="N50" s="12" t="s">
        <v>212</v>
      </c>
      <c r="O50" s="12" t="s">
        <v>244</v>
      </c>
      <c r="P50" s="12" t="s">
        <v>103</v>
      </c>
      <c r="Q50" s="12" t="s">
        <v>104</v>
      </c>
      <c r="R50" s="14" t="n">
        <v>10.4</v>
      </c>
      <c r="S50" s="14" t="s">
        <v>105</v>
      </c>
      <c r="T50" s="14" t="s">
        <v>106</v>
      </c>
      <c r="U50" s="14" t="n">
        <v>2020</v>
      </c>
      <c r="V50" s="12" t="s">
        <v>157</v>
      </c>
      <c r="W50" s="14"/>
      <c r="X50" s="15" t="n">
        <f aca="false">IF(OR($S50="%",$R50=""),"",$R50*INDEX(Cambi!$J$2:$J$5,MATCH($S50,Cambi!$I$2:$I$5,0))/IF($T50="EUR",1,INDEX(Cambi!$D:$D,MATCH($T50&amp;"|"&amp;$U50,Cambi!$C:$C,0))))</f>
        <v>10.4</v>
      </c>
      <c r="Y50" s="12" t="s">
        <v>130</v>
      </c>
      <c r="Z50" s="12" t="s">
        <v>117</v>
      </c>
      <c r="AA50" s="12" t="s">
        <v>393</v>
      </c>
      <c r="AB50" s="12" t="s">
        <v>394</v>
      </c>
      <c r="AC50" s="12" t="s">
        <v>395</v>
      </c>
      <c r="AD50" s="12" t="s">
        <v>112</v>
      </c>
      <c r="AE50" s="12" t="s">
        <v>405</v>
      </c>
      <c r="AF50" s="12" t="s">
        <v>406</v>
      </c>
      <c r="AG50" s="12" t="s">
        <v>407</v>
      </c>
      <c r="AH50" s="12" t="s">
        <v>116</v>
      </c>
      <c r="AI50" s="12" t="s">
        <v>117</v>
      </c>
      <c r="AJ50" s="12" t="s">
        <v>408</v>
      </c>
      <c r="AK50" s="12" t="s">
        <v>4</v>
      </c>
    </row>
    <row r="51" customFormat="false" ht="15" hidden="false" customHeight="false" outlineLevel="0" collapsed="false">
      <c r="A51" s="11" t="n">
        <v>50</v>
      </c>
      <c r="B51" s="12" t="s">
        <v>399</v>
      </c>
      <c r="C51" s="12" t="s">
        <v>91</v>
      </c>
      <c r="D51" s="12" t="s">
        <v>92</v>
      </c>
      <c r="E51" s="12" t="s">
        <v>93</v>
      </c>
      <c r="F51" s="12" t="s">
        <v>385</v>
      </c>
      <c r="G51" s="12" t="s">
        <v>95</v>
      </c>
      <c r="H51" s="12" t="s">
        <v>400</v>
      </c>
      <c r="I51" s="12" t="s">
        <v>401</v>
      </c>
      <c r="J51" s="13" t="s">
        <v>402</v>
      </c>
      <c r="K51" s="12"/>
      <c r="L51" s="12" t="s">
        <v>409</v>
      </c>
      <c r="M51" s="12" t="s">
        <v>410</v>
      </c>
      <c r="N51" s="12" t="s">
        <v>195</v>
      </c>
      <c r="O51" s="12" t="s">
        <v>196</v>
      </c>
      <c r="P51" s="12" t="s">
        <v>103</v>
      </c>
      <c r="Q51" s="12" t="s">
        <v>104</v>
      </c>
      <c r="R51" s="14" t="n">
        <v>8.8</v>
      </c>
      <c r="S51" s="14" t="s">
        <v>197</v>
      </c>
      <c r="T51" s="14"/>
      <c r="U51" s="14" t="n">
        <v>2020</v>
      </c>
      <c r="V51" s="12" t="s">
        <v>157</v>
      </c>
      <c r="W51" s="14"/>
      <c r="X51" s="15" t="str">
        <f aca="false">IF(OR($S51="%",$R51=""),"",$R51*INDEX(Cambi!$J$2:$J$5,MATCH($S51,Cambi!$I$2:$I$5,0))/IF($T51="EUR",1,INDEX(Cambi!$D:$D,MATCH($T51&amp;"|"&amp;$U51,Cambi!$C:$C,0))))</f>
        <v/>
      </c>
      <c r="Y51" s="12" t="s">
        <v>130</v>
      </c>
      <c r="Z51" s="12" t="s">
        <v>117</v>
      </c>
      <c r="AA51" s="12" t="s">
        <v>393</v>
      </c>
      <c r="AB51" s="12" t="s">
        <v>394</v>
      </c>
      <c r="AC51" s="12" t="s">
        <v>395</v>
      </c>
      <c r="AD51" s="12" t="s">
        <v>112</v>
      </c>
      <c r="AE51" s="12" t="s">
        <v>405</v>
      </c>
      <c r="AF51" s="12" t="s">
        <v>411</v>
      </c>
      <c r="AG51" s="12" t="s">
        <v>407</v>
      </c>
      <c r="AH51" s="12" t="s">
        <v>116</v>
      </c>
      <c r="AI51" s="12" t="s">
        <v>117</v>
      </c>
      <c r="AJ51" s="12" t="s">
        <v>266</v>
      </c>
      <c r="AK51" s="12" t="s">
        <v>4</v>
      </c>
    </row>
    <row r="52" customFormat="false" ht="15" hidden="false" customHeight="false" outlineLevel="0" collapsed="false">
      <c r="A52" s="11" t="n">
        <v>51</v>
      </c>
      <c r="B52" s="12" t="s">
        <v>399</v>
      </c>
      <c r="C52" s="12" t="s">
        <v>91</v>
      </c>
      <c r="D52" s="12" t="s">
        <v>92</v>
      </c>
      <c r="E52" s="12" t="s">
        <v>93</v>
      </c>
      <c r="F52" s="12" t="s">
        <v>385</v>
      </c>
      <c r="G52" s="12" t="s">
        <v>95</v>
      </c>
      <c r="H52" s="12" t="s">
        <v>400</v>
      </c>
      <c r="I52" s="12" t="s">
        <v>401</v>
      </c>
      <c r="J52" s="13" t="s">
        <v>402</v>
      </c>
      <c r="K52" s="12"/>
      <c r="L52" s="12" t="s">
        <v>412</v>
      </c>
      <c r="M52" s="12" t="s">
        <v>413</v>
      </c>
      <c r="N52" s="12" t="s">
        <v>195</v>
      </c>
      <c r="O52" s="12" t="s">
        <v>196</v>
      </c>
      <c r="P52" s="12" t="s">
        <v>103</v>
      </c>
      <c r="Q52" s="12" t="s">
        <v>104</v>
      </c>
      <c r="R52" s="14" t="n">
        <v>7.7</v>
      </c>
      <c r="S52" s="14" t="s">
        <v>197</v>
      </c>
      <c r="T52" s="14"/>
      <c r="U52" s="14" t="n">
        <v>2020</v>
      </c>
      <c r="V52" s="12" t="s">
        <v>157</v>
      </c>
      <c r="W52" s="14"/>
      <c r="X52" s="15" t="str">
        <f aca="false">IF(OR($S52="%",$R52=""),"",$R52*INDEX(Cambi!$J$2:$J$5,MATCH($S52,Cambi!$I$2:$I$5,0))/IF($T52="EUR",1,INDEX(Cambi!$D:$D,MATCH($T52&amp;"|"&amp;$U52,Cambi!$C:$C,0))))</f>
        <v/>
      </c>
      <c r="Y52" s="12" t="s">
        <v>130</v>
      </c>
      <c r="Z52" s="12" t="s">
        <v>117</v>
      </c>
      <c r="AA52" s="12" t="s">
        <v>393</v>
      </c>
      <c r="AB52" s="12" t="s">
        <v>394</v>
      </c>
      <c r="AC52" s="12" t="s">
        <v>395</v>
      </c>
      <c r="AD52" s="12" t="s">
        <v>112</v>
      </c>
      <c r="AE52" s="12" t="s">
        <v>405</v>
      </c>
      <c r="AF52" s="12" t="s">
        <v>411</v>
      </c>
      <c r="AG52" s="12" t="s">
        <v>407</v>
      </c>
      <c r="AH52" s="12" t="s">
        <v>116</v>
      </c>
      <c r="AI52" s="12" t="s">
        <v>117</v>
      </c>
      <c r="AJ52" s="12" t="s">
        <v>414</v>
      </c>
      <c r="AK52" s="12" t="s">
        <v>4</v>
      </c>
    </row>
    <row r="53" customFormat="false" ht="15" hidden="false" customHeight="false" outlineLevel="0" collapsed="false">
      <c r="A53" s="11" t="n">
        <v>52</v>
      </c>
      <c r="B53" s="12" t="s">
        <v>399</v>
      </c>
      <c r="C53" s="12" t="s">
        <v>91</v>
      </c>
      <c r="D53" s="12" t="s">
        <v>92</v>
      </c>
      <c r="E53" s="12" t="s">
        <v>93</v>
      </c>
      <c r="F53" s="12" t="s">
        <v>385</v>
      </c>
      <c r="G53" s="12" t="s">
        <v>95</v>
      </c>
      <c r="H53" s="12" t="s">
        <v>400</v>
      </c>
      <c r="I53" s="12" t="s">
        <v>401</v>
      </c>
      <c r="J53" s="13" t="s">
        <v>402</v>
      </c>
      <c r="K53" s="12"/>
      <c r="L53" s="12" t="s">
        <v>415</v>
      </c>
      <c r="M53" s="12" t="s">
        <v>416</v>
      </c>
      <c r="N53" s="12" t="s">
        <v>212</v>
      </c>
      <c r="O53" s="12" t="s">
        <v>417</v>
      </c>
      <c r="P53" s="12" t="s">
        <v>214</v>
      </c>
      <c r="Q53" s="12" t="s">
        <v>418</v>
      </c>
      <c r="R53" s="14" t="n">
        <v>4</v>
      </c>
      <c r="S53" s="14" t="s">
        <v>105</v>
      </c>
      <c r="T53" s="14" t="s">
        <v>106</v>
      </c>
      <c r="U53" s="14" t="n">
        <v>2020</v>
      </c>
      <c r="V53" s="12" t="s">
        <v>157</v>
      </c>
      <c r="W53" s="14"/>
      <c r="X53" s="15" t="n">
        <f aca="false">IF(OR($S53="%",$R53=""),"",$R53*INDEX(Cambi!$J$2:$J$5,MATCH($S53,Cambi!$I$2:$I$5,0))/IF($T53="EUR",1,INDEX(Cambi!$D:$D,MATCH($T53&amp;"|"&amp;$U53,Cambi!$C:$C,0))))</f>
        <v>4</v>
      </c>
      <c r="Y53" s="12" t="s">
        <v>130</v>
      </c>
      <c r="Z53" s="12" t="s">
        <v>117</v>
      </c>
      <c r="AA53" s="12" t="s">
        <v>393</v>
      </c>
      <c r="AB53" s="12" t="s">
        <v>394</v>
      </c>
      <c r="AC53" s="12" t="s">
        <v>395</v>
      </c>
      <c r="AD53" s="12" t="s">
        <v>112</v>
      </c>
      <c r="AE53" s="12" t="s">
        <v>405</v>
      </c>
      <c r="AF53" s="12" t="s">
        <v>419</v>
      </c>
      <c r="AG53" s="12" t="s">
        <v>407</v>
      </c>
      <c r="AH53" s="12" t="s">
        <v>116</v>
      </c>
      <c r="AI53" s="12" t="s">
        <v>117</v>
      </c>
      <c r="AJ53" s="12" t="s">
        <v>408</v>
      </c>
      <c r="AK53" s="12" t="s">
        <v>4</v>
      </c>
    </row>
    <row r="54" customFormat="false" ht="15" hidden="false" customHeight="false" outlineLevel="0" collapsed="false">
      <c r="A54" s="11" t="n">
        <v>53</v>
      </c>
      <c r="B54" s="12" t="s">
        <v>399</v>
      </c>
      <c r="C54" s="12" t="s">
        <v>91</v>
      </c>
      <c r="D54" s="12" t="s">
        <v>92</v>
      </c>
      <c r="E54" s="12" t="s">
        <v>93</v>
      </c>
      <c r="F54" s="12" t="s">
        <v>385</v>
      </c>
      <c r="G54" s="12" t="s">
        <v>95</v>
      </c>
      <c r="H54" s="12" t="s">
        <v>400</v>
      </c>
      <c r="I54" s="12" t="s">
        <v>401</v>
      </c>
      <c r="J54" s="13" t="s">
        <v>402</v>
      </c>
      <c r="K54" s="12"/>
      <c r="L54" s="12" t="s">
        <v>415</v>
      </c>
      <c r="M54" s="12" t="s">
        <v>420</v>
      </c>
      <c r="N54" s="12" t="s">
        <v>212</v>
      </c>
      <c r="O54" s="12" t="s">
        <v>417</v>
      </c>
      <c r="P54" s="12" t="s">
        <v>214</v>
      </c>
      <c r="Q54" s="12" t="s">
        <v>421</v>
      </c>
      <c r="R54" s="14" t="n">
        <v>3</v>
      </c>
      <c r="S54" s="14" t="s">
        <v>105</v>
      </c>
      <c r="T54" s="14" t="s">
        <v>106</v>
      </c>
      <c r="U54" s="14" t="n">
        <v>2020</v>
      </c>
      <c r="V54" s="12" t="s">
        <v>157</v>
      </c>
      <c r="W54" s="14"/>
      <c r="X54" s="15" t="n">
        <f aca="false">IF(OR($S54="%",$R54=""),"",$R54*INDEX(Cambi!$J$2:$J$5,MATCH($S54,Cambi!$I$2:$I$5,0))/IF($T54="EUR",1,INDEX(Cambi!$D:$D,MATCH($T54&amp;"|"&amp;$U54,Cambi!$C:$C,0))))</f>
        <v>3</v>
      </c>
      <c r="Y54" s="12" t="s">
        <v>130</v>
      </c>
      <c r="Z54" s="12" t="s">
        <v>117</v>
      </c>
      <c r="AA54" s="12" t="s">
        <v>393</v>
      </c>
      <c r="AB54" s="12" t="s">
        <v>394</v>
      </c>
      <c r="AC54" s="12" t="s">
        <v>395</v>
      </c>
      <c r="AD54" s="12" t="s">
        <v>112</v>
      </c>
      <c r="AE54" s="12" t="s">
        <v>405</v>
      </c>
      <c r="AF54" s="12" t="s">
        <v>419</v>
      </c>
      <c r="AG54" s="12" t="s">
        <v>407</v>
      </c>
      <c r="AH54" s="12" t="s">
        <v>116</v>
      </c>
      <c r="AI54" s="12" t="s">
        <v>117</v>
      </c>
      <c r="AJ54" s="12" t="s">
        <v>422</v>
      </c>
      <c r="AK54" s="12" t="s">
        <v>4</v>
      </c>
    </row>
    <row r="55" customFormat="false" ht="15" hidden="false" customHeight="false" outlineLevel="0" collapsed="false">
      <c r="A55" s="11" t="n">
        <v>54</v>
      </c>
      <c r="B55" s="12" t="s">
        <v>399</v>
      </c>
      <c r="C55" s="12" t="s">
        <v>91</v>
      </c>
      <c r="D55" s="12" t="s">
        <v>92</v>
      </c>
      <c r="E55" s="12" t="s">
        <v>93</v>
      </c>
      <c r="F55" s="12" t="s">
        <v>385</v>
      </c>
      <c r="G55" s="12" t="s">
        <v>95</v>
      </c>
      <c r="H55" s="12" t="s">
        <v>400</v>
      </c>
      <c r="I55" s="12" t="s">
        <v>401</v>
      </c>
      <c r="J55" s="13" t="s">
        <v>402</v>
      </c>
      <c r="K55" s="12"/>
      <c r="L55" s="12" t="s">
        <v>423</v>
      </c>
      <c r="M55" s="12" t="s">
        <v>424</v>
      </c>
      <c r="N55" s="12" t="s">
        <v>212</v>
      </c>
      <c r="O55" s="12" t="s">
        <v>417</v>
      </c>
      <c r="P55" s="12" t="s">
        <v>103</v>
      </c>
      <c r="Q55" s="12" t="s">
        <v>104</v>
      </c>
      <c r="R55" s="14" t="n">
        <v>2</v>
      </c>
      <c r="S55" s="14" t="s">
        <v>105</v>
      </c>
      <c r="T55" s="14" t="s">
        <v>106</v>
      </c>
      <c r="U55" s="14" t="n">
        <v>2020</v>
      </c>
      <c r="V55" s="12" t="s">
        <v>157</v>
      </c>
      <c r="W55" s="14"/>
      <c r="X55" s="15" t="n">
        <f aca="false">IF(OR($S55="%",$R55=""),"",$R55*INDEX(Cambi!$J$2:$J$5,MATCH($S55,Cambi!$I$2:$I$5,0))/IF($T55="EUR",1,INDEX(Cambi!$D:$D,MATCH($T55&amp;"|"&amp;$U55,Cambi!$C:$C,0))))</f>
        <v>2</v>
      </c>
      <c r="Y55" s="12" t="s">
        <v>130</v>
      </c>
      <c r="Z55" s="12" t="s">
        <v>117</v>
      </c>
      <c r="AA55" s="12" t="s">
        <v>393</v>
      </c>
      <c r="AB55" s="12" t="s">
        <v>394</v>
      </c>
      <c r="AC55" s="12" t="s">
        <v>395</v>
      </c>
      <c r="AD55" s="12" t="s">
        <v>112</v>
      </c>
      <c r="AE55" s="12" t="s">
        <v>405</v>
      </c>
      <c r="AF55" s="12" t="s">
        <v>406</v>
      </c>
      <c r="AG55" s="12" t="s">
        <v>407</v>
      </c>
      <c r="AH55" s="12" t="s">
        <v>116</v>
      </c>
      <c r="AI55" s="12" t="s">
        <v>117</v>
      </c>
      <c r="AJ55" s="12" t="s">
        <v>425</v>
      </c>
      <c r="AK55" s="12" t="s">
        <v>4</v>
      </c>
    </row>
    <row r="56" customFormat="false" ht="15" hidden="false" customHeight="false" outlineLevel="0" collapsed="false">
      <c r="A56" s="11" t="n">
        <v>55</v>
      </c>
      <c r="B56" s="12" t="s">
        <v>399</v>
      </c>
      <c r="C56" s="12" t="s">
        <v>91</v>
      </c>
      <c r="D56" s="12" t="s">
        <v>92</v>
      </c>
      <c r="E56" s="12" t="s">
        <v>93</v>
      </c>
      <c r="F56" s="12" t="s">
        <v>385</v>
      </c>
      <c r="G56" s="12" t="s">
        <v>95</v>
      </c>
      <c r="H56" s="12" t="s">
        <v>400</v>
      </c>
      <c r="I56" s="12" t="s">
        <v>401</v>
      </c>
      <c r="J56" s="13" t="s">
        <v>402</v>
      </c>
      <c r="K56" s="12"/>
      <c r="L56" s="12" t="s">
        <v>426</v>
      </c>
      <c r="M56" s="12" t="s">
        <v>427</v>
      </c>
      <c r="N56" s="12" t="s">
        <v>195</v>
      </c>
      <c r="O56" s="12" t="s">
        <v>196</v>
      </c>
      <c r="P56" s="12" t="s">
        <v>155</v>
      </c>
      <c r="Q56" s="12" t="s">
        <v>391</v>
      </c>
      <c r="R56" s="14" t="n">
        <v>5.1</v>
      </c>
      <c r="S56" s="14" t="s">
        <v>197</v>
      </c>
      <c r="T56" s="14"/>
      <c r="U56" s="14" t="n">
        <v>2020</v>
      </c>
      <c r="V56" s="12" t="s">
        <v>157</v>
      </c>
      <c r="W56" s="14"/>
      <c r="X56" s="15" t="str">
        <f aca="false">IF(OR($S56="%",$R56=""),"",$R56*INDEX(Cambi!$J$2:$J$5,MATCH($S56,Cambi!$I$2:$I$5,0))/IF($T56="EUR",1,INDEX(Cambi!$D:$D,MATCH($T56&amp;"|"&amp;$U56,Cambi!$C:$C,0))))</f>
        <v/>
      </c>
      <c r="Y56" s="12" t="s">
        <v>130</v>
      </c>
      <c r="Z56" s="12" t="s">
        <v>117</v>
      </c>
      <c r="AA56" s="12" t="s">
        <v>393</v>
      </c>
      <c r="AB56" s="12" t="s">
        <v>394</v>
      </c>
      <c r="AC56" s="12" t="s">
        <v>395</v>
      </c>
      <c r="AD56" s="12" t="s">
        <v>112</v>
      </c>
      <c r="AE56" s="12" t="s">
        <v>405</v>
      </c>
      <c r="AF56" s="12" t="s">
        <v>428</v>
      </c>
      <c r="AG56" s="12" t="s">
        <v>407</v>
      </c>
      <c r="AH56" s="12" t="s">
        <v>116</v>
      </c>
      <c r="AI56" s="12" t="s">
        <v>117</v>
      </c>
      <c r="AJ56" s="12" t="s">
        <v>429</v>
      </c>
      <c r="AK56" s="12" t="s">
        <v>4</v>
      </c>
    </row>
    <row r="57" customFormat="false" ht="15" hidden="false" customHeight="false" outlineLevel="0" collapsed="false">
      <c r="A57" s="11" t="n">
        <v>56</v>
      </c>
      <c r="B57" s="12" t="s">
        <v>399</v>
      </c>
      <c r="C57" s="12" t="s">
        <v>91</v>
      </c>
      <c r="D57" s="12" t="s">
        <v>92</v>
      </c>
      <c r="E57" s="12" t="s">
        <v>93</v>
      </c>
      <c r="F57" s="12" t="s">
        <v>385</v>
      </c>
      <c r="G57" s="12" t="s">
        <v>95</v>
      </c>
      <c r="H57" s="12" t="s">
        <v>400</v>
      </c>
      <c r="I57" s="12" t="s">
        <v>401</v>
      </c>
      <c r="J57" s="13" t="s">
        <v>402</v>
      </c>
      <c r="K57" s="12"/>
      <c r="L57" s="12" t="s">
        <v>430</v>
      </c>
      <c r="M57" s="12" t="s">
        <v>431</v>
      </c>
      <c r="N57" s="12" t="s">
        <v>212</v>
      </c>
      <c r="O57" s="12" t="s">
        <v>244</v>
      </c>
      <c r="P57" s="12" t="s">
        <v>155</v>
      </c>
      <c r="Q57" s="12" t="s">
        <v>391</v>
      </c>
      <c r="R57" s="14" t="n">
        <v>98000</v>
      </c>
      <c r="S57" s="14" t="s">
        <v>432</v>
      </c>
      <c r="T57" s="14" t="s">
        <v>106</v>
      </c>
      <c r="U57" s="14" t="n">
        <v>2020</v>
      </c>
      <c r="V57" s="12" t="s">
        <v>157</v>
      </c>
      <c r="W57" s="14"/>
      <c r="X57" s="15" t="n">
        <f aca="false">IF(OR($S57="%",$R57=""),"",$R57*INDEX(Cambi!$J$2:$J$5,MATCH($S57,Cambi!$I$2:$I$5,0))/IF($T57="EUR",1,INDEX(Cambi!$D:$D,MATCH($T57&amp;"|"&amp;$U57,Cambi!$C:$C,0))))</f>
        <v>0.098</v>
      </c>
      <c r="Y57" s="12" t="s">
        <v>130</v>
      </c>
      <c r="Z57" s="12" t="s">
        <v>117</v>
      </c>
      <c r="AA57" s="12" t="s">
        <v>393</v>
      </c>
      <c r="AB57" s="12" t="s">
        <v>394</v>
      </c>
      <c r="AC57" s="12" t="s">
        <v>395</v>
      </c>
      <c r="AD57" s="12" t="s">
        <v>112</v>
      </c>
      <c r="AE57" s="12" t="s">
        <v>405</v>
      </c>
      <c r="AF57" s="12" t="s">
        <v>433</v>
      </c>
      <c r="AG57" s="12" t="s">
        <v>407</v>
      </c>
      <c r="AH57" s="12" t="s">
        <v>116</v>
      </c>
      <c r="AI57" s="12" t="s">
        <v>117</v>
      </c>
      <c r="AJ57" s="12" t="s">
        <v>408</v>
      </c>
      <c r="AK57" s="12" t="s">
        <v>4</v>
      </c>
    </row>
    <row r="58" customFormat="false" ht="15" hidden="false" customHeight="false" outlineLevel="0" collapsed="false">
      <c r="A58" s="11" t="n">
        <v>57</v>
      </c>
      <c r="B58" s="12" t="s">
        <v>399</v>
      </c>
      <c r="C58" s="12" t="s">
        <v>91</v>
      </c>
      <c r="D58" s="12" t="s">
        <v>92</v>
      </c>
      <c r="E58" s="12" t="s">
        <v>93</v>
      </c>
      <c r="F58" s="12" t="s">
        <v>385</v>
      </c>
      <c r="G58" s="12" t="s">
        <v>95</v>
      </c>
      <c r="H58" s="12" t="s">
        <v>400</v>
      </c>
      <c r="I58" s="12" t="s">
        <v>401</v>
      </c>
      <c r="J58" s="13" t="s">
        <v>402</v>
      </c>
      <c r="K58" s="12"/>
      <c r="L58" s="12" t="s">
        <v>434</v>
      </c>
      <c r="M58" s="12" t="s">
        <v>435</v>
      </c>
      <c r="N58" s="12" t="s">
        <v>212</v>
      </c>
      <c r="O58" s="12" t="s">
        <v>417</v>
      </c>
      <c r="P58" s="12" t="s">
        <v>155</v>
      </c>
      <c r="Q58" s="12" t="s">
        <v>391</v>
      </c>
      <c r="R58" s="14" t="n">
        <v>40000</v>
      </c>
      <c r="S58" s="14" t="s">
        <v>432</v>
      </c>
      <c r="T58" s="14" t="s">
        <v>106</v>
      </c>
      <c r="U58" s="14" t="n">
        <v>2020</v>
      </c>
      <c r="V58" s="12" t="s">
        <v>157</v>
      </c>
      <c r="W58" s="14"/>
      <c r="X58" s="15" t="n">
        <f aca="false">IF(OR($S58="%",$R58=""),"",$R58*INDEX(Cambi!$J$2:$J$5,MATCH($S58,Cambi!$I$2:$I$5,0))/IF($T58="EUR",1,INDEX(Cambi!$D:$D,MATCH($T58&amp;"|"&amp;$U58,Cambi!$C:$C,0))))</f>
        <v>0.04</v>
      </c>
      <c r="Y58" s="12" t="s">
        <v>130</v>
      </c>
      <c r="Z58" s="12" t="s">
        <v>117</v>
      </c>
      <c r="AA58" s="12" t="s">
        <v>393</v>
      </c>
      <c r="AB58" s="12" t="s">
        <v>394</v>
      </c>
      <c r="AC58" s="12" t="s">
        <v>395</v>
      </c>
      <c r="AD58" s="12" t="s">
        <v>112</v>
      </c>
      <c r="AE58" s="12" t="s">
        <v>405</v>
      </c>
      <c r="AF58" s="12" t="s">
        <v>433</v>
      </c>
      <c r="AG58" s="12" t="s">
        <v>407</v>
      </c>
      <c r="AH58" s="12" t="s">
        <v>116</v>
      </c>
      <c r="AI58" s="12" t="s">
        <v>117</v>
      </c>
      <c r="AJ58" s="12" t="s">
        <v>436</v>
      </c>
      <c r="AK58" s="12" t="s">
        <v>4</v>
      </c>
    </row>
    <row r="59" customFormat="false" ht="15" hidden="false" customHeight="false" outlineLevel="0" collapsed="false">
      <c r="A59" s="11" t="n">
        <v>58</v>
      </c>
      <c r="B59" s="12" t="s">
        <v>437</v>
      </c>
      <c r="C59" s="12" t="s">
        <v>91</v>
      </c>
      <c r="D59" s="12" t="s">
        <v>92</v>
      </c>
      <c r="E59" s="12" t="s">
        <v>93</v>
      </c>
      <c r="F59" s="12" t="s">
        <v>385</v>
      </c>
      <c r="G59" s="12" t="s">
        <v>95</v>
      </c>
      <c r="H59" s="12" t="s">
        <v>438</v>
      </c>
      <c r="I59" s="12" t="s">
        <v>439</v>
      </c>
      <c r="J59" s="13" t="s">
        <v>440</v>
      </c>
      <c r="K59" s="12"/>
      <c r="L59" s="12" t="s">
        <v>441</v>
      </c>
      <c r="M59" s="12" t="s">
        <v>442</v>
      </c>
      <c r="N59" s="12" t="s">
        <v>195</v>
      </c>
      <c r="O59" s="12" t="s">
        <v>196</v>
      </c>
      <c r="P59" s="12" t="s">
        <v>103</v>
      </c>
      <c r="Q59" s="12" t="s">
        <v>104</v>
      </c>
      <c r="R59" s="14" t="n">
        <v>7.2</v>
      </c>
      <c r="S59" s="14" t="s">
        <v>197</v>
      </c>
      <c r="T59" s="14"/>
      <c r="U59" s="14" t="n">
        <v>2021</v>
      </c>
      <c r="V59" s="12" t="s">
        <v>157</v>
      </c>
      <c r="W59" s="14"/>
      <c r="X59" s="15" t="str">
        <f aca="false">IF(OR($S59="%",$R59=""),"",$R59*INDEX(Cambi!$J$2:$J$5,MATCH($S59,Cambi!$I$2:$I$5,0))/IF($T59="EUR",1,INDEX(Cambi!$D:$D,MATCH($T59&amp;"|"&amp;$U59,Cambi!$C:$C,0))))</f>
        <v/>
      </c>
      <c r="Y59" s="12" t="s">
        <v>130</v>
      </c>
      <c r="Z59" s="12" t="s">
        <v>117</v>
      </c>
      <c r="AA59" s="12" t="s">
        <v>393</v>
      </c>
      <c r="AB59" s="12" t="s">
        <v>394</v>
      </c>
      <c r="AC59" s="12" t="s">
        <v>395</v>
      </c>
      <c r="AD59" s="12" t="s">
        <v>112</v>
      </c>
      <c r="AE59" s="12" t="s">
        <v>443</v>
      </c>
      <c r="AF59" s="12" t="s">
        <v>444</v>
      </c>
      <c r="AG59" s="12" t="s">
        <v>115</v>
      </c>
      <c r="AH59" s="12" t="s">
        <v>116</v>
      </c>
      <c r="AI59" s="12" t="s">
        <v>117</v>
      </c>
      <c r="AJ59" s="12" t="s">
        <v>445</v>
      </c>
      <c r="AK59" s="12" t="s">
        <v>4</v>
      </c>
    </row>
    <row r="60" customFormat="false" ht="15" hidden="false" customHeight="false" outlineLevel="0" collapsed="false">
      <c r="A60" s="11" t="n">
        <v>59</v>
      </c>
      <c r="B60" s="12" t="s">
        <v>437</v>
      </c>
      <c r="C60" s="12" t="s">
        <v>91</v>
      </c>
      <c r="D60" s="12" t="s">
        <v>92</v>
      </c>
      <c r="E60" s="12" t="s">
        <v>93</v>
      </c>
      <c r="F60" s="12" t="s">
        <v>385</v>
      </c>
      <c r="G60" s="12" t="s">
        <v>95</v>
      </c>
      <c r="H60" s="12" t="s">
        <v>438</v>
      </c>
      <c r="I60" s="12" t="s">
        <v>439</v>
      </c>
      <c r="J60" s="13" t="s">
        <v>440</v>
      </c>
      <c r="K60" s="12"/>
      <c r="L60" s="12" t="s">
        <v>446</v>
      </c>
      <c r="M60" s="12" t="s">
        <v>447</v>
      </c>
      <c r="N60" s="12" t="s">
        <v>212</v>
      </c>
      <c r="O60" s="12" t="s">
        <v>244</v>
      </c>
      <c r="P60" s="12" t="s">
        <v>103</v>
      </c>
      <c r="Q60" s="12" t="s">
        <v>104</v>
      </c>
      <c r="R60" s="14" t="n">
        <v>4</v>
      </c>
      <c r="S60" s="14" t="s">
        <v>105</v>
      </c>
      <c r="T60" s="14" t="s">
        <v>106</v>
      </c>
      <c r="U60" s="14" t="n">
        <v>2021</v>
      </c>
      <c r="V60" s="12" t="s">
        <v>157</v>
      </c>
      <c r="W60" s="14"/>
      <c r="X60" s="15" t="n">
        <f aca="false">IF(OR($S60="%",$R60=""),"",$R60*INDEX(Cambi!$J$2:$J$5,MATCH($S60,Cambi!$I$2:$I$5,0))/IF($T60="EUR",1,INDEX(Cambi!$D:$D,MATCH($T60&amp;"|"&amp;$U60,Cambi!$C:$C,0))))</f>
        <v>4</v>
      </c>
      <c r="Y60" s="12" t="s">
        <v>130</v>
      </c>
      <c r="Z60" s="12" t="s">
        <v>117</v>
      </c>
      <c r="AA60" s="12" t="s">
        <v>393</v>
      </c>
      <c r="AB60" s="12" t="s">
        <v>394</v>
      </c>
      <c r="AC60" s="12" t="s">
        <v>395</v>
      </c>
      <c r="AD60" s="12" t="s">
        <v>112</v>
      </c>
      <c r="AE60" s="12" t="s">
        <v>443</v>
      </c>
      <c r="AF60" s="12" t="s">
        <v>448</v>
      </c>
      <c r="AG60" s="12" t="s">
        <v>115</v>
      </c>
      <c r="AH60" s="12" t="s">
        <v>116</v>
      </c>
      <c r="AI60" s="12" t="s">
        <v>117</v>
      </c>
      <c r="AJ60" s="12" t="s">
        <v>449</v>
      </c>
      <c r="AK60" s="12" t="s">
        <v>4</v>
      </c>
    </row>
    <row r="61" customFormat="false" ht="15" hidden="false" customHeight="false" outlineLevel="0" collapsed="false">
      <c r="A61" s="11" t="n">
        <v>60</v>
      </c>
      <c r="B61" s="12" t="s">
        <v>437</v>
      </c>
      <c r="C61" s="12" t="s">
        <v>91</v>
      </c>
      <c r="D61" s="12" t="s">
        <v>92</v>
      </c>
      <c r="E61" s="12" t="s">
        <v>93</v>
      </c>
      <c r="F61" s="12" t="s">
        <v>385</v>
      </c>
      <c r="G61" s="12" t="s">
        <v>95</v>
      </c>
      <c r="H61" s="12" t="s">
        <v>438</v>
      </c>
      <c r="I61" s="12" t="s">
        <v>439</v>
      </c>
      <c r="J61" s="13" t="s">
        <v>440</v>
      </c>
      <c r="K61" s="12"/>
      <c r="L61" s="12" t="s">
        <v>450</v>
      </c>
      <c r="M61" s="12" t="s">
        <v>451</v>
      </c>
      <c r="N61" s="12" t="s">
        <v>212</v>
      </c>
      <c r="O61" s="12" t="s">
        <v>244</v>
      </c>
      <c r="P61" s="12" t="s">
        <v>155</v>
      </c>
      <c r="Q61" s="12" t="s">
        <v>452</v>
      </c>
      <c r="R61" s="14" t="n">
        <v>399000</v>
      </c>
      <c r="S61" s="14" t="s">
        <v>432</v>
      </c>
      <c r="T61" s="14" t="s">
        <v>106</v>
      </c>
      <c r="U61" s="14" t="n">
        <v>2021</v>
      </c>
      <c r="V61" s="12" t="s">
        <v>157</v>
      </c>
      <c r="W61" s="14"/>
      <c r="X61" s="15" t="n">
        <f aca="false">IF(OR($S61="%",$R61=""),"",$R61*INDEX(Cambi!$J$2:$J$5,MATCH($S61,Cambi!$I$2:$I$5,0))/IF($T61="EUR",1,INDEX(Cambi!$D:$D,MATCH($T61&amp;"|"&amp;$U61,Cambi!$C:$C,0))))</f>
        <v>0.399</v>
      </c>
      <c r="Y61" s="12" t="s">
        <v>130</v>
      </c>
      <c r="Z61" s="12" t="s">
        <v>117</v>
      </c>
      <c r="AA61" s="12" t="s">
        <v>452</v>
      </c>
      <c r="AB61" s="12" t="s">
        <v>394</v>
      </c>
      <c r="AC61" s="12" t="s">
        <v>395</v>
      </c>
      <c r="AD61" s="12" t="s">
        <v>112</v>
      </c>
      <c r="AE61" s="12" t="s">
        <v>443</v>
      </c>
      <c r="AF61" s="12" t="s">
        <v>453</v>
      </c>
      <c r="AG61" s="12" t="s">
        <v>115</v>
      </c>
      <c r="AH61" s="12" t="s">
        <v>116</v>
      </c>
      <c r="AI61" s="12" t="s">
        <v>117</v>
      </c>
      <c r="AJ61" s="12" t="s">
        <v>408</v>
      </c>
      <c r="AK61" s="12" t="s">
        <v>4</v>
      </c>
    </row>
    <row r="62" customFormat="false" ht="15" hidden="false" customHeight="false" outlineLevel="0" collapsed="false">
      <c r="A62" s="11" t="n">
        <v>61</v>
      </c>
      <c r="B62" s="12" t="s">
        <v>437</v>
      </c>
      <c r="C62" s="12" t="s">
        <v>91</v>
      </c>
      <c r="D62" s="12" t="s">
        <v>92</v>
      </c>
      <c r="E62" s="12" t="s">
        <v>93</v>
      </c>
      <c r="F62" s="12" t="s">
        <v>385</v>
      </c>
      <c r="G62" s="12" t="s">
        <v>95</v>
      </c>
      <c r="H62" s="12" t="s">
        <v>438</v>
      </c>
      <c r="I62" s="12" t="s">
        <v>439</v>
      </c>
      <c r="J62" s="13" t="s">
        <v>440</v>
      </c>
      <c r="K62" s="12"/>
      <c r="L62" s="12" t="s">
        <v>454</v>
      </c>
      <c r="M62" s="12" t="s">
        <v>455</v>
      </c>
      <c r="N62" s="12" t="s">
        <v>212</v>
      </c>
      <c r="O62" s="12" t="s">
        <v>417</v>
      </c>
      <c r="P62" s="12" t="s">
        <v>155</v>
      </c>
      <c r="Q62" s="12" t="s">
        <v>452</v>
      </c>
      <c r="R62" s="14" t="n">
        <v>50000</v>
      </c>
      <c r="S62" s="14" t="s">
        <v>432</v>
      </c>
      <c r="T62" s="14" t="s">
        <v>106</v>
      </c>
      <c r="U62" s="14" t="n">
        <v>2021</v>
      </c>
      <c r="V62" s="12" t="s">
        <v>157</v>
      </c>
      <c r="W62" s="14"/>
      <c r="X62" s="15" t="n">
        <f aca="false">IF(OR($S62="%",$R62=""),"",$R62*INDEX(Cambi!$J$2:$J$5,MATCH($S62,Cambi!$I$2:$I$5,0))/IF($T62="EUR",1,INDEX(Cambi!$D:$D,MATCH($T62&amp;"|"&amp;$U62,Cambi!$C:$C,0))))</f>
        <v>0.05</v>
      </c>
      <c r="Y62" s="12" t="s">
        <v>130</v>
      </c>
      <c r="Z62" s="12" t="s">
        <v>117</v>
      </c>
      <c r="AA62" s="12" t="s">
        <v>452</v>
      </c>
      <c r="AB62" s="12" t="s">
        <v>394</v>
      </c>
      <c r="AC62" s="12" t="s">
        <v>395</v>
      </c>
      <c r="AD62" s="12" t="s">
        <v>112</v>
      </c>
      <c r="AE62" s="12" t="s">
        <v>443</v>
      </c>
      <c r="AF62" s="12" t="s">
        <v>453</v>
      </c>
      <c r="AG62" s="12" t="s">
        <v>115</v>
      </c>
      <c r="AH62" s="12" t="s">
        <v>116</v>
      </c>
      <c r="AI62" s="12" t="s">
        <v>117</v>
      </c>
      <c r="AJ62" s="12" t="s">
        <v>456</v>
      </c>
      <c r="AK62" s="12" t="s">
        <v>4</v>
      </c>
    </row>
    <row r="63" customFormat="false" ht="15" hidden="false" customHeight="false" outlineLevel="0" collapsed="false">
      <c r="A63" s="11" t="n">
        <v>62</v>
      </c>
      <c r="B63" s="12" t="s">
        <v>437</v>
      </c>
      <c r="C63" s="12" t="s">
        <v>91</v>
      </c>
      <c r="D63" s="12" t="s">
        <v>92</v>
      </c>
      <c r="E63" s="12" t="s">
        <v>93</v>
      </c>
      <c r="F63" s="12" t="s">
        <v>385</v>
      </c>
      <c r="G63" s="12" t="s">
        <v>95</v>
      </c>
      <c r="H63" s="12" t="s">
        <v>438</v>
      </c>
      <c r="I63" s="12" t="s">
        <v>439</v>
      </c>
      <c r="J63" s="13" t="s">
        <v>440</v>
      </c>
      <c r="K63" s="12"/>
      <c r="L63" s="12" t="s">
        <v>457</v>
      </c>
      <c r="M63" s="12" t="s">
        <v>458</v>
      </c>
      <c r="N63" s="12" t="s">
        <v>212</v>
      </c>
      <c r="O63" s="12" t="s">
        <v>417</v>
      </c>
      <c r="P63" s="12" t="s">
        <v>214</v>
      </c>
      <c r="Q63" s="12" t="s">
        <v>418</v>
      </c>
      <c r="R63" s="14" t="n">
        <v>2.5</v>
      </c>
      <c r="S63" s="14" t="s">
        <v>105</v>
      </c>
      <c r="T63" s="14" t="s">
        <v>106</v>
      </c>
      <c r="U63" s="14" t="n">
        <v>2021</v>
      </c>
      <c r="V63" s="12" t="s">
        <v>157</v>
      </c>
      <c r="W63" s="14"/>
      <c r="X63" s="15" t="n">
        <f aca="false">IF(OR($S63="%",$R63=""),"",$R63*INDEX(Cambi!$J$2:$J$5,MATCH($S63,Cambi!$I$2:$I$5,0))/IF($T63="EUR",1,INDEX(Cambi!$D:$D,MATCH($T63&amp;"|"&amp;$U63,Cambi!$C:$C,0))))</f>
        <v>2.5</v>
      </c>
      <c r="Y63" s="12" t="s">
        <v>130</v>
      </c>
      <c r="Z63" s="12" t="s">
        <v>117</v>
      </c>
      <c r="AA63" s="12" t="s">
        <v>393</v>
      </c>
      <c r="AB63" s="12" t="s">
        <v>394</v>
      </c>
      <c r="AC63" s="12" t="s">
        <v>395</v>
      </c>
      <c r="AD63" s="12" t="s">
        <v>112</v>
      </c>
      <c r="AE63" s="12" t="s">
        <v>443</v>
      </c>
      <c r="AF63" s="12" t="s">
        <v>459</v>
      </c>
      <c r="AG63" s="12" t="s">
        <v>115</v>
      </c>
      <c r="AH63" s="12" t="s">
        <v>116</v>
      </c>
      <c r="AI63" s="12" t="s">
        <v>117</v>
      </c>
      <c r="AJ63" s="12" t="s">
        <v>408</v>
      </c>
      <c r="AK63" s="12" t="s">
        <v>4</v>
      </c>
    </row>
    <row r="64" customFormat="false" ht="15" hidden="false" customHeight="false" outlineLevel="0" collapsed="false">
      <c r="A64" s="11" t="n">
        <v>63</v>
      </c>
      <c r="B64" s="12" t="s">
        <v>437</v>
      </c>
      <c r="C64" s="12" t="s">
        <v>91</v>
      </c>
      <c r="D64" s="12" t="s">
        <v>92</v>
      </c>
      <c r="E64" s="12" t="s">
        <v>93</v>
      </c>
      <c r="F64" s="12" t="s">
        <v>385</v>
      </c>
      <c r="G64" s="12" t="s">
        <v>95</v>
      </c>
      <c r="H64" s="12" t="s">
        <v>438</v>
      </c>
      <c r="I64" s="12" t="s">
        <v>439</v>
      </c>
      <c r="J64" s="13" t="s">
        <v>440</v>
      </c>
      <c r="K64" s="12"/>
      <c r="L64" s="12" t="s">
        <v>457</v>
      </c>
      <c r="M64" s="12" t="s">
        <v>460</v>
      </c>
      <c r="N64" s="12" t="s">
        <v>212</v>
      </c>
      <c r="O64" s="12" t="s">
        <v>417</v>
      </c>
      <c r="P64" s="12" t="s">
        <v>214</v>
      </c>
      <c r="Q64" s="12" t="s">
        <v>421</v>
      </c>
      <c r="R64" s="14" t="n">
        <v>1</v>
      </c>
      <c r="S64" s="14" t="s">
        <v>105</v>
      </c>
      <c r="T64" s="14" t="s">
        <v>106</v>
      </c>
      <c r="U64" s="14" t="n">
        <v>2021</v>
      </c>
      <c r="V64" s="12" t="s">
        <v>157</v>
      </c>
      <c r="W64" s="14"/>
      <c r="X64" s="15" t="n">
        <f aca="false">IF(OR($S64="%",$R64=""),"",$R64*INDEX(Cambi!$J$2:$J$5,MATCH($S64,Cambi!$I$2:$I$5,0))/IF($T64="EUR",1,INDEX(Cambi!$D:$D,MATCH($T64&amp;"|"&amp;$U64,Cambi!$C:$C,0))))</f>
        <v>1</v>
      </c>
      <c r="Y64" s="12" t="s">
        <v>130</v>
      </c>
      <c r="Z64" s="12" t="s">
        <v>117</v>
      </c>
      <c r="AA64" s="12" t="s">
        <v>393</v>
      </c>
      <c r="AB64" s="12" t="s">
        <v>394</v>
      </c>
      <c r="AC64" s="12" t="s">
        <v>395</v>
      </c>
      <c r="AD64" s="12" t="s">
        <v>112</v>
      </c>
      <c r="AE64" s="12" t="s">
        <v>443</v>
      </c>
      <c r="AF64" s="12" t="s">
        <v>459</v>
      </c>
      <c r="AG64" s="12" t="s">
        <v>115</v>
      </c>
      <c r="AH64" s="12" t="s">
        <v>116</v>
      </c>
      <c r="AI64" s="12" t="s">
        <v>117</v>
      </c>
      <c r="AJ64" s="12" t="s">
        <v>408</v>
      </c>
      <c r="AK64" s="12" t="s">
        <v>4</v>
      </c>
    </row>
    <row r="65" customFormat="false" ht="15" hidden="false" customHeight="false" outlineLevel="0" collapsed="false">
      <c r="A65" s="11" t="n">
        <v>64</v>
      </c>
      <c r="B65" s="12" t="s">
        <v>437</v>
      </c>
      <c r="C65" s="12" t="s">
        <v>91</v>
      </c>
      <c r="D65" s="12" t="s">
        <v>92</v>
      </c>
      <c r="E65" s="12" t="s">
        <v>93</v>
      </c>
      <c r="F65" s="12" t="s">
        <v>385</v>
      </c>
      <c r="G65" s="12" t="s">
        <v>95</v>
      </c>
      <c r="H65" s="12" t="s">
        <v>438</v>
      </c>
      <c r="I65" s="12" t="s">
        <v>439</v>
      </c>
      <c r="J65" s="13" t="s">
        <v>440</v>
      </c>
      <c r="K65" s="12"/>
      <c r="L65" s="12" t="s">
        <v>457</v>
      </c>
      <c r="M65" s="12" t="s">
        <v>461</v>
      </c>
      <c r="N65" s="12" t="s">
        <v>212</v>
      </c>
      <c r="O65" s="12" t="s">
        <v>417</v>
      </c>
      <c r="P65" s="12" t="s">
        <v>214</v>
      </c>
      <c r="Q65" s="12" t="s">
        <v>462</v>
      </c>
      <c r="R65" s="14" t="n">
        <v>1.2</v>
      </c>
      <c r="S65" s="14" t="s">
        <v>105</v>
      </c>
      <c r="T65" s="14" t="s">
        <v>106</v>
      </c>
      <c r="U65" s="14" t="n">
        <v>2021</v>
      </c>
      <c r="V65" s="12" t="s">
        <v>157</v>
      </c>
      <c r="W65" s="14"/>
      <c r="X65" s="15" t="n">
        <f aca="false">IF(OR($S65="%",$R65=""),"",$R65*INDEX(Cambi!$J$2:$J$5,MATCH($S65,Cambi!$I$2:$I$5,0))/IF($T65="EUR",1,INDEX(Cambi!$D:$D,MATCH($T65&amp;"|"&amp;$U65,Cambi!$C:$C,0))))</f>
        <v>1.2</v>
      </c>
      <c r="Y65" s="12" t="s">
        <v>130</v>
      </c>
      <c r="Z65" s="12" t="s">
        <v>117</v>
      </c>
      <c r="AA65" s="12" t="s">
        <v>393</v>
      </c>
      <c r="AB65" s="12" t="s">
        <v>394</v>
      </c>
      <c r="AC65" s="12" t="s">
        <v>395</v>
      </c>
      <c r="AD65" s="12" t="s">
        <v>112</v>
      </c>
      <c r="AE65" s="12" t="s">
        <v>443</v>
      </c>
      <c r="AF65" s="12" t="s">
        <v>459</v>
      </c>
      <c r="AG65" s="12" t="s">
        <v>115</v>
      </c>
      <c r="AH65" s="12" t="s">
        <v>116</v>
      </c>
      <c r="AI65" s="12" t="s">
        <v>117</v>
      </c>
      <c r="AJ65" s="12" t="s">
        <v>463</v>
      </c>
      <c r="AK65" s="12" t="s">
        <v>4</v>
      </c>
    </row>
    <row r="66" customFormat="false" ht="15" hidden="false" customHeight="false" outlineLevel="0" collapsed="false">
      <c r="A66" s="11" t="n">
        <v>65</v>
      </c>
      <c r="B66" s="12" t="s">
        <v>437</v>
      </c>
      <c r="C66" s="12" t="s">
        <v>91</v>
      </c>
      <c r="D66" s="12" t="s">
        <v>92</v>
      </c>
      <c r="E66" s="12" t="s">
        <v>93</v>
      </c>
      <c r="F66" s="12" t="s">
        <v>385</v>
      </c>
      <c r="G66" s="12" t="s">
        <v>95</v>
      </c>
      <c r="H66" s="12" t="s">
        <v>438</v>
      </c>
      <c r="I66" s="12" t="s">
        <v>439</v>
      </c>
      <c r="J66" s="13" t="s">
        <v>440</v>
      </c>
      <c r="K66" s="12"/>
      <c r="L66" s="12" t="s">
        <v>464</v>
      </c>
      <c r="M66" s="12" t="s">
        <v>465</v>
      </c>
      <c r="N66" s="12" t="s">
        <v>212</v>
      </c>
      <c r="O66" s="12" t="s">
        <v>417</v>
      </c>
      <c r="P66" s="12" t="s">
        <v>214</v>
      </c>
      <c r="Q66" s="12" t="s">
        <v>466</v>
      </c>
      <c r="R66" s="14" t="n">
        <v>100000</v>
      </c>
      <c r="S66" s="14" t="s">
        <v>432</v>
      </c>
      <c r="T66" s="14" t="s">
        <v>106</v>
      </c>
      <c r="U66" s="14" t="n">
        <v>2021</v>
      </c>
      <c r="V66" s="12" t="s">
        <v>157</v>
      </c>
      <c r="W66" s="14"/>
      <c r="X66" s="15" t="n">
        <f aca="false">IF(OR($S66="%",$R66=""),"",$R66*INDEX(Cambi!$J$2:$J$5,MATCH($S66,Cambi!$I$2:$I$5,0))/IF($T66="EUR",1,INDEX(Cambi!$D:$D,MATCH($T66&amp;"|"&amp;$U66,Cambi!$C:$C,0))))</f>
        <v>0.1</v>
      </c>
      <c r="Y66" s="12" t="s">
        <v>130</v>
      </c>
      <c r="Z66" s="12" t="s">
        <v>117</v>
      </c>
      <c r="AA66" s="12" t="s">
        <v>393</v>
      </c>
      <c r="AB66" s="12" t="s">
        <v>394</v>
      </c>
      <c r="AC66" s="12" t="s">
        <v>395</v>
      </c>
      <c r="AD66" s="12" t="s">
        <v>112</v>
      </c>
      <c r="AE66" s="12" t="s">
        <v>443</v>
      </c>
      <c r="AF66" s="12" t="s">
        <v>467</v>
      </c>
      <c r="AG66" s="12" t="s">
        <v>115</v>
      </c>
      <c r="AH66" s="12" t="s">
        <v>116</v>
      </c>
      <c r="AI66" s="12" t="s">
        <v>117</v>
      </c>
      <c r="AJ66" s="12" t="s">
        <v>468</v>
      </c>
      <c r="AK66" s="12" t="s">
        <v>4</v>
      </c>
    </row>
    <row r="67" customFormat="false" ht="15" hidden="false" customHeight="false" outlineLevel="0" collapsed="false">
      <c r="A67" s="11" t="n">
        <v>66</v>
      </c>
      <c r="B67" s="12" t="s">
        <v>437</v>
      </c>
      <c r="C67" s="12" t="s">
        <v>91</v>
      </c>
      <c r="D67" s="12" t="s">
        <v>92</v>
      </c>
      <c r="E67" s="12" t="s">
        <v>93</v>
      </c>
      <c r="F67" s="12" t="s">
        <v>385</v>
      </c>
      <c r="G67" s="12" t="s">
        <v>95</v>
      </c>
      <c r="H67" s="12" t="s">
        <v>438</v>
      </c>
      <c r="I67" s="12" t="s">
        <v>439</v>
      </c>
      <c r="J67" s="13" t="s">
        <v>440</v>
      </c>
      <c r="K67" s="12"/>
      <c r="L67" s="12" t="s">
        <v>469</v>
      </c>
      <c r="M67" s="12" t="s">
        <v>470</v>
      </c>
      <c r="N67" s="12" t="s">
        <v>195</v>
      </c>
      <c r="O67" s="12" t="s">
        <v>196</v>
      </c>
      <c r="P67" s="12" t="s">
        <v>214</v>
      </c>
      <c r="Q67" s="12" t="s">
        <v>471</v>
      </c>
      <c r="R67" s="14" t="n">
        <v>8.5</v>
      </c>
      <c r="S67" s="14" t="s">
        <v>197</v>
      </c>
      <c r="T67" s="14"/>
      <c r="U67" s="14" t="n">
        <v>2021</v>
      </c>
      <c r="V67" s="12" t="s">
        <v>157</v>
      </c>
      <c r="W67" s="14"/>
      <c r="X67" s="15" t="str">
        <f aca="false">IF(OR($S67="%",$R67=""),"",$R67*INDEX(Cambi!$J$2:$J$5,MATCH($S67,Cambi!$I$2:$I$5,0))/IF($T67="EUR",1,INDEX(Cambi!$D:$D,MATCH($T67&amp;"|"&amp;$U67,Cambi!$C:$C,0))))</f>
        <v/>
      </c>
      <c r="Y67" s="12" t="s">
        <v>130</v>
      </c>
      <c r="Z67" s="12" t="s">
        <v>117</v>
      </c>
      <c r="AA67" s="12" t="s">
        <v>393</v>
      </c>
      <c r="AB67" s="12" t="s">
        <v>394</v>
      </c>
      <c r="AC67" s="12" t="s">
        <v>395</v>
      </c>
      <c r="AD67" s="12" t="s">
        <v>112</v>
      </c>
      <c r="AE67" s="12" t="s">
        <v>443</v>
      </c>
      <c r="AF67" s="12" t="s">
        <v>472</v>
      </c>
      <c r="AG67" s="12" t="s">
        <v>115</v>
      </c>
      <c r="AH67" s="12" t="s">
        <v>116</v>
      </c>
      <c r="AI67" s="12" t="s">
        <v>117</v>
      </c>
      <c r="AJ67" s="12" t="s">
        <v>473</v>
      </c>
      <c r="AK67" s="12" t="s">
        <v>4</v>
      </c>
    </row>
    <row r="68" customFormat="false" ht="15" hidden="false" customHeight="false" outlineLevel="0" collapsed="false">
      <c r="A68" s="11" t="n">
        <v>67</v>
      </c>
      <c r="B68" s="12" t="s">
        <v>437</v>
      </c>
      <c r="C68" s="12" t="s">
        <v>91</v>
      </c>
      <c r="D68" s="12" t="s">
        <v>92</v>
      </c>
      <c r="E68" s="12" t="s">
        <v>93</v>
      </c>
      <c r="F68" s="12" t="s">
        <v>385</v>
      </c>
      <c r="G68" s="12" t="s">
        <v>95</v>
      </c>
      <c r="H68" s="12" t="s">
        <v>438</v>
      </c>
      <c r="I68" s="12" t="s">
        <v>439</v>
      </c>
      <c r="J68" s="13" t="s">
        <v>440</v>
      </c>
      <c r="K68" s="12"/>
      <c r="L68" s="12" t="s">
        <v>469</v>
      </c>
      <c r="M68" s="12" t="s">
        <v>474</v>
      </c>
      <c r="N68" s="12" t="s">
        <v>195</v>
      </c>
      <c r="O68" s="12" t="s">
        <v>196</v>
      </c>
      <c r="P68" s="12" t="s">
        <v>214</v>
      </c>
      <c r="Q68" s="12" t="s">
        <v>475</v>
      </c>
      <c r="R68" s="14" t="n">
        <v>10</v>
      </c>
      <c r="S68" s="14" t="s">
        <v>197</v>
      </c>
      <c r="T68" s="14"/>
      <c r="U68" s="14" t="n">
        <v>2021</v>
      </c>
      <c r="V68" s="12" t="s">
        <v>157</v>
      </c>
      <c r="W68" s="14"/>
      <c r="X68" s="15" t="str">
        <f aca="false">IF(OR($S68="%",$R68=""),"",$R68*INDEX(Cambi!$J$2:$J$5,MATCH($S68,Cambi!$I$2:$I$5,0))/IF($T68="EUR",1,INDEX(Cambi!$D:$D,MATCH($T68&amp;"|"&amp;$U68,Cambi!$C:$C,0))))</f>
        <v/>
      </c>
      <c r="Y68" s="12" t="s">
        <v>130</v>
      </c>
      <c r="Z68" s="12" t="s">
        <v>117</v>
      </c>
      <c r="AA68" s="12" t="s">
        <v>393</v>
      </c>
      <c r="AB68" s="12" t="s">
        <v>394</v>
      </c>
      <c r="AC68" s="12" t="s">
        <v>395</v>
      </c>
      <c r="AD68" s="12" t="s">
        <v>112</v>
      </c>
      <c r="AE68" s="12" t="s">
        <v>443</v>
      </c>
      <c r="AF68" s="12" t="s">
        <v>472</v>
      </c>
      <c r="AG68" s="12" t="s">
        <v>115</v>
      </c>
      <c r="AH68" s="12" t="s">
        <v>116</v>
      </c>
      <c r="AI68" s="12" t="s">
        <v>117</v>
      </c>
      <c r="AJ68" s="12" t="s">
        <v>476</v>
      </c>
      <c r="AK68" s="12" t="s">
        <v>4</v>
      </c>
    </row>
    <row r="69" customFormat="false" ht="15" hidden="false" customHeight="false" outlineLevel="0" collapsed="false">
      <c r="A69" s="11" t="n">
        <v>68</v>
      </c>
      <c r="B69" s="12" t="s">
        <v>437</v>
      </c>
      <c r="C69" s="12" t="s">
        <v>91</v>
      </c>
      <c r="D69" s="12" t="s">
        <v>92</v>
      </c>
      <c r="E69" s="12" t="s">
        <v>93</v>
      </c>
      <c r="F69" s="12" t="s">
        <v>385</v>
      </c>
      <c r="G69" s="12" t="s">
        <v>95</v>
      </c>
      <c r="H69" s="12" t="s">
        <v>438</v>
      </c>
      <c r="I69" s="12" t="s">
        <v>439</v>
      </c>
      <c r="J69" s="13" t="s">
        <v>440</v>
      </c>
      <c r="K69" s="12"/>
      <c r="L69" s="12" t="s">
        <v>469</v>
      </c>
      <c r="M69" s="12" t="s">
        <v>477</v>
      </c>
      <c r="N69" s="12" t="s">
        <v>195</v>
      </c>
      <c r="O69" s="12" t="s">
        <v>196</v>
      </c>
      <c r="P69" s="12" t="s">
        <v>214</v>
      </c>
      <c r="Q69" s="12" t="s">
        <v>478</v>
      </c>
      <c r="R69" s="14" t="n">
        <v>8.8</v>
      </c>
      <c r="S69" s="14" t="s">
        <v>197</v>
      </c>
      <c r="T69" s="14"/>
      <c r="U69" s="14" t="n">
        <v>2021</v>
      </c>
      <c r="V69" s="12" t="s">
        <v>157</v>
      </c>
      <c r="W69" s="14"/>
      <c r="X69" s="15" t="str">
        <f aca="false">IF(OR($S69="%",$R69=""),"",$R69*INDEX(Cambi!$J$2:$J$5,MATCH($S69,Cambi!$I$2:$I$5,0))/IF($T69="EUR",1,INDEX(Cambi!$D:$D,MATCH($T69&amp;"|"&amp;$U69,Cambi!$C:$C,0))))</f>
        <v/>
      </c>
      <c r="Y69" s="12" t="s">
        <v>130</v>
      </c>
      <c r="Z69" s="12" t="s">
        <v>117</v>
      </c>
      <c r="AA69" s="12" t="s">
        <v>393</v>
      </c>
      <c r="AB69" s="12" t="s">
        <v>394</v>
      </c>
      <c r="AC69" s="12" t="s">
        <v>395</v>
      </c>
      <c r="AD69" s="12" t="s">
        <v>112</v>
      </c>
      <c r="AE69" s="12" t="s">
        <v>443</v>
      </c>
      <c r="AF69" s="12" t="s">
        <v>472</v>
      </c>
      <c r="AG69" s="12" t="s">
        <v>115</v>
      </c>
      <c r="AH69" s="12" t="s">
        <v>116</v>
      </c>
      <c r="AI69" s="12" t="s">
        <v>117</v>
      </c>
      <c r="AJ69" s="12" t="s">
        <v>476</v>
      </c>
      <c r="AK69" s="12" t="s">
        <v>4</v>
      </c>
    </row>
    <row r="70" customFormat="false" ht="15" hidden="false" customHeight="false" outlineLevel="0" collapsed="false">
      <c r="A70" s="11" t="n">
        <v>69</v>
      </c>
      <c r="B70" s="12" t="s">
        <v>437</v>
      </c>
      <c r="C70" s="12" t="s">
        <v>91</v>
      </c>
      <c r="D70" s="12" t="s">
        <v>92</v>
      </c>
      <c r="E70" s="12" t="s">
        <v>93</v>
      </c>
      <c r="F70" s="12" t="s">
        <v>385</v>
      </c>
      <c r="G70" s="12" t="s">
        <v>95</v>
      </c>
      <c r="H70" s="12" t="s">
        <v>438</v>
      </c>
      <c r="I70" s="12" t="s">
        <v>439</v>
      </c>
      <c r="J70" s="13" t="s">
        <v>440</v>
      </c>
      <c r="K70" s="12"/>
      <c r="L70" s="12" t="s">
        <v>479</v>
      </c>
      <c r="M70" s="12" t="s">
        <v>480</v>
      </c>
      <c r="N70" s="12" t="s">
        <v>195</v>
      </c>
      <c r="O70" s="12" t="s">
        <v>196</v>
      </c>
      <c r="P70" s="12" t="s">
        <v>103</v>
      </c>
      <c r="Q70" s="12" t="s">
        <v>104</v>
      </c>
      <c r="R70" s="14" t="n">
        <v>6.7</v>
      </c>
      <c r="S70" s="14" t="s">
        <v>197</v>
      </c>
      <c r="T70" s="14"/>
      <c r="U70" s="14" t="n">
        <v>2021</v>
      </c>
      <c r="V70" s="12" t="s">
        <v>157</v>
      </c>
      <c r="W70" s="14"/>
      <c r="X70" s="15" t="str">
        <f aca="false">IF(OR($S70="%",$R70=""),"",$R70*INDEX(Cambi!$J$2:$J$5,MATCH($S70,Cambi!$I$2:$I$5,0))/IF($T70="EUR",1,INDEX(Cambi!$D:$D,MATCH($T70&amp;"|"&amp;$U70,Cambi!$C:$C,0))))</f>
        <v/>
      </c>
      <c r="Y70" s="12" t="s">
        <v>130</v>
      </c>
      <c r="Z70" s="12" t="s">
        <v>117</v>
      </c>
      <c r="AA70" s="12" t="s">
        <v>393</v>
      </c>
      <c r="AB70" s="12" t="s">
        <v>394</v>
      </c>
      <c r="AC70" s="12" t="s">
        <v>395</v>
      </c>
      <c r="AD70" s="12" t="s">
        <v>112</v>
      </c>
      <c r="AE70" s="12" t="s">
        <v>443</v>
      </c>
      <c r="AF70" s="12" t="s">
        <v>444</v>
      </c>
      <c r="AG70" s="12" t="s">
        <v>115</v>
      </c>
      <c r="AH70" s="12" t="s">
        <v>116</v>
      </c>
      <c r="AI70" s="12" t="s">
        <v>117</v>
      </c>
      <c r="AJ70" s="12" t="s">
        <v>481</v>
      </c>
      <c r="AK70" s="12" t="s">
        <v>4</v>
      </c>
    </row>
    <row r="71" customFormat="false" ht="15" hidden="false" customHeight="false" outlineLevel="0" collapsed="false">
      <c r="A71" s="11" t="n">
        <v>70</v>
      </c>
      <c r="B71" s="12" t="s">
        <v>437</v>
      </c>
      <c r="C71" s="12" t="s">
        <v>91</v>
      </c>
      <c r="D71" s="12" t="s">
        <v>92</v>
      </c>
      <c r="E71" s="12" t="s">
        <v>93</v>
      </c>
      <c r="F71" s="12" t="s">
        <v>385</v>
      </c>
      <c r="G71" s="12" t="s">
        <v>95</v>
      </c>
      <c r="H71" s="12" t="s">
        <v>438</v>
      </c>
      <c r="I71" s="12" t="s">
        <v>439</v>
      </c>
      <c r="J71" s="13" t="s">
        <v>440</v>
      </c>
      <c r="K71" s="12"/>
      <c r="L71" s="12" t="s">
        <v>482</v>
      </c>
      <c r="M71" s="12" t="s">
        <v>483</v>
      </c>
      <c r="N71" s="12" t="s">
        <v>212</v>
      </c>
      <c r="O71" s="12" t="s">
        <v>417</v>
      </c>
      <c r="P71" s="12" t="s">
        <v>103</v>
      </c>
      <c r="Q71" s="12" t="s">
        <v>104</v>
      </c>
      <c r="R71" s="14" t="n">
        <v>600000</v>
      </c>
      <c r="S71" s="14" t="s">
        <v>432</v>
      </c>
      <c r="T71" s="14" t="s">
        <v>106</v>
      </c>
      <c r="U71" s="14" t="n">
        <v>2021</v>
      </c>
      <c r="V71" s="12" t="s">
        <v>157</v>
      </c>
      <c r="W71" s="14"/>
      <c r="X71" s="15" t="n">
        <f aca="false">IF(OR($S71="%",$R71=""),"",$R71*INDEX(Cambi!$J$2:$J$5,MATCH($S71,Cambi!$I$2:$I$5,0))/IF($T71="EUR",1,INDEX(Cambi!$D:$D,MATCH($T71&amp;"|"&amp;$U71,Cambi!$C:$C,0))))</f>
        <v>0.6</v>
      </c>
      <c r="Y71" s="12" t="s">
        <v>130</v>
      </c>
      <c r="Z71" s="12" t="s">
        <v>117</v>
      </c>
      <c r="AA71" s="12" t="s">
        <v>393</v>
      </c>
      <c r="AB71" s="12" t="s">
        <v>394</v>
      </c>
      <c r="AC71" s="12" t="s">
        <v>395</v>
      </c>
      <c r="AD71" s="12" t="s">
        <v>112</v>
      </c>
      <c r="AE71" s="12" t="s">
        <v>443</v>
      </c>
      <c r="AF71" s="12" t="s">
        <v>448</v>
      </c>
      <c r="AG71" s="12" t="s">
        <v>115</v>
      </c>
      <c r="AH71" s="12" t="s">
        <v>116</v>
      </c>
      <c r="AI71" s="12" t="s">
        <v>117</v>
      </c>
      <c r="AJ71" s="12" t="s">
        <v>449</v>
      </c>
      <c r="AK71" s="12" t="s">
        <v>4</v>
      </c>
    </row>
    <row r="72" customFormat="false" ht="15" hidden="false" customHeight="false" outlineLevel="0" collapsed="false">
      <c r="A72" s="11" t="n">
        <v>71</v>
      </c>
      <c r="B72" s="12" t="s">
        <v>484</v>
      </c>
      <c r="C72" s="12" t="s">
        <v>91</v>
      </c>
      <c r="D72" s="12" t="s">
        <v>92</v>
      </c>
      <c r="E72" s="12" t="s">
        <v>93</v>
      </c>
      <c r="F72" s="12" t="s">
        <v>385</v>
      </c>
      <c r="G72" s="12" t="s">
        <v>95</v>
      </c>
      <c r="H72" s="12" t="s">
        <v>485</v>
      </c>
      <c r="I72" s="12" t="s">
        <v>486</v>
      </c>
      <c r="J72" s="13" t="s">
        <v>487</v>
      </c>
      <c r="K72" s="12"/>
      <c r="L72" s="12" t="s">
        <v>488</v>
      </c>
      <c r="M72" s="12" t="s">
        <v>489</v>
      </c>
      <c r="N72" s="12" t="s">
        <v>212</v>
      </c>
      <c r="O72" s="12" t="s">
        <v>244</v>
      </c>
      <c r="P72" s="12" t="s">
        <v>103</v>
      </c>
      <c r="Q72" s="12" t="s">
        <v>104</v>
      </c>
      <c r="R72" s="14" t="n">
        <v>5.1</v>
      </c>
      <c r="S72" s="14" t="s">
        <v>105</v>
      </c>
      <c r="T72" s="14" t="s">
        <v>106</v>
      </c>
      <c r="U72" s="14" t="n">
        <v>2022</v>
      </c>
      <c r="V72" s="12" t="s">
        <v>157</v>
      </c>
      <c r="W72" s="14"/>
      <c r="X72" s="15" t="n">
        <f aca="false">IF(OR($S72="%",$R72=""),"",$R72*INDEX(Cambi!$J$2:$J$5,MATCH($S72,Cambi!$I$2:$I$5,0))/IF($T72="EUR",1,INDEX(Cambi!$D:$D,MATCH($T72&amp;"|"&amp;$U72,Cambi!$C:$C,0))))</f>
        <v>5.1</v>
      </c>
      <c r="Y72" s="12" t="s">
        <v>130</v>
      </c>
      <c r="Z72" s="12" t="s">
        <v>117</v>
      </c>
      <c r="AA72" s="12" t="s">
        <v>393</v>
      </c>
      <c r="AB72" s="12" t="s">
        <v>394</v>
      </c>
      <c r="AC72" s="12" t="s">
        <v>395</v>
      </c>
      <c r="AD72" s="12" t="s">
        <v>112</v>
      </c>
      <c r="AE72" s="12" t="s">
        <v>490</v>
      </c>
      <c r="AF72" s="12" t="s">
        <v>491</v>
      </c>
      <c r="AG72" s="12" t="s">
        <v>407</v>
      </c>
      <c r="AH72" s="12" t="s">
        <v>116</v>
      </c>
      <c r="AI72" s="12" t="s">
        <v>117</v>
      </c>
      <c r="AJ72" s="12" t="s">
        <v>408</v>
      </c>
      <c r="AK72" s="12" t="s">
        <v>4</v>
      </c>
    </row>
    <row r="73" customFormat="false" ht="15" hidden="false" customHeight="false" outlineLevel="0" collapsed="false">
      <c r="A73" s="11" t="n">
        <v>72</v>
      </c>
      <c r="B73" s="12" t="s">
        <v>484</v>
      </c>
      <c r="C73" s="12" t="s">
        <v>91</v>
      </c>
      <c r="D73" s="12" t="s">
        <v>92</v>
      </c>
      <c r="E73" s="12" t="s">
        <v>93</v>
      </c>
      <c r="F73" s="12" t="s">
        <v>385</v>
      </c>
      <c r="G73" s="12" t="s">
        <v>95</v>
      </c>
      <c r="H73" s="12" t="s">
        <v>485</v>
      </c>
      <c r="I73" s="12" t="s">
        <v>486</v>
      </c>
      <c r="J73" s="13" t="s">
        <v>487</v>
      </c>
      <c r="K73" s="12" t="s">
        <v>492</v>
      </c>
      <c r="L73" s="12" t="s">
        <v>493</v>
      </c>
      <c r="M73" s="12" t="s">
        <v>494</v>
      </c>
      <c r="N73" s="12" t="s">
        <v>195</v>
      </c>
      <c r="O73" s="12" t="s">
        <v>196</v>
      </c>
      <c r="P73" s="12" t="s">
        <v>103</v>
      </c>
      <c r="Q73" s="12" t="s">
        <v>104</v>
      </c>
      <c r="R73" s="14" t="n">
        <v>2.1</v>
      </c>
      <c r="S73" s="14" t="s">
        <v>197</v>
      </c>
      <c r="T73" s="14"/>
      <c r="U73" s="14" t="n">
        <v>2022</v>
      </c>
      <c r="V73" s="12" t="s">
        <v>157</v>
      </c>
      <c r="W73" s="14"/>
      <c r="X73" s="15" t="str">
        <f aca="false">IF(OR($S73="%",$R73=""),"",$R73*INDEX(Cambi!$J$2:$J$5,MATCH($S73,Cambi!$I$2:$I$5,0))/IF($T73="EUR",1,INDEX(Cambi!$D:$D,MATCH($T73&amp;"|"&amp;$U73,Cambi!$C:$C,0))))</f>
        <v/>
      </c>
      <c r="Y73" s="12" t="s">
        <v>109</v>
      </c>
      <c r="Z73" s="12" t="s">
        <v>109</v>
      </c>
      <c r="AA73" s="12" t="s">
        <v>109</v>
      </c>
      <c r="AB73" s="16" t="s">
        <v>394</v>
      </c>
      <c r="AC73" s="16" t="s">
        <v>495</v>
      </c>
      <c r="AD73" s="12" t="s">
        <v>281</v>
      </c>
      <c r="AE73" s="12" t="s">
        <v>496</v>
      </c>
      <c r="AF73" s="12" t="s">
        <v>497</v>
      </c>
      <c r="AG73" s="12" t="s">
        <v>498</v>
      </c>
      <c r="AH73" s="12" t="s">
        <v>499</v>
      </c>
      <c r="AI73" s="12" t="s">
        <v>285</v>
      </c>
      <c r="AJ73" s="12" t="s">
        <v>500</v>
      </c>
      <c r="AK73" s="12" t="s">
        <v>4</v>
      </c>
    </row>
    <row r="74" customFormat="false" ht="15" hidden="false" customHeight="false" outlineLevel="0" collapsed="false">
      <c r="A74" s="11" t="n">
        <v>73</v>
      </c>
      <c r="B74" s="12" t="s">
        <v>484</v>
      </c>
      <c r="C74" s="12" t="s">
        <v>91</v>
      </c>
      <c r="D74" s="12" t="s">
        <v>92</v>
      </c>
      <c r="E74" s="12" t="s">
        <v>93</v>
      </c>
      <c r="F74" s="12" t="s">
        <v>385</v>
      </c>
      <c r="G74" s="12" t="s">
        <v>95</v>
      </c>
      <c r="H74" s="12" t="s">
        <v>485</v>
      </c>
      <c r="I74" s="12" t="s">
        <v>486</v>
      </c>
      <c r="J74" s="13" t="s">
        <v>487</v>
      </c>
      <c r="K74" s="12"/>
      <c r="L74" s="12" t="s">
        <v>501</v>
      </c>
      <c r="M74" s="12" t="s">
        <v>502</v>
      </c>
      <c r="N74" s="12" t="s">
        <v>195</v>
      </c>
      <c r="O74" s="12" t="s">
        <v>196</v>
      </c>
      <c r="P74" s="12" t="s">
        <v>103</v>
      </c>
      <c r="Q74" s="12" t="s">
        <v>104</v>
      </c>
      <c r="R74" s="14" t="n">
        <v>7.6</v>
      </c>
      <c r="S74" s="14" t="s">
        <v>197</v>
      </c>
      <c r="T74" s="14"/>
      <c r="U74" s="14" t="n">
        <v>2022</v>
      </c>
      <c r="V74" s="12" t="s">
        <v>157</v>
      </c>
      <c r="W74" s="14"/>
      <c r="X74" s="15" t="str">
        <f aca="false">IF(OR($S74="%",$R74=""),"",$R74*INDEX(Cambi!$J$2:$J$5,MATCH($S74,Cambi!$I$2:$I$5,0))/IF($T74="EUR",1,INDEX(Cambi!$D:$D,MATCH($T74&amp;"|"&amp;$U74,Cambi!$C:$C,0))))</f>
        <v/>
      </c>
      <c r="Y74" s="12" t="s">
        <v>130</v>
      </c>
      <c r="Z74" s="12" t="s">
        <v>117</v>
      </c>
      <c r="AA74" s="12" t="s">
        <v>393</v>
      </c>
      <c r="AB74" s="12" t="s">
        <v>394</v>
      </c>
      <c r="AC74" s="12" t="s">
        <v>395</v>
      </c>
      <c r="AD74" s="12" t="s">
        <v>112</v>
      </c>
      <c r="AE74" s="12" t="s">
        <v>490</v>
      </c>
      <c r="AF74" s="12" t="s">
        <v>503</v>
      </c>
      <c r="AG74" s="12" t="s">
        <v>407</v>
      </c>
      <c r="AH74" s="12" t="s">
        <v>116</v>
      </c>
      <c r="AI74" s="12" t="s">
        <v>117</v>
      </c>
      <c r="AJ74" s="12" t="s">
        <v>266</v>
      </c>
      <c r="AK74" s="12" t="s">
        <v>4</v>
      </c>
    </row>
    <row r="75" customFormat="false" ht="15" hidden="false" customHeight="false" outlineLevel="0" collapsed="false">
      <c r="A75" s="11" t="n">
        <v>74</v>
      </c>
      <c r="B75" s="12" t="s">
        <v>484</v>
      </c>
      <c r="C75" s="12" t="s">
        <v>91</v>
      </c>
      <c r="D75" s="12" t="s">
        <v>92</v>
      </c>
      <c r="E75" s="12" t="s">
        <v>93</v>
      </c>
      <c r="F75" s="12" t="s">
        <v>385</v>
      </c>
      <c r="G75" s="12" t="s">
        <v>95</v>
      </c>
      <c r="H75" s="12" t="s">
        <v>485</v>
      </c>
      <c r="I75" s="12" t="s">
        <v>486</v>
      </c>
      <c r="J75" s="13" t="s">
        <v>487</v>
      </c>
      <c r="K75" s="12"/>
      <c r="L75" s="12" t="s">
        <v>504</v>
      </c>
      <c r="M75" s="12" t="s">
        <v>505</v>
      </c>
      <c r="N75" s="12" t="s">
        <v>195</v>
      </c>
      <c r="O75" s="12" t="s">
        <v>196</v>
      </c>
      <c r="P75" s="12" t="s">
        <v>103</v>
      </c>
      <c r="Q75" s="12" t="s">
        <v>104</v>
      </c>
      <c r="R75" s="14" t="n">
        <v>7.1</v>
      </c>
      <c r="S75" s="14" t="s">
        <v>197</v>
      </c>
      <c r="T75" s="14"/>
      <c r="U75" s="14" t="n">
        <v>2022</v>
      </c>
      <c r="V75" s="12" t="s">
        <v>157</v>
      </c>
      <c r="W75" s="14"/>
      <c r="X75" s="15" t="str">
        <f aca="false">IF(OR($S75="%",$R75=""),"",$R75*INDEX(Cambi!$J$2:$J$5,MATCH($S75,Cambi!$I$2:$I$5,0))/IF($T75="EUR",1,INDEX(Cambi!$D:$D,MATCH($T75&amp;"|"&amp;$U75,Cambi!$C:$C,0))))</f>
        <v/>
      </c>
      <c r="Y75" s="12" t="s">
        <v>130</v>
      </c>
      <c r="Z75" s="12" t="s">
        <v>117</v>
      </c>
      <c r="AA75" s="12" t="s">
        <v>393</v>
      </c>
      <c r="AB75" s="12" t="s">
        <v>394</v>
      </c>
      <c r="AC75" s="12" t="s">
        <v>395</v>
      </c>
      <c r="AD75" s="12" t="s">
        <v>112</v>
      </c>
      <c r="AE75" s="12" t="s">
        <v>490</v>
      </c>
      <c r="AF75" s="12" t="s">
        <v>503</v>
      </c>
      <c r="AG75" s="12" t="s">
        <v>407</v>
      </c>
      <c r="AH75" s="12" t="s">
        <v>116</v>
      </c>
      <c r="AI75" s="12" t="s">
        <v>117</v>
      </c>
      <c r="AJ75" s="12" t="s">
        <v>266</v>
      </c>
      <c r="AK75" s="12" t="s">
        <v>4</v>
      </c>
    </row>
    <row r="76" customFormat="false" ht="15" hidden="false" customHeight="false" outlineLevel="0" collapsed="false">
      <c r="A76" s="11" t="n">
        <v>75</v>
      </c>
      <c r="B76" s="12" t="s">
        <v>484</v>
      </c>
      <c r="C76" s="12" t="s">
        <v>91</v>
      </c>
      <c r="D76" s="12" t="s">
        <v>92</v>
      </c>
      <c r="E76" s="12" t="s">
        <v>93</v>
      </c>
      <c r="F76" s="12" t="s">
        <v>385</v>
      </c>
      <c r="G76" s="12" t="s">
        <v>95</v>
      </c>
      <c r="H76" s="12" t="s">
        <v>485</v>
      </c>
      <c r="I76" s="12" t="s">
        <v>486</v>
      </c>
      <c r="J76" s="13" t="s">
        <v>487</v>
      </c>
      <c r="K76" s="12" t="s">
        <v>492</v>
      </c>
      <c r="L76" s="12" t="s">
        <v>506</v>
      </c>
      <c r="M76" s="12" t="s">
        <v>507</v>
      </c>
      <c r="N76" s="12" t="s">
        <v>195</v>
      </c>
      <c r="O76" s="12" t="s">
        <v>244</v>
      </c>
      <c r="P76" s="12" t="s">
        <v>103</v>
      </c>
      <c r="Q76" s="12" t="s">
        <v>104</v>
      </c>
      <c r="R76" s="14" t="n">
        <v>673</v>
      </c>
      <c r="S76" s="14" t="s">
        <v>432</v>
      </c>
      <c r="T76" s="14" t="s">
        <v>106</v>
      </c>
      <c r="U76" s="14" t="n">
        <v>2022</v>
      </c>
      <c r="V76" s="12" t="s">
        <v>157</v>
      </c>
      <c r="W76" s="14"/>
      <c r="X76" s="15" t="n">
        <f aca="false">IF(OR($S76="%",$R76=""),"",$R76*INDEX(Cambi!$J$2:$J$5,MATCH($S76,Cambi!$I$2:$I$5,0))/IF($T76="EUR",1,INDEX(Cambi!$D:$D,MATCH($T76&amp;"|"&amp;$U76,Cambi!$C:$C,0))))</f>
        <v>0.000673</v>
      </c>
      <c r="Y76" s="12" t="s">
        <v>109</v>
      </c>
      <c r="Z76" s="12" t="s">
        <v>109</v>
      </c>
      <c r="AA76" s="12" t="s">
        <v>109</v>
      </c>
      <c r="AB76" s="16" t="s">
        <v>394</v>
      </c>
      <c r="AC76" s="16" t="s">
        <v>495</v>
      </c>
      <c r="AD76" s="12" t="s">
        <v>281</v>
      </c>
      <c r="AE76" s="12" t="s">
        <v>496</v>
      </c>
      <c r="AF76" s="12" t="s">
        <v>508</v>
      </c>
      <c r="AG76" s="12" t="s">
        <v>498</v>
      </c>
      <c r="AH76" s="12" t="s">
        <v>499</v>
      </c>
      <c r="AI76" s="12" t="s">
        <v>285</v>
      </c>
      <c r="AJ76" s="12" t="s">
        <v>509</v>
      </c>
      <c r="AK76" s="12" t="s">
        <v>4</v>
      </c>
    </row>
    <row r="77" customFormat="false" ht="15" hidden="false" customHeight="false" outlineLevel="0" collapsed="false">
      <c r="A77" s="11" t="n">
        <v>76</v>
      </c>
      <c r="B77" s="12" t="s">
        <v>484</v>
      </c>
      <c r="C77" s="12" t="s">
        <v>91</v>
      </c>
      <c r="D77" s="12" t="s">
        <v>92</v>
      </c>
      <c r="E77" s="12" t="s">
        <v>93</v>
      </c>
      <c r="F77" s="12" t="s">
        <v>385</v>
      </c>
      <c r="G77" s="12" t="s">
        <v>95</v>
      </c>
      <c r="H77" s="12" t="s">
        <v>485</v>
      </c>
      <c r="I77" s="12" t="s">
        <v>486</v>
      </c>
      <c r="J77" s="13" t="s">
        <v>487</v>
      </c>
      <c r="K77" s="12"/>
      <c r="L77" s="12" t="s">
        <v>457</v>
      </c>
      <c r="M77" s="12" t="s">
        <v>510</v>
      </c>
      <c r="N77" s="12" t="s">
        <v>212</v>
      </c>
      <c r="O77" s="12" t="s">
        <v>417</v>
      </c>
      <c r="P77" s="12" t="s">
        <v>214</v>
      </c>
      <c r="Q77" s="12" t="s">
        <v>418</v>
      </c>
      <c r="R77" s="14" t="n">
        <v>2</v>
      </c>
      <c r="S77" s="14" t="s">
        <v>105</v>
      </c>
      <c r="T77" s="14" t="s">
        <v>106</v>
      </c>
      <c r="U77" s="14" t="n">
        <v>2022</v>
      </c>
      <c r="V77" s="12" t="s">
        <v>157</v>
      </c>
      <c r="W77" s="14"/>
      <c r="X77" s="15" t="n">
        <f aca="false">IF(OR($S77="%",$R77=""),"",$R77*INDEX(Cambi!$J$2:$J$5,MATCH($S77,Cambi!$I$2:$I$5,0))/IF($T77="EUR",1,INDEX(Cambi!$D:$D,MATCH($T77&amp;"|"&amp;$U77,Cambi!$C:$C,0))))</f>
        <v>2</v>
      </c>
      <c r="Y77" s="12" t="s">
        <v>130</v>
      </c>
      <c r="Z77" s="12" t="s">
        <v>117</v>
      </c>
      <c r="AA77" s="12" t="s">
        <v>393</v>
      </c>
      <c r="AB77" s="12" t="s">
        <v>394</v>
      </c>
      <c r="AC77" s="12" t="s">
        <v>395</v>
      </c>
      <c r="AD77" s="12" t="s">
        <v>112</v>
      </c>
      <c r="AE77" s="12" t="s">
        <v>490</v>
      </c>
      <c r="AF77" s="12" t="s">
        <v>511</v>
      </c>
      <c r="AG77" s="12" t="s">
        <v>407</v>
      </c>
      <c r="AH77" s="12" t="s">
        <v>116</v>
      </c>
      <c r="AI77" s="12" t="s">
        <v>117</v>
      </c>
      <c r="AJ77" s="12" t="s">
        <v>408</v>
      </c>
      <c r="AK77" s="12" t="s">
        <v>4</v>
      </c>
    </row>
    <row r="78" customFormat="false" ht="15" hidden="false" customHeight="false" outlineLevel="0" collapsed="false">
      <c r="A78" s="11" t="n">
        <v>77</v>
      </c>
      <c r="B78" s="12" t="s">
        <v>484</v>
      </c>
      <c r="C78" s="12" t="s">
        <v>91</v>
      </c>
      <c r="D78" s="12" t="s">
        <v>92</v>
      </c>
      <c r="E78" s="12" t="s">
        <v>93</v>
      </c>
      <c r="F78" s="12" t="s">
        <v>385</v>
      </c>
      <c r="G78" s="12" t="s">
        <v>95</v>
      </c>
      <c r="H78" s="12" t="s">
        <v>485</v>
      </c>
      <c r="I78" s="12" t="s">
        <v>486</v>
      </c>
      <c r="J78" s="13" t="s">
        <v>487</v>
      </c>
      <c r="K78" s="12"/>
      <c r="L78" s="12" t="s">
        <v>457</v>
      </c>
      <c r="M78" s="12" t="s">
        <v>512</v>
      </c>
      <c r="N78" s="12" t="s">
        <v>212</v>
      </c>
      <c r="O78" s="12" t="s">
        <v>417</v>
      </c>
      <c r="P78" s="12" t="s">
        <v>214</v>
      </c>
      <c r="Q78" s="12" t="s">
        <v>421</v>
      </c>
      <c r="R78" s="14" t="n">
        <v>1.9</v>
      </c>
      <c r="S78" s="14" t="s">
        <v>105</v>
      </c>
      <c r="T78" s="14" t="s">
        <v>106</v>
      </c>
      <c r="U78" s="14" t="n">
        <v>2022</v>
      </c>
      <c r="V78" s="12" t="s">
        <v>157</v>
      </c>
      <c r="W78" s="14"/>
      <c r="X78" s="15" t="n">
        <f aca="false">IF(OR($S78="%",$R78=""),"",$R78*INDEX(Cambi!$J$2:$J$5,MATCH($S78,Cambi!$I$2:$I$5,0))/IF($T78="EUR",1,INDEX(Cambi!$D:$D,MATCH($T78&amp;"|"&amp;$U78,Cambi!$C:$C,0))))</f>
        <v>1.9</v>
      </c>
      <c r="Y78" s="12" t="s">
        <v>130</v>
      </c>
      <c r="Z78" s="12" t="s">
        <v>117</v>
      </c>
      <c r="AA78" s="12" t="s">
        <v>393</v>
      </c>
      <c r="AB78" s="12" t="s">
        <v>394</v>
      </c>
      <c r="AC78" s="12" t="s">
        <v>395</v>
      </c>
      <c r="AD78" s="12" t="s">
        <v>112</v>
      </c>
      <c r="AE78" s="12" t="s">
        <v>490</v>
      </c>
      <c r="AF78" s="12" t="s">
        <v>511</v>
      </c>
      <c r="AG78" s="12" t="s">
        <v>407</v>
      </c>
      <c r="AH78" s="12" t="s">
        <v>116</v>
      </c>
      <c r="AI78" s="12" t="s">
        <v>117</v>
      </c>
      <c r="AJ78" s="12" t="s">
        <v>513</v>
      </c>
      <c r="AK78" s="12" t="s">
        <v>4</v>
      </c>
    </row>
    <row r="79" customFormat="false" ht="15" hidden="false" customHeight="false" outlineLevel="0" collapsed="false">
      <c r="A79" s="11" t="n">
        <v>78</v>
      </c>
      <c r="B79" s="12" t="s">
        <v>484</v>
      </c>
      <c r="C79" s="12" t="s">
        <v>91</v>
      </c>
      <c r="D79" s="12" t="s">
        <v>92</v>
      </c>
      <c r="E79" s="12" t="s">
        <v>93</v>
      </c>
      <c r="F79" s="12" t="s">
        <v>385</v>
      </c>
      <c r="G79" s="12" t="s">
        <v>95</v>
      </c>
      <c r="H79" s="12" t="s">
        <v>485</v>
      </c>
      <c r="I79" s="12" t="s">
        <v>486</v>
      </c>
      <c r="J79" s="13" t="s">
        <v>487</v>
      </c>
      <c r="K79" s="12"/>
      <c r="L79" s="12" t="s">
        <v>457</v>
      </c>
      <c r="M79" s="12" t="s">
        <v>514</v>
      </c>
      <c r="N79" s="12" t="s">
        <v>212</v>
      </c>
      <c r="O79" s="12" t="s">
        <v>417</v>
      </c>
      <c r="P79" s="12" t="s">
        <v>214</v>
      </c>
      <c r="Q79" s="12" t="s">
        <v>475</v>
      </c>
      <c r="R79" s="14" t="n">
        <v>0.1</v>
      </c>
      <c r="S79" s="14" t="s">
        <v>105</v>
      </c>
      <c r="T79" s="14" t="s">
        <v>106</v>
      </c>
      <c r="U79" s="14" t="n">
        <v>2022</v>
      </c>
      <c r="V79" s="12" t="s">
        <v>157</v>
      </c>
      <c r="W79" s="14"/>
      <c r="X79" s="15" t="n">
        <f aca="false">IF(OR($S79="%",$R79=""),"",$R79*INDEX(Cambi!$J$2:$J$5,MATCH($S79,Cambi!$I$2:$I$5,0))/IF($T79="EUR",1,INDEX(Cambi!$D:$D,MATCH($T79&amp;"|"&amp;$U79,Cambi!$C:$C,0))))</f>
        <v>0.1</v>
      </c>
      <c r="Y79" s="12" t="s">
        <v>130</v>
      </c>
      <c r="Z79" s="12" t="s">
        <v>117</v>
      </c>
      <c r="AA79" s="12" t="s">
        <v>393</v>
      </c>
      <c r="AB79" s="12" t="s">
        <v>394</v>
      </c>
      <c r="AC79" s="12" t="s">
        <v>395</v>
      </c>
      <c r="AD79" s="12" t="s">
        <v>112</v>
      </c>
      <c r="AE79" s="12" t="s">
        <v>490</v>
      </c>
      <c r="AF79" s="12" t="s">
        <v>515</v>
      </c>
      <c r="AG79" s="12" t="s">
        <v>407</v>
      </c>
      <c r="AH79" s="12" t="s">
        <v>116</v>
      </c>
      <c r="AI79" s="12" t="s">
        <v>117</v>
      </c>
      <c r="AJ79" s="12" t="s">
        <v>516</v>
      </c>
      <c r="AK79" s="12" t="s">
        <v>4</v>
      </c>
    </row>
    <row r="80" customFormat="false" ht="15" hidden="false" customHeight="false" outlineLevel="0" collapsed="false">
      <c r="A80" s="11" t="n">
        <v>79</v>
      </c>
      <c r="B80" s="12" t="s">
        <v>484</v>
      </c>
      <c r="C80" s="12" t="s">
        <v>91</v>
      </c>
      <c r="D80" s="12" t="s">
        <v>92</v>
      </c>
      <c r="E80" s="12" t="s">
        <v>93</v>
      </c>
      <c r="F80" s="12" t="s">
        <v>385</v>
      </c>
      <c r="G80" s="12" t="s">
        <v>95</v>
      </c>
      <c r="H80" s="12" t="s">
        <v>485</v>
      </c>
      <c r="I80" s="12" t="s">
        <v>486</v>
      </c>
      <c r="J80" s="13" t="s">
        <v>487</v>
      </c>
      <c r="K80" s="12"/>
      <c r="L80" s="12" t="s">
        <v>457</v>
      </c>
      <c r="M80" s="12" t="s">
        <v>517</v>
      </c>
      <c r="N80" s="12" t="s">
        <v>212</v>
      </c>
      <c r="O80" s="12" t="s">
        <v>417</v>
      </c>
      <c r="P80" s="12" t="s">
        <v>214</v>
      </c>
      <c r="Q80" s="12" t="s">
        <v>462</v>
      </c>
      <c r="R80" s="14" t="n">
        <v>1.3</v>
      </c>
      <c r="S80" s="14" t="s">
        <v>105</v>
      </c>
      <c r="T80" s="14" t="s">
        <v>106</v>
      </c>
      <c r="U80" s="14" t="n">
        <v>2022</v>
      </c>
      <c r="V80" s="12" t="s">
        <v>157</v>
      </c>
      <c r="W80" s="14"/>
      <c r="X80" s="15" t="n">
        <f aca="false">IF(OR($S80="%",$R80=""),"",$R80*INDEX(Cambi!$J$2:$J$5,MATCH($S80,Cambi!$I$2:$I$5,0))/IF($T80="EUR",1,INDEX(Cambi!$D:$D,MATCH($T80&amp;"|"&amp;$U80,Cambi!$C:$C,0))))</f>
        <v>1.3</v>
      </c>
      <c r="Y80" s="12" t="s">
        <v>130</v>
      </c>
      <c r="Z80" s="12" t="s">
        <v>117</v>
      </c>
      <c r="AA80" s="12" t="s">
        <v>393</v>
      </c>
      <c r="AB80" s="12" t="s">
        <v>394</v>
      </c>
      <c r="AC80" s="12" t="s">
        <v>395</v>
      </c>
      <c r="AD80" s="12" t="s">
        <v>112</v>
      </c>
      <c r="AE80" s="12" t="s">
        <v>490</v>
      </c>
      <c r="AF80" s="12" t="s">
        <v>511</v>
      </c>
      <c r="AG80" s="12" t="s">
        <v>407</v>
      </c>
      <c r="AH80" s="12" t="s">
        <v>116</v>
      </c>
      <c r="AI80" s="12" t="s">
        <v>117</v>
      </c>
      <c r="AJ80" s="12" t="s">
        <v>518</v>
      </c>
      <c r="AK80" s="12" t="s">
        <v>4</v>
      </c>
    </row>
    <row r="81" customFormat="false" ht="15" hidden="false" customHeight="false" outlineLevel="0" collapsed="false">
      <c r="A81" s="11" t="n">
        <v>80</v>
      </c>
      <c r="B81" s="12" t="s">
        <v>484</v>
      </c>
      <c r="C81" s="12" t="s">
        <v>91</v>
      </c>
      <c r="D81" s="12" t="s">
        <v>92</v>
      </c>
      <c r="E81" s="12" t="s">
        <v>93</v>
      </c>
      <c r="F81" s="12" t="s">
        <v>385</v>
      </c>
      <c r="G81" s="12" t="s">
        <v>95</v>
      </c>
      <c r="H81" s="12" t="s">
        <v>485</v>
      </c>
      <c r="I81" s="12" t="s">
        <v>486</v>
      </c>
      <c r="J81" s="13" t="s">
        <v>487</v>
      </c>
      <c r="K81" s="12"/>
      <c r="L81" s="12" t="s">
        <v>519</v>
      </c>
      <c r="M81" s="12" t="s">
        <v>520</v>
      </c>
      <c r="N81" s="12" t="s">
        <v>212</v>
      </c>
      <c r="O81" s="12" t="s">
        <v>417</v>
      </c>
      <c r="P81" s="12" t="s">
        <v>103</v>
      </c>
      <c r="Q81" s="12" t="s">
        <v>104</v>
      </c>
      <c r="R81" s="14" t="n">
        <v>700</v>
      </c>
      <c r="S81" s="14" t="s">
        <v>392</v>
      </c>
      <c r="T81" s="14" t="s">
        <v>106</v>
      </c>
      <c r="U81" s="14" t="n">
        <v>2022</v>
      </c>
      <c r="V81" s="12" t="s">
        <v>157</v>
      </c>
      <c r="W81" s="14"/>
      <c r="X81" s="15" t="n">
        <f aca="false">IF(OR($S81="%",$R81=""),"",$R81*INDEX(Cambi!$J$2:$J$5,MATCH($S81,Cambi!$I$2:$I$5,0))/IF($T81="EUR",1,INDEX(Cambi!$D:$D,MATCH($T81&amp;"|"&amp;$U81,Cambi!$C:$C,0))))</f>
        <v>0.7</v>
      </c>
      <c r="Y81" s="12" t="s">
        <v>130</v>
      </c>
      <c r="Z81" s="12" t="s">
        <v>117</v>
      </c>
      <c r="AA81" s="12" t="s">
        <v>393</v>
      </c>
      <c r="AB81" s="12" t="s">
        <v>394</v>
      </c>
      <c r="AC81" s="12" t="s">
        <v>395</v>
      </c>
      <c r="AD81" s="12" t="s">
        <v>112</v>
      </c>
      <c r="AE81" s="12" t="s">
        <v>490</v>
      </c>
      <c r="AF81" s="12" t="s">
        <v>521</v>
      </c>
      <c r="AG81" s="12" t="s">
        <v>407</v>
      </c>
      <c r="AH81" s="12" t="s">
        <v>116</v>
      </c>
      <c r="AI81" s="12" t="s">
        <v>117</v>
      </c>
      <c r="AJ81" s="12" t="s">
        <v>408</v>
      </c>
      <c r="AK81" s="12" t="s">
        <v>4</v>
      </c>
    </row>
    <row r="82" customFormat="false" ht="15" hidden="false" customHeight="false" outlineLevel="0" collapsed="false">
      <c r="A82" s="11" t="n">
        <v>81</v>
      </c>
      <c r="B82" s="12" t="s">
        <v>522</v>
      </c>
      <c r="C82" s="12" t="s">
        <v>91</v>
      </c>
      <c r="D82" s="12" t="s">
        <v>92</v>
      </c>
      <c r="E82" s="12" t="s">
        <v>93</v>
      </c>
      <c r="F82" s="12" t="s">
        <v>385</v>
      </c>
      <c r="G82" s="12" t="s">
        <v>95</v>
      </c>
      <c r="H82" s="12" t="s">
        <v>523</v>
      </c>
      <c r="I82" s="12" t="s">
        <v>524</v>
      </c>
      <c r="J82" s="13" t="s">
        <v>525</v>
      </c>
      <c r="K82" s="12" t="s">
        <v>526</v>
      </c>
      <c r="L82" s="12" t="s">
        <v>527</v>
      </c>
      <c r="M82" s="12" t="s">
        <v>528</v>
      </c>
      <c r="N82" s="12" t="s">
        <v>195</v>
      </c>
      <c r="O82" s="12" t="s">
        <v>196</v>
      </c>
      <c r="P82" s="12" t="s">
        <v>103</v>
      </c>
      <c r="Q82" s="12" t="s">
        <v>104</v>
      </c>
      <c r="R82" s="14" t="n">
        <v>5.1</v>
      </c>
      <c r="S82" s="14" t="s">
        <v>197</v>
      </c>
      <c r="T82" s="14"/>
      <c r="U82" s="14" t="n">
        <v>2022</v>
      </c>
      <c r="V82" s="12" t="s">
        <v>157</v>
      </c>
      <c r="W82" s="14"/>
      <c r="X82" s="15" t="str">
        <f aca="false">IF(OR($S82="%",$R82=""),"",$R82*INDEX(Cambi!$J$2:$J$5,MATCH($S82,Cambi!$I$2:$I$5,0))/IF($T82="EUR",1,INDEX(Cambi!$D:$D,MATCH($T82&amp;"|"&amp;$U82,Cambi!$C:$C,0))))</f>
        <v/>
      </c>
      <c r="Y82" s="12" t="s">
        <v>109</v>
      </c>
      <c r="Z82" s="12" t="s">
        <v>109</v>
      </c>
      <c r="AA82" s="12" t="s">
        <v>109</v>
      </c>
      <c r="AB82" s="16" t="s">
        <v>394</v>
      </c>
      <c r="AC82" s="16" t="s">
        <v>495</v>
      </c>
      <c r="AD82" s="12" t="s">
        <v>281</v>
      </c>
      <c r="AE82" s="12" t="s">
        <v>496</v>
      </c>
      <c r="AF82" s="12" t="s">
        <v>529</v>
      </c>
      <c r="AG82" s="12" t="s">
        <v>498</v>
      </c>
      <c r="AH82" s="12" t="s">
        <v>499</v>
      </c>
      <c r="AI82" s="12" t="s">
        <v>285</v>
      </c>
      <c r="AJ82" s="12" t="s">
        <v>530</v>
      </c>
      <c r="AK82" s="12" t="s">
        <v>4</v>
      </c>
    </row>
    <row r="83" customFormat="false" ht="15" hidden="false" customHeight="false" outlineLevel="0" collapsed="false">
      <c r="A83" s="11" t="n">
        <v>82</v>
      </c>
      <c r="B83" s="12" t="s">
        <v>522</v>
      </c>
      <c r="C83" s="12" t="s">
        <v>91</v>
      </c>
      <c r="D83" s="12" t="s">
        <v>92</v>
      </c>
      <c r="E83" s="12" t="s">
        <v>93</v>
      </c>
      <c r="F83" s="12" t="s">
        <v>385</v>
      </c>
      <c r="G83" s="12" t="s">
        <v>95</v>
      </c>
      <c r="H83" s="12" t="s">
        <v>523</v>
      </c>
      <c r="I83" s="12" t="s">
        <v>524</v>
      </c>
      <c r="J83" s="13" t="s">
        <v>525</v>
      </c>
      <c r="K83" s="12"/>
      <c r="L83" s="12" t="s">
        <v>531</v>
      </c>
      <c r="M83" s="12" t="s">
        <v>532</v>
      </c>
      <c r="N83" s="12" t="s">
        <v>212</v>
      </c>
      <c r="O83" s="12" t="s">
        <v>244</v>
      </c>
      <c r="P83" s="12" t="s">
        <v>103</v>
      </c>
      <c r="Q83" s="12" t="s">
        <v>104</v>
      </c>
      <c r="R83" s="14" t="n">
        <v>6.7</v>
      </c>
      <c r="S83" s="14" t="s">
        <v>105</v>
      </c>
      <c r="T83" s="14" t="s">
        <v>106</v>
      </c>
      <c r="U83" s="14" t="n">
        <v>2023</v>
      </c>
      <c r="V83" s="12" t="s">
        <v>157</v>
      </c>
      <c r="W83" s="14"/>
      <c r="X83" s="15" t="n">
        <f aca="false">IF(OR($S83="%",$R83=""),"",$R83*INDEX(Cambi!$J$2:$J$5,MATCH($S83,Cambi!$I$2:$I$5,0))/IF($T83="EUR",1,INDEX(Cambi!$D:$D,MATCH($T83&amp;"|"&amp;$U83,Cambi!$C:$C,0))))</f>
        <v>6.7</v>
      </c>
      <c r="Y83" s="12" t="s">
        <v>130</v>
      </c>
      <c r="Z83" s="12" t="s">
        <v>117</v>
      </c>
      <c r="AA83" s="12" t="s">
        <v>393</v>
      </c>
      <c r="AB83" s="12" t="s">
        <v>394</v>
      </c>
      <c r="AC83" s="12" t="s">
        <v>395</v>
      </c>
      <c r="AD83" s="12" t="s">
        <v>112</v>
      </c>
      <c r="AE83" s="12" t="s">
        <v>533</v>
      </c>
      <c r="AF83" s="12" t="s">
        <v>534</v>
      </c>
      <c r="AG83" s="12" t="s">
        <v>407</v>
      </c>
      <c r="AH83" s="12" t="s">
        <v>116</v>
      </c>
      <c r="AI83" s="12" t="s">
        <v>117</v>
      </c>
      <c r="AJ83" s="12" t="s">
        <v>535</v>
      </c>
      <c r="AK83" s="12" t="s">
        <v>4</v>
      </c>
    </row>
    <row r="84" customFormat="false" ht="15" hidden="false" customHeight="false" outlineLevel="0" collapsed="false">
      <c r="A84" s="11" t="n">
        <v>83</v>
      </c>
      <c r="B84" s="12" t="s">
        <v>522</v>
      </c>
      <c r="C84" s="12" t="s">
        <v>91</v>
      </c>
      <c r="D84" s="12" t="s">
        <v>92</v>
      </c>
      <c r="E84" s="12" t="s">
        <v>93</v>
      </c>
      <c r="F84" s="12" t="s">
        <v>385</v>
      </c>
      <c r="G84" s="12" t="s">
        <v>95</v>
      </c>
      <c r="H84" s="12" t="s">
        <v>523</v>
      </c>
      <c r="I84" s="12" t="s">
        <v>524</v>
      </c>
      <c r="J84" s="13" t="s">
        <v>525</v>
      </c>
      <c r="K84" s="12"/>
      <c r="L84" s="12" t="s">
        <v>536</v>
      </c>
      <c r="M84" s="12" t="s">
        <v>537</v>
      </c>
      <c r="N84" s="12" t="s">
        <v>212</v>
      </c>
      <c r="O84" s="12" t="s">
        <v>244</v>
      </c>
      <c r="P84" s="12" t="s">
        <v>214</v>
      </c>
      <c r="Q84" s="12" t="s">
        <v>418</v>
      </c>
      <c r="R84" s="14" t="n">
        <v>13.9</v>
      </c>
      <c r="S84" s="14" t="s">
        <v>105</v>
      </c>
      <c r="T84" s="14" t="s">
        <v>106</v>
      </c>
      <c r="U84" s="14" t="n">
        <v>2023</v>
      </c>
      <c r="V84" s="12" t="s">
        <v>157</v>
      </c>
      <c r="W84" s="14"/>
      <c r="X84" s="15" t="n">
        <f aca="false">IF(OR($S84="%",$R84=""),"",$R84*INDEX(Cambi!$J$2:$J$5,MATCH($S84,Cambi!$I$2:$I$5,0))/IF($T84="EUR",1,INDEX(Cambi!$D:$D,MATCH($T84&amp;"|"&amp;$U84,Cambi!$C:$C,0))))</f>
        <v>13.9</v>
      </c>
      <c r="Y84" s="12" t="s">
        <v>239</v>
      </c>
      <c r="Z84" s="12" t="s">
        <v>117</v>
      </c>
      <c r="AA84" s="12" t="s">
        <v>393</v>
      </c>
      <c r="AB84" s="12" t="s">
        <v>394</v>
      </c>
      <c r="AC84" s="12" t="s">
        <v>395</v>
      </c>
      <c r="AD84" s="12" t="s">
        <v>112</v>
      </c>
      <c r="AE84" s="12" t="s">
        <v>533</v>
      </c>
      <c r="AF84" s="12" t="s">
        <v>538</v>
      </c>
      <c r="AG84" s="12" t="s">
        <v>407</v>
      </c>
      <c r="AH84" s="12" t="s">
        <v>116</v>
      </c>
      <c r="AI84" s="12" t="s">
        <v>117</v>
      </c>
      <c r="AJ84" s="12" t="s">
        <v>408</v>
      </c>
      <c r="AK84" s="12" t="s">
        <v>4</v>
      </c>
    </row>
    <row r="85" customFormat="false" ht="15" hidden="false" customHeight="false" outlineLevel="0" collapsed="false">
      <c r="A85" s="11" t="n">
        <v>84</v>
      </c>
      <c r="B85" s="12" t="s">
        <v>522</v>
      </c>
      <c r="C85" s="12" t="s">
        <v>91</v>
      </c>
      <c r="D85" s="12" t="s">
        <v>92</v>
      </c>
      <c r="E85" s="12" t="s">
        <v>93</v>
      </c>
      <c r="F85" s="12" t="s">
        <v>385</v>
      </c>
      <c r="G85" s="12" t="s">
        <v>95</v>
      </c>
      <c r="H85" s="12" t="s">
        <v>523</v>
      </c>
      <c r="I85" s="12" t="s">
        <v>524</v>
      </c>
      <c r="J85" s="13" t="s">
        <v>525</v>
      </c>
      <c r="K85" s="12"/>
      <c r="L85" s="12" t="s">
        <v>536</v>
      </c>
      <c r="M85" s="12" t="s">
        <v>539</v>
      </c>
      <c r="N85" s="12" t="s">
        <v>212</v>
      </c>
      <c r="O85" s="12" t="s">
        <v>244</v>
      </c>
      <c r="P85" s="12" t="s">
        <v>214</v>
      </c>
      <c r="Q85" s="12" t="s">
        <v>421</v>
      </c>
      <c r="R85" s="14" t="n">
        <v>8.8</v>
      </c>
      <c r="S85" s="14" t="s">
        <v>105</v>
      </c>
      <c r="T85" s="14" t="s">
        <v>106</v>
      </c>
      <c r="U85" s="14" t="n">
        <v>2023</v>
      </c>
      <c r="V85" s="12" t="s">
        <v>157</v>
      </c>
      <c r="W85" s="14"/>
      <c r="X85" s="15" t="n">
        <f aca="false">IF(OR($S85="%",$R85=""),"",$R85*INDEX(Cambi!$J$2:$J$5,MATCH($S85,Cambi!$I$2:$I$5,0))/IF($T85="EUR",1,INDEX(Cambi!$D:$D,MATCH($T85&amp;"|"&amp;$U85,Cambi!$C:$C,0))))</f>
        <v>8.8</v>
      </c>
      <c r="Y85" s="12" t="s">
        <v>239</v>
      </c>
      <c r="Z85" s="12" t="s">
        <v>117</v>
      </c>
      <c r="AA85" s="12" t="s">
        <v>393</v>
      </c>
      <c r="AB85" s="12" t="s">
        <v>394</v>
      </c>
      <c r="AC85" s="12" t="s">
        <v>395</v>
      </c>
      <c r="AD85" s="12" t="s">
        <v>112</v>
      </c>
      <c r="AE85" s="12" t="s">
        <v>533</v>
      </c>
      <c r="AF85" s="12" t="s">
        <v>540</v>
      </c>
      <c r="AG85" s="12" t="s">
        <v>407</v>
      </c>
      <c r="AH85" s="12" t="s">
        <v>116</v>
      </c>
      <c r="AI85" s="12" t="s">
        <v>117</v>
      </c>
      <c r="AJ85" s="12" t="s">
        <v>408</v>
      </c>
      <c r="AK85" s="12" t="s">
        <v>4</v>
      </c>
    </row>
    <row r="86" customFormat="false" ht="15" hidden="false" customHeight="false" outlineLevel="0" collapsed="false">
      <c r="A86" s="11" t="n">
        <v>85</v>
      </c>
      <c r="B86" s="12" t="s">
        <v>522</v>
      </c>
      <c r="C86" s="12" t="s">
        <v>91</v>
      </c>
      <c r="D86" s="12" t="s">
        <v>92</v>
      </c>
      <c r="E86" s="12" t="s">
        <v>93</v>
      </c>
      <c r="F86" s="12" t="s">
        <v>385</v>
      </c>
      <c r="G86" s="12" t="s">
        <v>95</v>
      </c>
      <c r="H86" s="12" t="s">
        <v>523</v>
      </c>
      <c r="I86" s="12" t="s">
        <v>524</v>
      </c>
      <c r="J86" s="13" t="s">
        <v>525</v>
      </c>
      <c r="K86" s="12"/>
      <c r="L86" s="12" t="s">
        <v>536</v>
      </c>
      <c r="M86" s="12" t="s">
        <v>541</v>
      </c>
      <c r="N86" s="12" t="s">
        <v>212</v>
      </c>
      <c r="O86" s="12" t="s">
        <v>244</v>
      </c>
      <c r="P86" s="12" t="s">
        <v>214</v>
      </c>
      <c r="Q86" s="12" t="s">
        <v>367</v>
      </c>
      <c r="R86" s="14" t="n">
        <v>7.6</v>
      </c>
      <c r="S86" s="14" t="s">
        <v>105</v>
      </c>
      <c r="T86" s="14" t="s">
        <v>106</v>
      </c>
      <c r="U86" s="14" t="n">
        <v>2023</v>
      </c>
      <c r="V86" s="12" t="s">
        <v>157</v>
      </c>
      <c r="W86" s="14"/>
      <c r="X86" s="15" t="n">
        <f aca="false">IF(OR($S86="%",$R86=""),"",$R86*INDEX(Cambi!$J$2:$J$5,MATCH($S86,Cambi!$I$2:$I$5,0))/IF($T86="EUR",1,INDEX(Cambi!$D:$D,MATCH($T86&amp;"|"&amp;$U86,Cambi!$C:$C,0))))</f>
        <v>7.6</v>
      </c>
      <c r="Y86" s="12" t="s">
        <v>108</v>
      </c>
      <c r="Z86" s="12" t="s">
        <v>117</v>
      </c>
      <c r="AA86" s="12" t="s">
        <v>393</v>
      </c>
      <c r="AB86" s="12" t="s">
        <v>394</v>
      </c>
      <c r="AC86" s="12" t="s">
        <v>395</v>
      </c>
      <c r="AD86" s="12" t="s">
        <v>112</v>
      </c>
      <c r="AE86" s="12" t="s">
        <v>533</v>
      </c>
      <c r="AF86" s="12" t="s">
        <v>542</v>
      </c>
      <c r="AG86" s="12" t="s">
        <v>407</v>
      </c>
      <c r="AH86" s="12" t="s">
        <v>116</v>
      </c>
      <c r="AI86" s="12" t="s">
        <v>117</v>
      </c>
      <c r="AJ86" s="12" t="s">
        <v>543</v>
      </c>
      <c r="AK86" s="12" t="s">
        <v>4</v>
      </c>
    </row>
    <row r="87" customFormat="false" ht="15" hidden="false" customHeight="false" outlineLevel="0" collapsed="false">
      <c r="A87" s="11" t="n">
        <v>86</v>
      </c>
      <c r="B87" s="12" t="s">
        <v>522</v>
      </c>
      <c r="C87" s="12" t="s">
        <v>91</v>
      </c>
      <c r="D87" s="12" t="s">
        <v>92</v>
      </c>
      <c r="E87" s="12" t="s">
        <v>93</v>
      </c>
      <c r="F87" s="12" t="s">
        <v>385</v>
      </c>
      <c r="G87" s="12" t="s">
        <v>95</v>
      </c>
      <c r="H87" s="12" t="s">
        <v>523</v>
      </c>
      <c r="I87" s="12" t="s">
        <v>524</v>
      </c>
      <c r="J87" s="13" t="s">
        <v>525</v>
      </c>
      <c r="K87" s="12"/>
      <c r="L87" s="12" t="s">
        <v>415</v>
      </c>
      <c r="M87" s="12" t="s">
        <v>544</v>
      </c>
      <c r="N87" s="12" t="s">
        <v>212</v>
      </c>
      <c r="O87" s="12" t="s">
        <v>417</v>
      </c>
      <c r="P87" s="12" t="s">
        <v>214</v>
      </c>
      <c r="Q87" s="12" t="s">
        <v>418</v>
      </c>
      <c r="R87" s="14" t="n">
        <v>4</v>
      </c>
      <c r="S87" s="14" t="s">
        <v>105</v>
      </c>
      <c r="T87" s="14" t="s">
        <v>106</v>
      </c>
      <c r="U87" s="14" t="n">
        <v>2023</v>
      </c>
      <c r="V87" s="12" t="s">
        <v>157</v>
      </c>
      <c r="W87" s="14"/>
      <c r="X87" s="15" t="n">
        <f aca="false">IF(OR($S87="%",$R87=""),"",$R87*INDEX(Cambi!$J$2:$J$5,MATCH($S87,Cambi!$I$2:$I$5,0))/IF($T87="EUR",1,INDEX(Cambi!$D:$D,MATCH($T87&amp;"|"&amp;$U87,Cambi!$C:$C,0))))</f>
        <v>4</v>
      </c>
      <c r="Y87" s="12" t="s">
        <v>239</v>
      </c>
      <c r="Z87" s="12" t="s">
        <v>117</v>
      </c>
      <c r="AA87" s="12" t="s">
        <v>393</v>
      </c>
      <c r="AB87" s="12" t="s">
        <v>394</v>
      </c>
      <c r="AC87" s="12" t="s">
        <v>395</v>
      </c>
      <c r="AD87" s="12" t="s">
        <v>112</v>
      </c>
      <c r="AE87" s="12" t="s">
        <v>533</v>
      </c>
      <c r="AF87" s="12" t="s">
        <v>538</v>
      </c>
      <c r="AG87" s="12" t="s">
        <v>407</v>
      </c>
      <c r="AH87" s="12" t="s">
        <v>116</v>
      </c>
      <c r="AI87" s="12" t="s">
        <v>117</v>
      </c>
      <c r="AJ87" s="12" t="s">
        <v>545</v>
      </c>
      <c r="AK87" s="12" t="s">
        <v>4</v>
      </c>
    </row>
    <row r="88" customFormat="false" ht="15" hidden="false" customHeight="false" outlineLevel="0" collapsed="false">
      <c r="A88" s="11" t="n">
        <v>87</v>
      </c>
      <c r="B88" s="12" t="s">
        <v>522</v>
      </c>
      <c r="C88" s="12" t="s">
        <v>91</v>
      </c>
      <c r="D88" s="12" t="s">
        <v>92</v>
      </c>
      <c r="E88" s="12" t="s">
        <v>93</v>
      </c>
      <c r="F88" s="12" t="s">
        <v>385</v>
      </c>
      <c r="G88" s="12" t="s">
        <v>95</v>
      </c>
      <c r="H88" s="12" t="s">
        <v>523</v>
      </c>
      <c r="I88" s="12" t="s">
        <v>524</v>
      </c>
      <c r="J88" s="13" t="s">
        <v>525</v>
      </c>
      <c r="K88" s="12"/>
      <c r="L88" s="12" t="s">
        <v>415</v>
      </c>
      <c r="M88" s="12" t="s">
        <v>546</v>
      </c>
      <c r="N88" s="12" t="s">
        <v>212</v>
      </c>
      <c r="O88" s="12" t="s">
        <v>417</v>
      </c>
      <c r="P88" s="12" t="s">
        <v>214</v>
      </c>
      <c r="Q88" s="12" t="s">
        <v>421</v>
      </c>
      <c r="R88" s="14" t="n">
        <v>2.5</v>
      </c>
      <c r="S88" s="14" t="s">
        <v>105</v>
      </c>
      <c r="T88" s="14" t="s">
        <v>106</v>
      </c>
      <c r="U88" s="14" t="n">
        <v>2023</v>
      </c>
      <c r="V88" s="12" t="s">
        <v>157</v>
      </c>
      <c r="W88" s="14"/>
      <c r="X88" s="15" t="n">
        <f aca="false">IF(OR($S88="%",$R88=""),"",$R88*INDEX(Cambi!$J$2:$J$5,MATCH($S88,Cambi!$I$2:$I$5,0))/IF($T88="EUR",1,INDEX(Cambi!$D:$D,MATCH($T88&amp;"|"&amp;$U88,Cambi!$C:$C,0))))</f>
        <v>2.5</v>
      </c>
      <c r="Y88" s="12" t="s">
        <v>239</v>
      </c>
      <c r="Z88" s="12" t="s">
        <v>117</v>
      </c>
      <c r="AA88" s="12" t="s">
        <v>393</v>
      </c>
      <c r="AB88" s="12" t="s">
        <v>394</v>
      </c>
      <c r="AC88" s="12" t="s">
        <v>395</v>
      </c>
      <c r="AD88" s="12" t="s">
        <v>112</v>
      </c>
      <c r="AE88" s="12" t="s">
        <v>533</v>
      </c>
      <c r="AF88" s="12" t="s">
        <v>540</v>
      </c>
      <c r="AG88" s="12" t="s">
        <v>407</v>
      </c>
      <c r="AH88" s="12" t="s">
        <v>116</v>
      </c>
      <c r="AI88" s="12" t="s">
        <v>117</v>
      </c>
      <c r="AJ88" s="12" t="s">
        <v>408</v>
      </c>
      <c r="AK88" s="12" t="s">
        <v>4</v>
      </c>
    </row>
    <row r="89" customFormat="false" ht="15" hidden="false" customHeight="false" outlineLevel="0" collapsed="false">
      <c r="A89" s="11" t="n">
        <v>88</v>
      </c>
      <c r="B89" s="12" t="s">
        <v>522</v>
      </c>
      <c r="C89" s="12" t="s">
        <v>91</v>
      </c>
      <c r="D89" s="12" t="s">
        <v>92</v>
      </c>
      <c r="E89" s="12" t="s">
        <v>93</v>
      </c>
      <c r="F89" s="12" t="s">
        <v>385</v>
      </c>
      <c r="G89" s="12" t="s">
        <v>95</v>
      </c>
      <c r="H89" s="12" t="s">
        <v>523</v>
      </c>
      <c r="I89" s="12" t="s">
        <v>524</v>
      </c>
      <c r="J89" s="13" t="s">
        <v>525</v>
      </c>
      <c r="K89" s="12"/>
      <c r="L89" s="12" t="s">
        <v>415</v>
      </c>
      <c r="M89" s="12" t="s">
        <v>547</v>
      </c>
      <c r="N89" s="12" t="s">
        <v>212</v>
      </c>
      <c r="O89" s="12" t="s">
        <v>417</v>
      </c>
      <c r="P89" s="12" t="s">
        <v>214</v>
      </c>
      <c r="Q89" s="12" t="s">
        <v>367</v>
      </c>
      <c r="R89" s="14" t="n">
        <v>2</v>
      </c>
      <c r="S89" s="14" t="s">
        <v>105</v>
      </c>
      <c r="T89" s="14" t="s">
        <v>106</v>
      </c>
      <c r="U89" s="14" t="n">
        <v>2023</v>
      </c>
      <c r="V89" s="12" t="s">
        <v>157</v>
      </c>
      <c r="W89" s="14"/>
      <c r="X89" s="15" t="n">
        <f aca="false">IF(OR($S89="%",$R89=""),"",$R89*INDEX(Cambi!$J$2:$J$5,MATCH($S89,Cambi!$I$2:$I$5,0))/IF($T89="EUR",1,INDEX(Cambi!$D:$D,MATCH($T89&amp;"|"&amp;$U89,Cambi!$C:$C,0))))</f>
        <v>2</v>
      </c>
      <c r="Y89" s="12" t="s">
        <v>108</v>
      </c>
      <c r="Z89" s="12" t="s">
        <v>117</v>
      </c>
      <c r="AA89" s="12" t="s">
        <v>393</v>
      </c>
      <c r="AB89" s="12" t="s">
        <v>394</v>
      </c>
      <c r="AC89" s="12" t="s">
        <v>395</v>
      </c>
      <c r="AD89" s="12" t="s">
        <v>112</v>
      </c>
      <c r="AE89" s="12" t="s">
        <v>533</v>
      </c>
      <c r="AF89" s="12" t="s">
        <v>542</v>
      </c>
      <c r="AG89" s="12" t="s">
        <v>407</v>
      </c>
      <c r="AH89" s="12" t="s">
        <v>116</v>
      </c>
      <c r="AI89" s="12" t="s">
        <v>117</v>
      </c>
      <c r="AJ89" s="12" t="s">
        <v>548</v>
      </c>
      <c r="AK89" s="12" t="s">
        <v>4</v>
      </c>
    </row>
    <row r="90" customFormat="false" ht="15" hidden="false" customHeight="false" outlineLevel="0" collapsed="false">
      <c r="A90" s="11" t="n">
        <v>89</v>
      </c>
      <c r="B90" s="12" t="s">
        <v>522</v>
      </c>
      <c r="C90" s="12" t="s">
        <v>91</v>
      </c>
      <c r="D90" s="12" t="s">
        <v>92</v>
      </c>
      <c r="E90" s="12" t="s">
        <v>93</v>
      </c>
      <c r="F90" s="12" t="s">
        <v>385</v>
      </c>
      <c r="G90" s="12" t="s">
        <v>95</v>
      </c>
      <c r="H90" s="12" t="s">
        <v>523</v>
      </c>
      <c r="I90" s="12" t="s">
        <v>524</v>
      </c>
      <c r="J90" s="13" t="s">
        <v>525</v>
      </c>
      <c r="K90" s="12" t="s">
        <v>526</v>
      </c>
      <c r="L90" s="12" t="s">
        <v>549</v>
      </c>
      <c r="M90" s="12" t="s">
        <v>550</v>
      </c>
      <c r="N90" s="12" t="s">
        <v>195</v>
      </c>
      <c r="O90" s="12" t="s">
        <v>196</v>
      </c>
      <c r="P90" s="12" t="s">
        <v>103</v>
      </c>
      <c r="Q90" s="12" t="s">
        <v>104</v>
      </c>
      <c r="R90" s="14" t="n">
        <v>5.6</v>
      </c>
      <c r="S90" s="14" t="s">
        <v>197</v>
      </c>
      <c r="T90" s="14"/>
      <c r="U90" s="14" t="n">
        <v>2023</v>
      </c>
      <c r="V90" s="12" t="s">
        <v>157</v>
      </c>
      <c r="W90" s="14"/>
      <c r="X90" s="15" t="str">
        <f aca="false">IF(OR($S90="%",$R90=""),"",$R90*INDEX(Cambi!$J$2:$J$5,MATCH($S90,Cambi!$I$2:$I$5,0))/IF($T90="EUR",1,INDEX(Cambi!$D:$D,MATCH($T90&amp;"|"&amp;$U90,Cambi!$C:$C,0))))</f>
        <v/>
      </c>
      <c r="Y90" s="12" t="s">
        <v>109</v>
      </c>
      <c r="Z90" s="12" t="s">
        <v>109</v>
      </c>
      <c r="AA90" s="12" t="s">
        <v>109</v>
      </c>
      <c r="AB90" s="16" t="s">
        <v>394</v>
      </c>
      <c r="AC90" s="16" t="s">
        <v>495</v>
      </c>
      <c r="AD90" s="12" t="s">
        <v>281</v>
      </c>
      <c r="AE90" s="12" t="s">
        <v>496</v>
      </c>
      <c r="AF90" s="12" t="s">
        <v>529</v>
      </c>
      <c r="AG90" s="12" t="s">
        <v>498</v>
      </c>
      <c r="AH90" s="12" t="s">
        <v>499</v>
      </c>
      <c r="AI90" s="12" t="s">
        <v>285</v>
      </c>
      <c r="AJ90" s="12" t="s">
        <v>530</v>
      </c>
      <c r="AK90" s="12" t="s">
        <v>4</v>
      </c>
    </row>
    <row r="91" customFormat="false" ht="15" hidden="false" customHeight="false" outlineLevel="0" collapsed="false">
      <c r="A91" s="11" t="n">
        <v>90</v>
      </c>
      <c r="B91" s="12" t="s">
        <v>522</v>
      </c>
      <c r="C91" s="12" t="s">
        <v>91</v>
      </c>
      <c r="D91" s="12" t="s">
        <v>92</v>
      </c>
      <c r="E91" s="12" t="s">
        <v>93</v>
      </c>
      <c r="F91" s="12" t="s">
        <v>385</v>
      </c>
      <c r="G91" s="12" t="s">
        <v>95</v>
      </c>
      <c r="H91" s="12" t="s">
        <v>523</v>
      </c>
      <c r="I91" s="12" t="s">
        <v>524</v>
      </c>
      <c r="J91" s="13" t="s">
        <v>525</v>
      </c>
      <c r="K91" s="12"/>
      <c r="L91" s="12" t="s">
        <v>501</v>
      </c>
      <c r="M91" s="12" t="s">
        <v>551</v>
      </c>
      <c r="N91" s="12" t="s">
        <v>195</v>
      </c>
      <c r="O91" s="12" t="s">
        <v>196</v>
      </c>
      <c r="P91" s="12" t="s">
        <v>103</v>
      </c>
      <c r="Q91" s="12" t="s">
        <v>104</v>
      </c>
      <c r="R91" s="14" t="n">
        <v>9.6</v>
      </c>
      <c r="S91" s="14" t="s">
        <v>197</v>
      </c>
      <c r="T91" s="14"/>
      <c r="U91" s="14" t="n">
        <v>2023</v>
      </c>
      <c r="V91" s="12" t="s">
        <v>157</v>
      </c>
      <c r="W91" s="14"/>
      <c r="X91" s="15" t="str">
        <f aca="false">IF(OR($S91="%",$R91=""),"",$R91*INDEX(Cambi!$J$2:$J$5,MATCH($S91,Cambi!$I$2:$I$5,0))/IF($T91="EUR",1,INDEX(Cambi!$D:$D,MATCH($T91&amp;"|"&amp;$U91,Cambi!$C:$C,0))))</f>
        <v/>
      </c>
      <c r="Y91" s="12" t="s">
        <v>130</v>
      </c>
      <c r="Z91" s="12" t="s">
        <v>117</v>
      </c>
      <c r="AA91" s="12" t="s">
        <v>393</v>
      </c>
      <c r="AB91" s="12" t="s">
        <v>394</v>
      </c>
      <c r="AC91" s="12" t="s">
        <v>395</v>
      </c>
      <c r="AD91" s="12" t="s">
        <v>112</v>
      </c>
      <c r="AE91" s="12" t="s">
        <v>533</v>
      </c>
      <c r="AF91" s="12" t="s">
        <v>552</v>
      </c>
      <c r="AG91" s="12" t="s">
        <v>407</v>
      </c>
      <c r="AH91" s="12" t="s">
        <v>116</v>
      </c>
      <c r="AI91" s="12" t="s">
        <v>117</v>
      </c>
      <c r="AJ91" s="12" t="s">
        <v>266</v>
      </c>
      <c r="AK91" s="12" t="s">
        <v>4</v>
      </c>
    </row>
    <row r="92" customFormat="false" ht="15" hidden="false" customHeight="false" outlineLevel="0" collapsed="false">
      <c r="A92" s="11" t="n">
        <v>91</v>
      </c>
      <c r="B92" s="12" t="s">
        <v>522</v>
      </c>
      <c r="C92" s="12" t="s">
        <v>91</v>
      </c>
      <c r="D92" s="12" t="s">
        <v>92</v>
      </c>
      <c r="E92" s="12" t="s">
        <v>93</v>
      </c>
      <c r="F92" s="12" t="s">
        <v>385</v>
      </c>
      <c r="G92" s="12" t="s">
        <v>95</v>
      </c>
      <c r="H92" s="12" t="s">
        <v>523</v>
      </c>
      <c r="I92" s="12" t="s">
        <v>524</v>
      </c>
      <c r="J92" s="13" t="s">
        <v>525</v>
      </c>
      <c r="K92" s="12"/>
      <c r="L92" s="12" t="s">
        <v>504</v>
      </c>
      <c r="M92" s="12" t="s">
        <v>553</v>
      </c>
      <c r="N92" s="12" t="s">
        <v>195</v>
      </c>
      <c r="O92" s="12" t="s">
        <v>196</v>
      </c>
      <c r="P92" s="12" t="s">
        <v>103</v>
      </c>
      <c r="Q92" s="12" t="s">
        <v>104</v>
      </c>
      <c r="R92" s="14" t="n">
        <v>9</v>
      </c>
      <c r="S92" s="14" t="s">
        <v>197</v>
      </c>
      <c r="T92" s="14"/>
      <c r="U92" s="14" t="n">
        <v>2023</v>
      </c>
      <c r="V92" s="12" t="s">
        <v>157</v>
      </c>
      <c r="W92" s="14"/>
      <c r="X92" s="15" t="str">
        <f aca="false">IF(OR($S92="%",$R92=""),"",$R92*INDEX(Cambi!$J$2:$J$5,MATCH($S92,Cambi!$I$2:$I$5,0))/IF($T92="EUR",1,INDEX(Cambi!$D:$D,MATCH($T92&amp;"|"&amp;$U92,Cambi!$C:$C,0))))</f>
        <v/>
      </c>
      <c r="Y92" s="12" t="s">
        <v>130</v>
      </c>
      <c r="Z92" s="12" t="s">
        <v>117</v>
      </c>
      <c r="AA92" s="12" t="s">
        <v>393</v>
      </c>
      <c r="AB92" s="12" t="s">
        <v>394</v>
      </c>
      <c r="AC92" s="12" t="s">
        <v>395</v>
      </c>
      <c r="AD92" s="12" t="s">
        <v>112</v>
      </c>
      <c r="AE92" s="12" t="s">
        <v>533</v>
      </c>
      <c r="AF92" s="12" t="s">
        <v>552</v>
      </c>
      <c r="AG92" s="12" t="s">
        <v>407</v>
      </c>
      <c r="AH92" s="12" t="s">
        <v>116</v>
      </c>
      <c r="AI92" s="12" t="s">
        <v>117</v>
      </c>
      <c r="AJ92" s="12" t="s">
        <v>554</v>
      </c>
      <c r="AK92" s="12" t="s">
        <v>4</v>
      </c>
    </row>
    <row r="93" customFormat="false" ht="15" hidden="false" customHeight="false" outlineLevel="0" collapsed="false">
      <c r="A93" s="11" t="n">
        <v>92</v>
      </c>
      <c r="B93" s="12" t="s">
        <v>522</v>
      </c>
      <c r="C93" s="12" t="s">
        <v>91</v>
      </c>
      <c r="D93" s="12" t="s">
        <v>92</v>
      </c>
      <c r="E93" s="12" t="s">
        <v>93</v>
      </c>
      <c r="F93" s="12" t="s">
        <v>385</v>
      </c>
      <c r="G93" s="12" t="s">
        <v>95</v>
      </c>
      <c r="H93" s="12" t="s">
        <v>523</v>
      </c>
      <c r="I93" s="12" t="s">
        <v>524</v>
      </c>
      <c r="J93" s="13" t="s">
        <v>525</v>
      </c>
      <c r="K93" s="12"/>
      <c r="L93" s="12" t="s">
        <v>555</v>
      </c>
      <c r="M93" s="12" t="s">
        <v>556</v>
      </c>
      <c r="N93" s="12" t="s">
        <v>212</v>
      </c>
      <c r="O93" s="12" t="s">
        <v>417</v>
      </c>
      <c r="P93" s="12" t="s">
        <v>103</v>
      </c>
      <c r="Q93" s="12" t="s">
        <v>104</v>
      </c>
      <c r="R93" s="14" t="n">
        <v>1.4</v>
      </c>
      <c r="S93" s="14" t="s">
        <v>105</v>
      </c>
      <c r="T93" s="14" t="s">
        <v>106</v>
      </c>
      <c r="U93" s="14" t="n">
        <v>2023</v>
      </c>
      <c r="V93" s="12" t="s">
        <v>157</v>
      </c>
      <c r="W93" s="14"/>
      <c r="X93" s="15" t="n">
        <f aca="false">IF(OR($S93="%",$R93=""),"",$R93*INDEX(Cambi!$J$2:$J$5,MATCH($S93,Cambi!$I$2:$I$5,0))/IF($T93="EUR",1,INDEX(Cambi!$D:$D,MATCH($T93&amp;"|"&amp;$U93,Cambi!$C:$C,0))))</f>
        <v>1.4</v>
      </c>
      <c r="Y93" s="12" t="s">
        <v>130</v>
      </c>
      <c r="Z93" s="12" t="s">
        <v>117</v>
      </c>
      <c r="AA93" s="12" t="s">
        <v>393</v>
      </c>
      <c r="AB93" s="12" t="s">
        <v>394</v>
      </c>
      <c r="AC93" s="12" t="s">
        <v>395</v>
      </c>
      <c r="AD93" s="12" t="s">
        <v>112</v>
      </c>
      <c r="AE93" s="12" t="s">
        <v>533</v>
      </c>
      <c r="AF93" s="12" t="s">
        <v>534</v>
      </c>
      <c r="AG93" s="12" t="s">
        <v>407</v>
      </c>
      <c r="AH93" s="12" t="s">
        <v>116</v>
      </c>
      <c r="AI93" s="12" t="s">
        <v>117</v>
      </c>
      <c r="AJ93" s="12" t="s">
        <v>408</v>
      </c>
      <c r="AK93" s="12" t="s">
        <v>4</v>
      </c>
    </row>
    <row r="94" customFormat="false" ht="15" hidden="false" customHeight="false" outlineLevel="0" collapsed="false">
      <c r="A94" s="11" t="n">
        <v>93</v>
      </c>
      <c r="B94" s="12" t="s">
        <v>557</v>
      </c>
      <c r="C94" s="12" t="s">
        <v>91</v>
      </c>
      <c r="D94" s="12" t="s">
        <v>92</v>
      </c>
      <c r="E94" s="12" t="s">
        <v>93</v>
      </c>
      <c r="F94" s="12" t="s">
        <v>385</v>
      </c>
      <c r="G94" s="12" t="s">
        <v>95</v>
      </c>
      <c r="H94" s="12" t="s">
        <v>558</v>
      </c>
      <c r="I94" s="12" t="s">
        <v>559</v>
      </c>
      <c r="J94" s="13" t="s">
        <v>560</v>
      </c>
      <c r="K94" s="12"/>
      <c r="L94" s="12" t="s">
        <v>561</v>
      </c>
      <c r="M94" s="12" t="s">
        <v>562</v>
      </c>
      <c r="N94" s="12" t="s">
        <v>195</v>
      </c>
      <c r="O94" s="12" t="s">
        <v>196</v>
      </c>
      <c r="P94" s="12" t="s">
        <v>103</v>
      </c>
      <c r="Q94" s="12" t="s">
        <v>104</v>
      </c>
      <c r="R94" s="14" t="n">
        <v>9.3</v>
      </c>
      <c r="S94" s="14" t="s">
        <v>197</v>
      </c>
      <c r="T94" s="14"/>
      <c r="U94" s="14" t="n">
        <v>2024</v>
      </c>
      <c r="V94" s="12" t="s">
        <v>157</v>
      </c>
      <c r="W94" s="14"/>
      <c r="X94" s="15" t="str">
        <f aca="false">IF(OR($S94="%",$R94=""),"",$R94*INDEX(Cambi!$J$2:$J$5,MATCH($S94,Cambi!$I$2:$I$5,0))/IF($T94="EUR",1,INDEX(Cambi!$D:$D,MATCH($T94&amp;"|"&amp;$U94,Cambi!$C:$C,0))))</f>
        <v/>
      </c>
      <c r="Y94" s="12" t="s">
        <v>130</v>
      </c>
      <c r="Z94" s="12" t="s">
        <v>117</v>
      </c>
      <c r="AA94" s="12" t="s">
        <v>393</v>
      </c>
      <c r="AB94" s="12" t="s">
        <v>394</v>
      </c>
      <c r="AC94" s="12" t="s">
        <v>395</v>
      </c>
      <c r="AD94" s="12" t="s">
        <v>112</v>
      </c>
      <c r="AE94" s="12" t="s">
        <v>563</v>
      </c>
      <c r="AF94" s="12" t="s">
        <v>564</v>
      </c>
      <c r="AG94" s="12" t="s">
        <v>407</v>
      </c>
      <c r="AH94" s="12" t="s">
        <v>116</v>
      </c>
      <c r="AI94" s="12" t="s">
        <v>117</v>
      </c>
      <c r="AJ94" s="12" t="s">
        <v>565</v>
      </c>
      <c r="AK94" s="12" t="s">
        <v>4</v>
      </c>
    </row>
    <row r="95" customFormat="false" ht="15" hidden="false" customHeight="false" outlineLevel="0" collapsed="false">
      <c r="A95" s="11" t="n">
        <v>94</v>
      </c>
      <c r="B95" s="12" t="s">
        <v>557</v>
      </c>
      <c r="C95" s="12" t="s">
        <v>91</v>
      </c>
      <c r="D95" s="12" t="s">
        <v>92</v>
      </c>
      <c r="E95" s="12" t="s">
        <v>93</v>
      </c>
      <c r="F95" s="12" t="s">
        <v>385</v>
      </c>
      <c r="G95" s="12" t="s">
        <v>95</v>
      </c>
      <c r="H95" s="12" t="s">
        <v>558</v>
      </c>
      <c r="I95" s="12" t="s">
        <v>559</v>
      </c>
      <c r="J95" s="13" t="s">
        <v>566</v>
      </c>
      <c r="K95" s="12"/>
      <c r="L95" s="12" t="s">
        <v>567</v>
      </c>
      <c r="M95" s="12" t="s">
        <v>568</v>
      </c>
      <c r="N95" s="12" t="s">
        <v>195</v>
      </c>
      <c r="O95" s="12" t="s">
        <v>196</v>
      </c>
      <c r="P95" s="12" t="s">
        <v>103</v>
      </c>
      <c r="Q95" s="12" t="s">
        <v>104</v>
      </c>
      <c r="R95" s="14" t="n">
        <v>9</v>
      </c>
      <c r="S95" s="14" t="s">
        <v>197</v>
      </c>
      <c r="T95" s="14"/>
      <c r="U95" s="14" t="n">
        <v>2024</v>
      </c>
      <c r="V95" s="12" t="s">
        <v>157</v>
      </c>
      <c r="W95" s="14"/>
      <c r="X95" s="15" t="str">
        <f aca="false">IF(OR($S95="%",$R95=""),"",$R95*INDEX(Cambi!$J$2:$J$5,MATCH($S95,Cambi!$I$2:$I$5,0))/IF($T95="EUR",1,INDEX(Cambi!$D:$D,MATCH($T95&amp;"|"&amp;$U95,Cambi!$C:$C,0))))</f>
        <v/>
      </c>
      <c r="Y95" s="12" t="s">
        <v>130</v>
      </c>
      <c r="Z95" s="12" t="s">
        <v>117</v>
      </c>
      <c r="AA95" s="12" t="s">
        <v>393</v>
      </c>
      <c r="AB95" s="12" t="s">
        <v>394</v>
      </c>
      <c r="AC95" s="12" t="s">
        <v>395</v>
      </c>
      <c r="AD95" s="12" t="s">
        <v>112</v>
      </c>
      <c r="AE95" s="12" t="s">
        <v>563</v>
      </c>
      <c r="AF95" s="12" t="s">
        <v>569</v>
      </c>
      <c r="AG95" s="12" t="s">
        <v>407</v>
      </c>
      <c r="AH95" s="12" t="s">
        <v>116</v>
      </c>
      <c r="AI95" s="12" t="s">
        <v>117</v>
      </c>
      <c r="AJ95" s="12" t="s">
        <v>570</v>
      </c>
      <c r="AK95" s="12" t="s">
        <v>4</v>
      </c>
    </row>
    <row r="96" customFormat="false" ht="15" hidden="false" customHeight="false" outlineLevel="0" collapsed="false">
      <c r="A96" s="11" t="n">
        <v>95</v>
      </c>
      <c r="B96" s="12" t="s">
        <v>557</v>
      </c>
      <c r="C96" s="12" t="s">
        <v>91</v>
      </c>
      <c r="D96" s="12" t="s">
        <v>92</v>
      </c>
      <c r="E96" s="12" t="s">
        <v>93</v>
      </c>
      <c r="F96" s="12" t="s">
        <v>385</v>
      </c>
      <c r="G96" s="12" t="s">
        <v>95</v>
      </c>
      <c r="H96" s="12" t="s">
        <v>558</v>
      </c>
      <c r="I96" s="12" t="s">
        <v>559</v>
      </c>
      <c r="J96" s="13" t="s">
        <v>566</v>
      </c>
      <c r="K96" s="12"/>
      <c r="L96" s="12" t="s">
        <v>571</v>
      </c>
      <c r="M96" s="12" t="s">
        <v>572</v>
      </c>
      <c r="N96" s="12" t="s">
        <v>212</v>
      </c>
      <c r="O96" s="12" t="s">
        <v>244</v>
      </c>
      <c r="P96" s="12" t="s">
        <v>103</v>
      </c>
      <c r="Q96" s="12" t="s">
        <v>104</v>
      </c>
      <c r="R96" s="14" t="n">
        <v>6.9</v>
      </c>
      <c r="S96" s="14" t="s">
        <v>105</v>
      </c>
      <c r="T96" s="14" t="s">
        <v>106</v>
      </c>
      <c r="U96" s="14" t="n">
        <v>2024</v>
      </c>
      <c r="V96" s="12" t="s">
        <v>157</v>
      </c>
      <c r="W96" s="14"/>
      <c r="X96" s="15" t="n">
        <f aca="false">IF(OR($S96="%",$R96=""),"",$R96*INDEX(Cambi!$J$2:$J$5,MATCH($S96,Cambi!$I$2:$I$5,0))/IF($T96="EUR",1,INDEX(Cambi!$D:$D,MATCH($T96&amp;"|"&amp;$U96,Cambi!$C:$C,0))))</f>
        <v>6.9</v>
      </c>
      <c r="Y96" s="12" t="s">
        <v>130</v>
      </c>
      <c r="Z96" s="12" t="s">
        <v>117</v>
      </c>
      <c r="AA96" s="12" t="s">
        <v>393</v>
      </c>
      <c r="AB96" s="12" t="s">
        <v>394</v>
      </c>
      <c r="AC96" s="12" t="s">
        <v>395</v>
      </c>
      <c r="AD96" s="12" t="s">
        <v>112</v>
      </c>
      <c r="AE96" s="12" t="s">
        <v>563</v>
      </c>
      <c r="AF96" s="12" t="s">
        <v>573</v>
      </c>
      <c r="AG96" s="12" t="s">
        <v>407</v>
      </c>
      <c r="AH96" s="12" t="s">
        <v>116</v>
      </c>
      <c r="AI96" s="12" t="s">
        <v>117</v>
      </c>
      <c r="AJ96" s="12" t="s">
        <v>574</v>
      </c>
      <c r="AK96" s="12" t="s">
        <v>4</v>
      </c>
    </row>
    <row r="97" customFormat="false" ht="15" hidden="false" customHeight="false" outlineLevel="0" collapsed="false">
      <c r="A97" s="11" t="n">
        <v>96</v>
      </c>
      <c r="B97" s="12" t="s">
        <v>557</v>
      </c>
      <c r="C97" s="12" t="s">
        <v>91</v>
      </c>
      <c r="D97" s="12" t="s">
        <v>92</v>
      </c>
      <c r="E97" s="12" t="s">
        <v>93</v>
      </c>
      <c r="F97" s="12" t="s">
        <v>385</v>
      </c>
      <c r="G97" s="12" t="s">
        <v>95</v>
      </c>
      <c r="H97" s="12" t="s">
        <v>558</v>
      </c>
      <c r="I97" s="12" t="s">
        <v>559</v>
      </c>
      <c r="J97" s="13" t="s">
        <v>566</v>
      </c>
      <c r="K97" s="12"/>
      <c r="L97" s="12" t="s">
        <v>575</v>
      </c>
      <c r="M97" s="12" t="s">
        <v>576</v>
      </c>
      <c r="N97" s="12" t="s">
        <v>212</v>
      </c>
      <c r="O97" s="12" t="s">
        <v>417</v>
      </c>
      <c r="P97" s="12" t="s">
        <v>103</v>
      </c>
      <c r="Q97" s="12" t="s">
        <v>104</v>
      </c>
      <c r="R97" s="14" t="n">
        <v>1.5</v>
      </c>
      <c r="S97" s="14" t="s">
        <v>105</v>
      </c>
      <c r="T97" s="14" t="s">
        <v>106</v>
      </c>
      <c r="U97" s="14" t="n">
        <v>2024</v>
      </c>
      <c r="V97" s="12" t="s">
        <v>157</v>
      </c>
      <c r="W97" s="14"/>
      <c r="X97" s="15" t="n">
        <f aca="false">IF(OR($S97="%",$R97=""),"",$R97*INDEX(Cambi!$J$2:$J$5,MATCH($S97,Cambi!$I$2:$I$5,0))/IF($T97="EUR",1,INDEX(Cambi!$D:$D,MATCH($T97&amp;"|"&amp;$U97,Cambi!$C:$C,0))))</f>
        <v>1.5</v>
      </c>
      <c r="Y97" s="12" t="s">
        <v>130</v>
      </c>
      <c r="Z97" s="12" t="s">
        <v>117</v>
      </c>
      <c r="AA97" s="12" t="s">
        <v>393</v>
      </c>
      <c r="AB97" s="12" t="s">
        <v>394</v>
      </c>
      <c r="AC97" s="12" t="s">
        <v>395</v>
      </c>
      <c r="AD97" s="12" t="s">
        <v>112</v>
      </c>
      <c r="AE97" s="12" t="s">
        <v>563</v>
      </c>
      <c r="AF97" s="12" t="s">
        <v>577</v>
      </c>
      <c r="AG97" s="12" t="s">
        <v>407</v>
      </c>
      <c r="AH97" s="12" t="s">
        <v>116</v>
      </c>
      <c r="AI97" s="12" t="s">
        <v>117</v>
      </c>
      <c r="AJ97" s="12" t="s">
        <v>578</v>
      </c>
      <c r="AK97" s="12" t="s">
        <v>4</v>
      </c>
    </row>
    <row r="98" customFormat="false" ht="15" hidden="false" customHeight="false" outlineLevel="0" collapsed="false">
      <c r="A98" s="11" t="n">
        <v>97</v>
      </c>
      <c r="B98" s="12" t="s">
        <v>579</v>
      </c>
      <c r="C98" s="12" t="s">
        <v>91</v>
      </c>
      <c r="D98" s="12" t="s">
        <v>92</v>
      </c>
      <c r="E98" s="12" t="s">
        <v>93</v>
      </c>
      <c r="F98" s="12" t="s">
        <v>580</v>
      </c>
      <c r="G98" s="12" t="s">
        <v>581</v>
      </c>
      <c r="H98" s="12" t="s">
        <v>582</v>
      </c>
      <c r="I98" s="12" t="s">
        <v>583</v>
      </c>
      <c r="J98" s="13" t="s">
        <v>584</v>
      </c>
      <c r="K98" s="12"/>
      <c r="L98" s="12" t="s">
        <v>585</v>
      </c>
      <c r="M98" s="12" t="s">
        <v>586</v>
      </c>
      <c r="N98" s="12" t="s">
        <v>212</v>
      </c>
      <c r="O98" s="12" t="s">
        <v>102</v>
      </c>
      <c r="P98" s="12" t="s">
        <v>214</v>
      </c>
      <c r="Q98" s="12" t="s">
        <v>220</v>
      </c>
      <c r="R98" s="14" t="n">
        <v>29.9</v>
      </c>
      <c r="S98" s="14" t="s">
        <v>129</v>
      </c>
      <c r="T98" s="14" t="s">
        <v>106</v>
      </c>
      <c r="U98" s="14" t="n">
        <v>2025</v>
      </c>
      <c r="V98" s="12" t="s">
        <v>107</v>
      </c>
      <c r="W98" s="14"/>
      <c r="X98" s="15" t="n">
        <f aca="false">IF(OR($S98="%",$R98=""),"",$R98*INDEX(Cambi!$J$2:$J$5,MATCH($S98,Cambi!$I$2:$I$5,0))/IF($T98="EUR",1,INDEX(Cambi!$D:$D,MATCH($T98&amp;"|"&amp;$U98,Cambi!$C:$C,0))))</f>
        <v>29900</v>
      </c>
      <c r="Y98" s="12" t="s">
        <v>239</v>
      </c>
      <c r="Z98" s="12" t="s">
        <v>117</v>
      </c>
      <c r="AA98" s="12" t="s">
        <v>587</v>
      </c>
      <c r="AB98" s="16" t="s">
        <v>394</v>
      </c>
      <c r="AC98" s="16" t="s">
        <v>588</v>
      </c>
      <c r="AD98" s="12" t="s">
        <v>166</v>
      </c>
      <c r="AE98" s="12" t="s">
        <v>589</v>
      </c>
      <c r="AF98" s="12" t="s">
        <v>590</v>
      </c>
      <c r="AG98" s="12" t="s">
        <v>115</v>
      </c>
      <c r="AH98" s="12" t="s">
        <v>116</v>
      </c>
      <c r="AI98" s="12" t="s">
        <v>117</v>
      </c>
      <c r="AJ98" s="12" t="s">
        <v>591</v>
      </c>
      <c r="AK98" s="12" t="s">
        <v>4</v>
      </c>
    </row>
    <row r="99" customFormat="false" ht="15" hidden="false" customHeight="false" outlineLevel="0" collapsed="false">
      <c r="A99" s="11" t="n">
        <v>98</v>
      </c>
      <c r="B99" s="12" t="s">
        <v>579</v>
      </c>
      <c r="C99" s="12" t="s">
        <v>91</v>
      </c>
      <c r="D99" s="12" t="s">
        <v>92</v>
      </c>
      <c r="E99" s="12" t="s">
        <v>93</v>
      </c>
      <c r="F99" s="12" t="s">
        <v>580</v>
      </c>
      <c r="G99" s="12" t="s">
        <v>581</v>
      </c>
      <c r="H99" s="12" t="s">
        <v>582</v>
      </c>
      <c r="I99" s="12" t="s">
        <v>583</v>
      </c>
      <c r="J99" s="13" t="s">
        <v>584</v>
      </c>
      <c r="K99" s="12"/>
      <c r="L99" s="12" t="s">
        <v>585</v>
      </c>
      <c r="M99" s="12" t="s">
        <v>592</v>
      </c>
      <c r="N99" s="12" t="s">
        <v>212</v>
      </c>
      <c r="O99" s="12" t="s">
        <v>102</v>
      </c>
      <c r="P99" s="12" t="s">
        <v>214</v>
      </c>
      <c r="Q99" s="12" t="s">
        <v>593</v>
      </c>
      <c r="R99" s="14" t="n">
        <v>1.3</v>
      </c>
      <c r="S99" s="14" t="s">
        <v>129</v>
      </c>
      <c r="T99" s="14" t="s">
        <v>106</v>
      </c>
      <c r="U99" s="14" t="n">
        <v>2025</v>
      </c>
      <c r="V99" s="12" t="s">
        <v>107</v>
      </c>
      <c r="W99" s="14"/>
      <c r="X99" s="15" t="n">
        <f aca="false">IF(OR($S99="%",$R99=""),"",$R99*INDEX(Cambi!$J$2:$J$5,MATCH($S99,Cambi!$I$2:$I$5,0))/IF($T99="EUR",1,INDEX(Cambi!$D:$D,MATCH($T99&amp;"|"&amp;$U99,Cambi!$C:$C,0))))</f>
        <v>1300</v>
      </c>
      <c r="Y99" s="12" t="s">
        <v>239</v>
      </c>
      <c r="Z99" s="12" t="s">
        <v>117</v>
      </c>
      <c r="AA99" s="12" t="s">
        <v>587</v>
      </c>
      <c r="AB99" s="16" t="s">
        <v>394</v>
      </c>
      <c r="AC99" s="16" t="s">
        <v>588</v>
      </c>
      <c r="AD99" s="12" t="s">
        <v>166</v>
      </c>
      <c r="AE99" s="12" t="s">
        <v>589</v>
      </c>
      <c r="AF99" s="12" t="s">
        <v>594</v>
      </c>
      <c r="AG99" s="12" t="s">
        <v>115</v>
      </c>
      <c r="AH99" s="12" t="s">
        <v>116</v>
      </c>
      <c r="AI99" s="12" t="s">
        <v>117</v>
      </c>
      <c r="AJ99" s="12" t="s">
        <v>595</v>
      </c>
      <c r="AK99" s="12" t="s">
        <v>4</v>
      </c>
    </row>
    <row r="100" customFormat="false" ht="15" hidden="false" customHeight="false" outlineLevel="0" collapsed="false">
      <c r="A100" s="11" t="n">
        <v>99</v>
      </c>
      <c r="B100" s="12" t="s">
        <v>579</v>
      </c>
      <c r="C100" s="12" t="s">
        <v>91</v>
      </c>
      <c r="D100" s="12" t="s">
        <v>92</v>
      </c>
      <c r="E100" s="12" t="s">
        <v>93</v>
      </c>
      <c r="F100" s="12" t="s">
        <v>580</v>
      </c>
      <c r="G100" s="12" t="s">
        <v>581</v>
      </c>
      <c r="H100" s="12" t="s">
        <v>582</v>
      </c>
      <c r="I100" s="12" t="s">
        <v>583</v>
      </c>
      <c r="J100" s="13" t="s">
        <v>584</v>
      </c>
      <c r="K100" s="12"/>
      <c r="L100" s="12" t="s">
        <v>585</v>
      </c>
      <c r="M100" s="12" t="s">
        <v>596</v>
      </c>
      <c r="N100" s="12" t="s">
        <v>212</v>
      </c>
      <c r="O100" s="12" t="s">
        <v>102</v>
      </c>
      <c r="P100" s="12" t="s">
        <v>103</v>
      </c>
      <c r="Q100" s="12" t="s">
        <v>104</v>
      </c>
      <c r="R100" s="14" t="n">
        <v>31.2</v>
      </c>
      <c r="S100" s="14" t="s">
        <v>129</v>
      </c>
      <c r="T100" s="14" t="s">
        <v>106</v>
      </c>
      <c r="U100" s="14" t="n">
        <v>2025</v>
      </c>
      <c r="V100" s="12" t="s">
        <v>107</v>
      </c>
      <c r="W100" s="14"/>
      <c r="X100" s="15" t="n">
        <f aca="false">IF(OR($S100="%",$R100=""),"",$R100*INDEX(Cambi!$J$2:$J$5,MATCH($S100,Cambi!$I$2:$I$5,0))/IF($T100="EUR",1,INDEX(Cambi!$D:$D,MATCH($T100&amp;"|"&amp;$U100,Cambi!$C:$C,0))))</f>
        <v>31200</v>
      </c>
      <c r="Y100" s="12" t="s">
        <v>239</v>
      </c>
      <c r="Z100" s="12" t="s">
        <v>117</v>
      </c>
      <c r="AA100" s="12" t="s">
        <v>587</v>
      </c>
      <c r="AB100" s="16" t="s">
        <v>394</v>
      </c>
      <c r="AC100" s="16" t="s">
        <v>588</v>
      </c>
      <c r="AD100" s="12" t="s">
        <v>166</v>
      </c>
      <c r="AE100" s="12" t="s">
        <v>589</v>
      </c>
      <c r="AF100" s="12" t="s">
        <v>597</v>
      </c>
      <c r="AG100" s="12" t="s">
        <v>115</v>
      </c>
      <c r="AH100" s="12" t="s">
        <v>116</v>
      </c>
      <c r="AI100" s="12" t="s">
        <v>117</v>
      </c>
      <c r="AJ100" s="12" t="s">
        <v>591</v>
      </c>
      <c r="AK100" s="12" t="s">
        <v>4</v>
      </c>
    </row>
    <row r="101" customFormat="false" ht="15" hidden="false" customHeight="false" outlineLevel="0" collapsed="false">
      <c r="A101" s="11" t="n">
        <v>100</v>
      </c>
      <c r="B101" s="12" t="s">
        <v>579</v>
      </c>
      <c r="C101" s="12" t="s">
        <v>91</v>
      </c>
      <c r="D101" s="12" t="s">
        <v>92</v>
      </c>
      <c r="E101" s="12" t="s">
        <v>93</v>
      </c>
      <c r="F101" s="12" t="s">
        <v>580</v>
      </c>
      <c r="G101" s="12" t="s">
        <v>581</v>
      </c>
      <c r="H101" s="12" t="s">
        <v>582</v>
      </c>
      <c r="I101" s="12" t="s">
        <v>583</v>
      </c>
      <c r="J101" s="13" t="s">
        <v>584</v>
      </c>
      <c r="K101" s="12"/>
      <c r="L101" s="12" t="s">
        <v>598</v>
      </c>
      <c r="M101" s="12" t="s">
        <v>599</v>
      </c>
      <c r="N101" s="12" t="s">
        <v>101</v>
      </c>
      <c r="O101" s="12" t="s">
        <v>102</v>
      </c>
      <c r="P101" s="12" t="s">
        <v>103</v>
      </c>
      <c r="Q101" s="12" t="s">
        <v>104</v>
      </c>
      <c r="R101" s="14" t="n">
        <v>360</v>
      </c>
      <c r="S101" s="14" t="s">
        <v>105</v>
      </c>
      <c r="T101" s="14" t="s">
        <v>106</v>
      </c>
      <c r="U101" s="14" t="n">
        <v>2025</v>
      </c>
      <c r="V101" s="12" t="s">
        <v>107</v>
      </c>
      <c r="W101" s="14"/>
      <c r="X101" s="15" t="n">
        <f aca="false">IF(OR($S101="%",$R101=""),"",$R101*INDEX(Cambi!$J$2:$J$5,MATCH($S101,Cambi!$I$2:$I$5,0))/IF($T101="EUR",1,INDEX(Cambi!$D:$D,MATCH($T101&amp;"|"&amp;$U101,Cambi!$C:$C,0))))</f>
        <v>360</v>
      </c>
      <c r="Y101" s="12" t="s">
        <v>108</v>
      </c>
      <c r="Z101" s="12" t="s">
        <v>117</v>
      </c>
      <c r="AA101" s="12" t="s">
        <v>587</v>
      </c>
      <c r="AB101" s="16" t="s">
        <v>394</v>
      </c>
      <c r="AC101" s="16" t="s">
        <v>588</v>
      </c>
      <c r="AD101" s="12" t="s">
        <v>166</v>
      </c>
      <c r="AE101" s="12" t="s">
        <v>589</v>
      </c>
      <c r="AF101" s="12" t="s">
        <v>600</v>
      </c>
      <c r="AG101" s="12" t="s">
        <v>115</v>
      </c>
      <c r="AH101" s="12" t="s">
        <v>116</v>
      </c>
      <c r="AI101" s="12" t="s">
        <v>117</v>
      </c>
      <c r="AJ101" s="12" t="s">
        <v>601</v>
      </c>
      <c r="AK101" s="12" t="s">
        <v>4</v>
      </c>
    </row>
    <row r="102" customFormat="false" ht="15" hidden="false" customHeight="false" outlineLevel="0" collapsed="false">
      <c r="A102" s="11" t="n">
        <v>101</v>
      </c>
      <c r="B102" s="12" t="s">
        <v>579</v>
      </c>
      <c r="C102" s="12" t="s">
        <v>91</v>
      </c>
      <c r="D102" s="12" t="s">
        <v>92</v>
      </c>
      <c r="E102" s="12" t="s">
        <v>93</v>
      </c>
      <c r="F102" s="12" t="s">
        <v>580</v>
      </c>
      <c r="G102" s="12" t="s">
        <v>581</v>
      </c>
      <c r="H102" s="12" t="s">
        <v>582</v>
      </c>
      <c r="I102" s="12" t="s">
        <v>583</v>
      </c>
      <c r="J102" s="13" t="s">
        <v>584</v>
      </c>
      <c r="K102" s="12"/>
      <c r="L102" s="12" t="s">
        <v>602</v>
      </c>
      <c r="M102" s="12" t="s">
        <v>603</v>
      </c>
      <c r="N102" s="12" t="s">
        <v>195</v>
      </c>
      <c r="O102" s="12" t="s">
        <v>196</v>
      </c>
      <c r="P102" s="12" t="s">
        <v>214</v>
      </c>
      <c r="Q102" s="12" t="s">
        <v>220</v>
      </c>
      <c r="R102" s="14" t="n">
        <v>0.32</v>
      </c>
      <c r="S102" s="14" t="s">
        <v>197</v>
      </c>
      <c r="T102" s="14"/>
      <c r="U102" s="14" t="n">
        <v>2025</v>
      </c>
      <c r="V102" s="12" t="s">
        <v>107</v>
      </c>
      <c r="W102" s="14"/>
      <c r="X102" s="15" t="str">
        <f aca="false">IF(OR($S102="%",$R102=""),"",$R102*INDEX(Cambi!$J$2:$J$5,MATCH($S102,Cambi!$I$2:$I$5,0))/IF($T102="EUR",1,INDEX(Cambi!$D:$D,MATCH($T102&amp;"|"&amp;$U102,Cambi!$C:$C,0))))</f>
        <v/>
      </c>
      <c r="Y102" s="12" t="s">
        <v>239</v>
      </c>
      <c r="Z102" s="12" t="s">
        <v>117</v>
      </c>
      <c r="AA102" s="12" t="s">
        <v>587</v>
      </c>
      <c r="AB102" s="16" t="s">
        <v>394</v>
      </c>
      <c r="AC102" s="16" t="s">
        <v>588</v>
      </c>
      <c r="AD102" s="12" t="s">
        <v>166</v>
      </c>
      <c r="AE102" s="12" t="s">
        <v>589</v>
      </c>
      <c r="AF102" s="12" t="s">
        <v>590</v>
      </c>
      <c r="AG102" s="12" t="s">
        <v>115</v>
      </c>
      <c r="AH102" s="12" t="s">
        <v>116</v>
      </c>
      <c r="AI102" s="12" t="s">
        <v>117</v>
      </c>
      <c r="AJ102" s="12" t="s">
        <v>604</v>
      </c>
      <c r="AK102" s="12" t="s">
        <v>4</v>
      </c>
    </row>
    <row r="103" customFormat="false" ht="15" hidden="false" customHeight="false" outlineLevel="0" collapsed="false">
      <c r="A103" s="11" t="n">
        <v>102</v>
      </c>
      <c r="B103" s="12" t="s">
        <v>579</v>
      </c>
      <c r="C103" s="12" t="s">
        <v>91</v>
      </c>
      <c r="D103" s="12" t="s">
        <v>92</v>
      </c>
      <c r="E103" s="12" t="s">
        <v>93</v>
      </c>
      <c r="F103" s="12" t="s">
        <v>580</v>
      </c>
      <c r="G103" s="12" t="s">
        <v>581</v>
      </c>
      <c r="H103" s="12" t="s">
        <v>582</v>
      </c>
      <c r="I103" s="12" t="s">
        <v>583</v>
      </c>
      <c r="J103" s="13" t="s">
        <v>584</v>
      </c>
      <c r="K103" s="12"/>
      <c r="L103" s="12" t="s">
        <v>602</v>
      </c>
      <c r="M103" s="12" t="s">
        <v>605</v>
      </c>
      <c r="N103" s="12" t="s">
        <v>195</v>
      </c>
      <c r="O103" s="12" t="s">
        <v>196</v>
      </c>
      <c r="P103" s="12" t="s">
        <v>214</v>
      </c>
      <c r="Q103" s="12" t="s">
        <v>593</v>
      </c>
      <c r="R103" s="14" t="n">
        <v>0.2</v>
      </c>
      <c r="S103" s="14" t="s">
        <v>197</v>
      </c>
      <c r="T103" s="14"/>
      <c r="U103" s="14" t="n">
        <v>2025</v>
      </c>
      <c r="V103" s="12" t="s">
        <v>107</v>
      </c>
      <c r="W103" s="14"/>
      <c r="X103" s="15" t="str">
        <f aca="false">IF(OR($S103="%",$R103=""),"",$R103*INDEX(Cambi!$J$2:$J$5,MATCH($S103,Cambi!$I$2:$I$5,0))/IF($T103="EUR",1,INDEX(Cambi!$D:$D,MATCH($T103&amp;"|"&amp;$U103,Cambi!$C:$C,0))))</f>
        <v/>
      </c>
      <c r="Y103" s="12" t="s">
        <v>239</v>
      </c>
      <c r="Z103" s="12" t="s">
        <v>117</v>
      </c>
      <c r="AA103" s="12" t="s">
        <v>587</v>
      </c>
      <c r="AB103" s="16" t="s">
        <v>394</v>
      </c>
      <c r="AC103" s="16" t="s">
        <v>588</v>
      </c>
      <c r="AD103" s="12" t="s">
        <v>166</v>
      </c>
      <c r="AE103" s="12" t="s">
        <v>589</v>
      </c>
      <c r="AF103" s="12" t="s">
        <v>594</v>
      </c>
      <c r="AG103" s="12" t="s">
        <v>115</v>
      </c>
      <c r="AH103" s="12" t="s">
        <v>116</v>
      </c>
      <c r="AI103" s="12" t="s">
        <v>117</v>
      </c>
      <c r="AJ103" s="12" t="s">
        <v>606</v>
      </c>
      <c r="AK103" s="12" t="s">
        <v>4</v>
      </c>
    </row>
    <row r="104" customFormat="false" ht="15" hidden="false" customHeight="false" outlineLevel="0" collapsed="false">
      <c r="A104" s="11" t="n">
        <v>103</v>
      </c>
      <c r="B104" s="12" t="s">
        <v>579</v>
      </c>
      <c r="C104" s="12" t="s">
        <v>91</v>
      </c>
      <c r="D104" s="12" t="s">
        <v>92</v>
      </c>
      <c r="E104" s="12" t="s">
        <v>93</v>
      </c>
      <c r="F104" s="12" t="s">
        <v>580</v>
      </c>
      <c r="G104" s="12" t="s">
        <v>581</v>
      </c>
      <c r="H104" s="12" t="s">
        <v>582</v>
      </c>
      <c r="I104" s="12" t="s">
        <v>583</v>
      </c>
      <c r="J104" s="13" t="s">
        <v>584</v>
      </c>
      <c r="K104" s="12"/>
      <c r="L104" s="12" t="s">
        <v>602</v>
      </c>
      <c r="M104" s="12" t="s">
        <v>607</v>
      </c>
      <c r="N104" s="12" t="s">
        <v>195</v>
      </c>
      <c r="O104" s="12" t="s">
        <v>196</v>
      </c>
      <c r="P104" s="12" t="s">
        <v>103</v>
      </c>
      <c r="Q104" s="12" t="s">
        <v>104</v>
      </c>
      <c r="R104" s="14" t="n">
        <v>0.31</v>
      </c>
      <c r="S104" s="14" t="s">
        <v>197</v>
      </c>
      <c r="T104" s="14"/>
      <c r="U104" s="14" t="n">
        <v>2025</v>
      </c>
      <c r="V104" s="12" t="s">
        <v>107</v>
      </c>
      <c r="W104" s="14"/>
      <c r="X104" s="15" t="str">
        <f aca="false">IF(OR($S104="%",$R104=""),"",$R104*INDEX(Cambi!$J$2:$J$5,MATCH($S104,Cambi!$I$2:$I$5,0))/IF($T104="EUR",1,INDEX(Cambi!$D:$D,MATCH($T104&amp;"|"&amp;$U104,Cambi!$C:$C,0))))</f>
        <v/>
      </c>
      <c r="Y104" s="12" t="s">
        <v>239</v>
      </c>
      <c r="Z104" s="12" t="s">
        <v>117</v>
      </c>
      <c r="AA104" s="12" t="s">
        <v>587</v>
      </c>
      <c r="AB104" s="16" t="s">
        <v>394</v>
      </c>
      <c r="AC104" s="16" t="s">
        <v>588</v>
      </c>
      <c r="AD104" s="12" t="s">
        <v>166</v>
      </c>
      <c r="AE104" s="12" t="s">
        <v>589</v>
      </c>
      <c r="AF104" s="12" t="s">
        <v>597</v>
      </c>
      <c r="AG104" s="12" t="s">
        <v>115</v>
      </c>
      <c r="AH104" s="12" t="s">
        <v>116</v>
      </c>
      <c r="AI104" s="12" t="s">
        <v>117</v>
      </c>
      <c r="AJ104" s="12" t="s">
        <v>604</v>
      </c>
      <c r="AK104" s="12" t="s">
        <v>4</v>
      </c>
    </row>
    <row r="105" customFormat="false" ht="15" hidden="false" customHeight="false" outlineLevel="0" collapsed="false">
      <c r="A105" s="11" t="n">
        <v>104</v>
      </c>
      <c r="B105" s="12" t="s">
        <v>608</v>
      </c>
      <c r="C105" s="12" t="s">
        <v>91</v>
      </c>
      <c r="D105" s="12" t="s">
        <v>92</v>
      </c>
      <c r="E105" s="12" t="s">
        <v>93</v>
      </c>
      <c r="F105" s="12" t="s">
        <v>609</v>
      </c>
      <c r="G105" s="12" t="s">
        <v>581</v>
      </c>
      <c r="H105" s="12" t="s">
        <v>610</v>
      </c>
      <c r="I105" s="12" t="s">
        <v>611</v>
      </c>
      <c r="J105" s="13" t="s">
        <v>612</v>
      </c>
      <c r="K105" s="12" t="s">
        <v>613</v>
      </c>
      <c r="L105" s="12" t="s">
        <v>614</v>
      </c>
      <c r="M105" s="12" t="s">
        <v>615</v>
      </c>
      <c r="N105" s="12" t="s">
        <v>352</v>
      </c>
      <c r="O105" s="12" t="s">
        <v>102</v>
      </c>
      <c r="P105" s="12" t="s">
        <v>103</v>
      </c>
      <c r="Q105" s="12" t="s">
        <v>104</v>
      </c>
      <c r="R105" s="14" t="n">
        <v>50</v>
      </c>
      <c r="S105" s="14" t="s">
        <v>129</v>
      </c>
      <c r="T105" s="14" t="s">
        <v>106</v>
      </c>
      <c r="U105" s="14" t="n">
        <v>2025</v>
      </c>
      <c r="V105" s="12" t="s">
        <v>157</v>
      </c>
      <c r="W105" s="14"/>
      <c r="X105" s="15" t="n">
        <f aca="false">IF(OR($S105="%",$R105=""),"",$R105*INDEX(Cambi!$J$2:$J$5,MATCH($S105,Cambi!$I$2:$I$5,0))/IF($T105="EUR",1,INDEX(Cambi!$D:$D,MATCH($T105&amp;"|"&amp;$U105,Cambi!$C:$C,0))))</f>
        <v>50000</v>
      </c>
      <c r="Y105" s="12" t="s">
        <v>109</v>
      </c>
      <c r="Z105" s="12" t="s">
        <v>285</v>
      </c>
      <c r="AA105" s="12" t="s">
        <v>109</v>
      </c>
      <c r="AB105" s="16" t="s">
        <v>110</v>
      </c>
      <c r="AC105" s="16" t="s">
        <v>616</v>
      </c>
      <c r="AD105" s="12" t="s">
        <v>617</v>
      </c>
      <c r="AE105" s="12" t="s">
        <v>618</v>
      </c>
      <c r="AF105" s="12" t="s">
        <v>619</v>
      </c>
      <c r="AG105" s="12" t="s">
        <v>115</v>
      </c>
      <c r="AH105" s="12" t="s">
        <v>116</v>
      </c>
      <c r="AI105" s="12" t="s">
        <v>117</v>
      </c>
      <c r="AJ105" s="12" t="s">
        <v>620</v>
      </c>
      <c r="AK105" s="12" t="s">
        <v>4</v>
      </c>
    </row>
    <row r="106" customFormat="false" ht="15" hidden="false" customHeight="false" outlineLevel="0" collapsed="false">
      <c r="A106" s="11" t="n">
        <v>105</v>
      </c>
      <c r="B106" s="12" t="s">
        <v>608</v>
      </c>
      <c r="C106" s="12" t="s">
        <v>91</v>
      </c>
      <c r="D106" s="12" t="s">
        <v>92</v>
      </c>
      <c r="E106" s="12" t="s">
        <v>93</v>
      </c>
      <c r="F106" s="12" t="s">
        <v>609</v>
      </c>
      <c r="G106" s="12" t="s">
        <v>581</v>
      </c>
      <c r="H106" s="12" t="s">
        <v>610</v>
      </c>
      <c r="I106" s="12" t="s">
        <v>611</v>
      </c>
      <c r="J106" s="13" t="s">
        <v>612</v>
      </c>
      <c r="K106" s="12" t="s">
        <v>613</v>
      </c>
      <c r="L106" s="12" t="s">
        <v>621</v>
      </c>
      <c r="M106" s="12" t="s">
        <v>622</v>
      </c>
      <c r="N106" s="12" t="s">
        <v>352</v>
      </c>
      <c r="O106" s="12" t="s">
        <v>102</v>
      </c>
      <c r="P106" s="12" t="s">
        <v>103</v>
      </c>
      <c r="Q106" s="12" t="s">
        <v>104</v>
      </c>
      <c r="R106" s="14" t="n">
        <v>77</v>
      </c>
      <c r="S106" s="14" t="s">
        <v>129</v>
      </c>
      <c r="T106" s="14" t="s">
        <v>106</v>
      </c>
      <c r="U106" s="14" t="n">
        <v>2030</v>
      </c>
      <c r="V106" s="12" t="s">
        <v>107</v>
      </c>
      <c r="W106" s="14" t="s">
        <v>623</v>
      </c>
      <c r="X106" s="15" t="n">
        <f aca="false">IF(OR($S106="%",$R106=""),"",$R106*INDEX(Cambi!$J$2:$J$5,MATCH($S106,Cambi!$I$2:$I$5,0))/IF($T106="EUR",1,INDEX(Cambi!$D:$D,MATCH($T106&amp;"|"&amp;$U106,Cambi!$C:$C,0))))</f>
        <v>77000</v>
      </c>
      <c r="Y106" s="12" t="s">
        <v>109</v>
      </c>
      <c r="Z106" s="12" t="s">
        <v>285</v>
      </c>
      <c r="AA106" s="12" t="s">
        <v>109</v>
      </c>
      <c r="AB106" s="16" t="s">
        <v>110</v>
      </c>
      <c r="AC106" s="16" t="s">
        <v>616</v>
      </c>
      <c r="AD106" s="12" t="s">
        <v>617</v>
      </c>
      <c r="AE106" s="12" t="s">
        <v>618</v>
      </c>
      <c r="AF106" s="12" t="s">
        <v>624</v>
      </c>
      <c r="AG106" s="12" t="s">
        <v>115</v>
      </c>
      <c r="AH106" s="12" t="s">
        <v>116</v>
      </c>
      <c r="AI106" s="12" t="s">
        <v>117</v>
      </c>
      <c r="AJ106" s="12" t="s">
        <v>266</v>
      </c>
      <c r="AK106" s="12" t="s">
        <v>4</v>
      </c>
    </row>
    <row r="107" customFormat="false" ht="15" hidden="false" customHeight="false" outlineLevel="0" collapsed="false">
      <c r="A107" s="11" t="n">
        <v>106</v>
      </c>
      <c r="B107" s="12" t="s">
        <v>625</v>
      </c>
      <c r="C107" s="12" t="s">
        <v>91</v>
      </c>
      <c r="D107" s="12" t="s">
        <v>92</v>
      </c>
      <c r="E107" s="12" t="s">
        <v>93</v>
      </c>
      <c r="F107" s="12" t="s">
        <v>626</v>
      </c>
      <c r="G107" s="12" t="s">
        <v>95</v>
      </c>
      <c r="H107" s="12" t="s">
        <v>627</v>
      </c>
      <c r="I107" s="12" t="s">
        <v>628</v>
      </c>
      <c r="J107" s="13" t="s">
        <v>629</v>
      </c>
      <c r="K107" s="12" t="s">
        <v>630</v>
      </c>
      <c r="L107" s="12" t="s">
        <v>631</v>
      </c>
      <c r="M107" s="12" t="s">
        <v>632</v>
      </c>
      <c r="N107" s="12" t="s">
        <v>101</v>
      </c>
      <c r="O107" s="12" t="s">
        <v>102</v>
      </c>
      <c r="P107" s="12" t="s">
        <v>103</v>
      </c>
      <c r="Q107" s="12" t="s">
        <v>104</v>
      </c>
      <c r="R107" s="14" t="n">
        <v>4.4</v>
      </c>
      <c r="S107" s="14" t="s">
        <v>129</v>
      </c>
      <c r="T107" s="14" t="s">
        <v>106</v>
      </c>
      <c r="U107" s="14" t="n">
        <v>2026</v>
      </c>
      <c r="V107" s="12" t="s">
        <v>107</v>
      </c>
      <c r="W107" s="14"/>
      <c r="X107" s="15" t="n">
        <f aca="false">IF(OR($S107="%",$R107=""),"",$R107*INDEX(Cambi!$J$2:$J$5,MATCH($S107,Cambi!$I$2:$I$5,0))/IF($T107="EUR",1,INDEX(Cambi!$D:$D,MATCH($T107&amp;"|"&amp;$U107,Cambi!$C:$C,0))))</f>
        <v>4400</v>
      </c>
      <c r="Y107" s="12" t="s">
        <v>130</v>
      </c>
      <c r="Z107" s="12" t="s">
        <v>109</v>
      </c>
      <c r="AA107" s="12" t="s">
        <v>633</v>
      </c>
      <c r="AB107" s="16" t="s">
        <v>110</v>
      </c>
      <c r="AC107" s="16" t="s">
        <v>634</v>
      </c>
      <c r="AD107" s="12" t="s">
        <v>281</v>
      </c>
      <c r="AE107" s="12" t="s">
        <v>635</v>
      </c>
      <c r="AF107" s="12" t="s">
        <v>636</v>
      </c>
      <c r="AG107" s="12" t="s">
        <v>115</v>
      </c>
      <c r="AH107" s="12" t="s">
        <v>116</v>
      </c>
      <c r="AI107" s="12" t="s">
        <v>285</v>
      </c>
      <c r="AJ107" s="12" t="s">
        <v>637</v>
      </c>
      <c r="AK107" s="12" t="s">
        <v>4</v>
      </c>
    </row>
    <row r="108" customFormat="false" ht="15" hidden="false" customHeight="false" outlineLevel="0" collapsed="false">
      <c r="A108" s="11" t="n">
        <v>107</v>
      </c>
      <c r="B108" s="12" t="s">
        <v>638</v>
      </c>
      <c r="C108" s="12" t="s">
        <v>91</v>
      </c>
      <c r="D108" s="12" t="s">
        <v>92</v>
      </c>
      <c r="E108" s="12" t="s">
        <v>93</v>
      </c>
      <c r="F108" s="12" t="s">
        <v>639</v>
      </c>
      <c r="G108" s="12" t="s">
        <v>95</v>
      </c>
      <c r="H108" s="12" t="s">
        <v>640</v>
      </c>
      <c r="I108" s="12" t="s">
        <v>641</v>
      </c>
      <c r="J108" s="13" t="s">
        <v>642</v>
      </c>
      <c r="K108" s="12" t="s">
        <v>643</v>
      </c>
      <c r="L108" s="12" t="s">
        <v>644</v>
      </c>
      <c r="M108" s="12" t="s">
        <v>645</v>
      </c>
      <c r="N108" s="12" t="s">
        <v>352</v>
      </c>
      <c r="O108" s="12" t="s">
        <v>196</v>
      </c>
      <c r="P108" s="12" t="s">
        <v>214</v>
      </c>
      <c r="Q108" s="12" t="s">
        <v>646</v>
      </c>
      <c r="R108" s="14" t="n">
        <v>21</v>
      </c>
      <c r="S108" s="14" t="s">
        <v>197</v>
      </c>
      <c r="T108" s="14"/>
      <c r="U108" s="14" t="n">
        <v>2025</v>
      </c>
      <c r="V108" s="12" t="s">
        <v>198</v>
      </c>
      <c r="W108" s="14"/>
      <c r="X108" s="15" t="str">
        <f aca="false">IF(OR($S108="%",$R108=""),"",$R108*INDEX(Cambi!$J$2:$J$5,MATCH($S108,Cambi!$I$2:$I$5,0))/IF($T108="EUR",1,INDEX(Cambi!$D:$D,MATCH($T108&amp;"|"&amp;$U108,Cambi!$C:$C,0))))</f>
        <v/>
      </c>
      <c r="Y108" s="12" t="s">
        <v>239</v>
      </c>
      <c r="Z108" s="12" t="s">
        <v>285</v>
      </c>
      <c r="AA108" s="12" t="s">
        <v>647</v>
      </c>
      <c r="AB108" s="16" t="s">
        <v>110</v>
      </c>
      <c r="AC108" s="16" t="s">
        <v>648</v>
      </c>
      <c r="AD108" s="12" t="s">
        <v>281</v>
      </c>
      <c r="AE108" s="12" t="s">
        <v>282</v>
      </c>
      <c r="AF108" s="12" t="s">
        <v>649</v>
      </c>
      <c r="AG108" s="12" t="s">
        <v>284</v>
      </c>
      <c r="AH108" s="12" t="s">
        <v>116</v>
      </c>
      <c r="AI108" s="12" t="s">
        <v>285</v>
      </c>
      <c r="AJ108" s="12" t="s">
        <v>650</v>
      </c>
      <c r="AK108" s="12" t="s">
        <v>4</v>
      </c>
    </row>
    <row r="109" customFormat="false" ht="15" hidden="false" customHeight="false" outlineLevel="0" collapsed="false">
      <c r="A109" s="11" t="n">
        <v>108</v>
      </c>
      <c r="B109" s="12" t="s">
        <v>638</v>
      </c>
      <c r="C109" s="12" t="s">
        <v>91</v>
      </c>
      <c r="D109" s="12" t="s">
        <v>92</v>
      </c>
      <c r="E109" s="12" t="s">
        <v>93</v>
      </c>
      <c r="F109" s="12" t="s">
        <v>639</v>
      </c>
      <c r="G109" s="12" t="s">
        <v>95</v>
      </c>
      <c r="H109" s="12" t="s">
        <v>640</v>
      </c>
      <c r="I109" s="12" t="s">
        <v>641</v>
      </c>
      <c r="J109" s="13" t="s">
        <v>642</v>
      </c>
      <c r="K109" s="12" t="s">
        <v>643</v>
      </c>
      <c r="L109" s="12" t="s">
        <v>651</v>
      </c>
      <c r="M109" s="12" t="s">
        <v>652</v>
      </c>
      <c r="N109" s="12" t="s">
        <v>352</v>
      </c>
      <c r="O109" s="12" t="s">
        <v>102</v>
      </c>
      <c r="P109" s="12" t="s">
        <v>103</v>
      </c>
      <c r="Q109" s="12" t="s">
        <v>104</v>
      </c>
      <c r="R109" s="14" t="n">
        <v>63</v>
      </c>
      <c r="S109" s="14" t="s">
        <v>129</v>
      </c>
      <c r="T109" s="14" t="s">
        <v>653</v>
      </c>
      <c r="U109" s="14" t="n">
        <v>2025</v>
      </c>
      <c r="V109" s="12" t="s">
        <v>198</v>
      </c>
      <c r="W109" s="14"/>
      <c r="X109" s="15" t="n">
        <f aca="false">IF(OR($S109="%",$R109=""),"",$R109*INDEX(Cambi!$J$2:$J$5,MATCH($S109,Cambi!$I$2:$I$5,0))/IF($T109="EUR",1,INDEX(Cambi!$D:$D,MATCH($T109&amp;"|"&amp;$U109,Cambi!$C:$C,0))))</f>
        <v>55752.2123893805</v>
      </c>
      <c r="Y109" s="12" t="s">
        <v>654</v>
      </c>
      <c r="Z109" s="12" t="s">
        <v>285</v>
      </c>
      <c r="AA109" s="12" t="s">
        <v>647</v>
      </c>
      <c r="AB109" s="16" t="s">
        <v>110</v>
      </c>
      <c r="AC109" s="16" t="s">
        <v>648</v>
      </c>
      <c r="AD109" s="12" t="s">
        <v>281</v>
      </c>
      <c r="AE109" s="12" t="s">
        <v>282</v>
      </c>
      <c r="AF109" s="12" t="s">
        <v>655</v>
      </c>
      <c r="AG109" s="12" t="s">
        <v>284</v>
      </c>
      <c r="AH109" s="12" t="s">
        <v>116</v>
      </c>
      <c r="AI109" s="12" t="s">
        <v>285</v>
      </c>
      <c r="AJ109" s="12" t="s">
        <v>656</v>
      </c>
      <c r="AK109" s="12" t="s">
        <v>4</v>
      </c>
    </row>
    <row r="110" customFormat="false" ht="15" hidden="false" customHeight="false" outlineLevel="0" collapsed="false">
      <c r="A110" s="11" t="n">
        <v>109</v>
      </c>
      <c r="B110" s="12" t="s">
        <v>657</v>
      </c>
      <c r="C110" s="12" t="s">
        <v>658</v>
      </c>
      <c r="D110" s="12" t="s">
        <v>659</v>
      </c>
      <c r="E110" s="12" t="s">
        <v>93</v>
      </c>
      <c r="F110" s="12" t="s">
        <v>94</v>
      </c>
      <c r="G110" s="12" t="s">
        <v>95</v>
      </c>
      <c r="H110" s="12" t="s">
        <v>660</v>
      </c>
      <c r="I110" s="12" t="s">
        <v>661</v>
      </c>
      <c r="J110" s="13" t="s">
        <v>662</v>
      </c>
      <c r="K110" s="12" t="s">
        <v>663</v>
      </c>
      <c r="L110" s="12" t="s">
        <v>664</v>
      </c>
      <c r="M110" s="12" t="s">
        <v>665</v>
      </c>
      <c r="N110" s="12" t="s">
        <v>352</v>
      </c>
      <c r="O110" s="12" t="s">
        <v>102</v>
      </c>
      <c r="P110" s="12" t="s">
        <v>103</v>
      </c>
      <c r="Q110" s="12" t="s">
        <v>666</v>
      </c>
      <c r="R110" s="14" t="n">
        <v>12</v>
      </c>
      <c r="S110" s="14" t="s">
        <v>129</v>
      </c>
      <c r="T110" s="14" t="s">
        <v>106</v>
      </c>
      <c r="U110" s="14" t="n">
        <v>2014</v>
      </c>
      <c r="V110" s="12" t="s">
        <v>157</v>
      </c>
      <c r="W110" s="14"/>
      <c r="X110" s="15" t="n">
        <f aca="false">IF(OR($S110="%",$R110=""),"",$R110*INDEX(Cambi!$J$2:$J$5,MATCH($S110,Cambi!$I$2:$I$5,0))/IF($T110="EUR",1,INDEX(Cambi!$D:$D,MATCH($T110&amp;"|"&amp;$U110,Cambi!$C:$C,0))))</f>
        <v>12000</v>
      </c>
      <c r="Y110" s="12" t="s">
        <v>109</v>
      </c>
      <c r="Z110" s="12" t="s">
        <v>285</v>
      </c>
      <c r="AA110" s="12" t="s">
        <v>667</v>
      </c>
      <c r="AB110" s="16" t="s">
        <v>110</v>
      </c>
      <c r="AC110" s="16" t="s">
        <v>668</v>
      </c>
      <c r="AD110" s="12" t="s">
        <v>281</v>
      </c>
      <c r="AE110" s="12" t="s">
        <v>282</v>
      </c>
      <c r="AF110" s="12" t="s">
        <v>669</v>
      </c>
      <c r="AG110" s="12" t="s">
        <v>284</v>
      </c>
      <c r="AH110" s="12" t="s">
        <v>116</v>
      </c>
      <c r="AI110" s="12" t="s">
        <v>285</v>
      </c>
      <c r="AJ110" s="12" t="s">
        <v>670</v>
      </c>
      <c r="AK110" s="12" t="s">
        <v>4</v>
      </c>
    </row>
    <row r="111" customFormat="false" ht="15" hidden="false" customHeight="false" outlineLevel="0" collapsed="false">
      <c r="A111" s="11" t="n">
        <v>110</v>
      </c>
      <c r="B111" s="12" t="s">
        <v>657</v>
      </c>
      <c r="C111" s="12" t="s">
        <v>658</v>
      </c>
      <c r="D111" s="12" t="s">
        <v>659</v>
      </c>
      <c r="E111" s="12" t="s">
        <v>93</v>
      </c>
      <c r="F111" s="12" t="s">
        <v>94</v>
      </c>
      <c r="G111" s="12" t="s">
        <v>95</v>
      </c>
      <c r="H111" s="12" t="s">
        <v>660</v>
      </c>
      <c r="I111" s="12" t="s">
        <v>661</v>
      </c>
      <c r="J111" s="13" t="s">
        <v>662</v>
      </c>
      <c r="K111" s="12" t="s">
        <v>663</v>
      </c>
      <c r="L111" s="12" t="s">
        <v>664</v>
      </c>
      <c r="M111" s="12" t="s">
        <v>665</v>
      </c>
      <c r="N111" s="12" t="s">
        <v>352</v>
      </c>
      <c r="O111" s="12" t="s">
        <v>102</v>
      </c>
      <c r="P111" s="12" t="s">
        <v>103</v>
      </c>
      <c r="Q111" s="12" t="s">
        <v>671</v>
      </c>
      <c r="R111" s="14" t="n">
        <v>19</v>
      </c>
      <c r="S111" s="14" t="s">
        <v>129</v>
      </c>
      <c r="T111" s="14" t="s">
        <v>106</v>
      </c>
      <c r="U111" s="14" t="n">
        <v>2014</v>
      </c>
      <c r="V111" s="12" t="s">
        <v>157</v>
      </c>
      <c r="W111" s="14"/>
      <c r="X111" s="15" t="n">
        <f aca="false">IF(OR($S111="%",$R111=""),"",$R111*INDEX(Cambi!$J$2:$J$5,MATCH($S111,Cambi!$I$2:$I$5,0))/IF($T111="EUR",1,INDEX(Cambi!$D:$D,MATCH($T111&amp;"|"&amp;$U111,Cambi!$C:$C,0))))</f>
        <v>19000</v>
      </c>
      <c r="Y111" s="12" t="s">
        <v>109</v>
      </c>
      <c r="Z111" s="12" t="s">
        <v>285</v>
      </c>
      <c r="AA111" s="12" t="s">
        <v>667</v>
      </c>
      <c r="AB111" s="16" t="s">
        <v>110</v>
      </c>
      <c r="AC111" s="16" t="s">
        <v>668</v>
      </c>
      <c r="AD111" s="12" t="s">
        <v>281</v>
      </c>
      <c r="AE111" s="12" t="s">
        <v>282</v>
      </c>
      <c r="AF111" s="12" t="s">
        <v>669</v>
      </c>
      <c r="AG111" s="12" t="s">
        <v>284</v>
      </c>
      <c r="AH111" s="12" t="s">
        <v>116</v>
      </c>
      <c r="AI111" s="12" t="s">
        <v>285</v>
      </c>
      <c r="AJ111" s="12" t="s">
        <v>672</v>
      </c>
      <c r="AK111" s="12" t="s">
        <v>4</v>
      </c>
    </row>
    <row r="112" customFormat="false" ht="15" hidden="false" customHeight="false" outlineLevel="0" collapsed="false">
      <c r="A112" s="11" t="n">
        <v>111</v>
      </c>
      <c r="B112" s="12" t="s">
        <v>657</v>
      </c>
      <c r="C112" s="12" t="s">
        <v>658</v>
      </c>
      <c r="D112" s="12" t="s">
        <v>659</v>
      </c>
      <c r="E112" s="12" t="s">
        <v>93</v>
      </c>
      <c r="F112" s="12" t="s">
        <v>94</v>
      </c>
      <c r="G112" s="12" t="s">
        <v>95</v>
      </c>
      <c r="H112" s="12" t="s">
        <v>673</v>
      </c>
      <c r="I112" s="12" t="s">
        <v>661</v>
      </c>
      <c r="J112" s="13" t="s">
        <v>674</v>
      </c>
      <c r="K112" s="12" t="s">
        <v>675</v>
      </c>
      <c r="L112" s="12" t="s">
        <v>676</v>
      </c>
      <c r="M112" s="12" t="s">
        <v>677</v>
      </c>
      <c r="N112" s="12" t="s">
        <v>352</v>
      </c>
      <c r="O112" s="12" t="s">
        <v>213</v>
      </c>
      <c r="P112" s="12" t="s">
        <v>103</v>
      </c>
      <c r="Q112" s="12" t="s">
        <v>104</v>
      </c>
      <c r="R112" s="14" t="n">
        <v>17.4</v>
      </c>
      <c r="S112" s="14" t="s">
        <v>197</v>
      </c>
      <c r="T112" s="14"/>
      <c r="U112" s="14" t="n">
        <v>2016</v>
      </c>
      <c r="V112" s="12" t="s">
        <v>157</v>
      </c>
      <c r="W112" s="14"/>
      <c r="X112" s="15" t="str">
        <f aca="false">IF(OR($S112="%",$R112=""),"",$R112*INDEX(Cambi!$J$2:$J$5,MATCH($S112,Cambi!$I$2:$I$5,0))/IF($T112="EUR",1,INDEX(Cambi!$D:$D,MATCH($T112&amp;"|"&amp;$U112,Cambi!$C:$C,0))))</f>
        <v/>
      </c>
      <c r="Y112" s="12" t="s">
        <v>109</v>
      </c>
      <c r="Z112" s="12" t="s">
        <v>285</v>
      </c>
      <c r="AA112" s="12" t="s">
        <v>678</v>
      </c>
      <c r="AB112" s="16" t="s">
        <v>679</v>
      </c>
      <c r="AC112" s="16" t="s">
        <v>680</v>
      </c>
      <c r="AD112" s="12" t="s">
        <v>281</v>
      </c>
      <c r="AE112" s="12" t="s">
        <v>681</v>
      </c>
      <c r="AF112" s="12" t="s">
        <v>682</v>
      </c>
      <c r="AG112" s="12" t="s">
        <v>284</v>
      </c>
      <c r="AH112" s="12" t="s">
        <v>116</v>
      </c>
      <c r="AI112" s="12" t="s">
        <v>285</v>
      </c>
      <c r="AJ112" s="12" t="s">
        <v>266</v>
      </c>
      <c r="AK112" s="12" t="s">
        <v>4</v>
      </c>
    </row>
    <row r="113" customFormat="false" ht="15" hidden="false" customHeight="false" outlineLevel="0" collapsed="false">
      <c r="A113" s="11" t="n">
        <v>112</v>
      </c>
      <c r="B113" s="12" t="s">
        <v>657</v>
      </c>
      <c r="C113" s="12" t="s">
        <v>658</v>
      </c>
      <c r="D113" s="12" t="s">
        <v>659</v>
      </c>
      <c r="E113" s="12" t="s">
        <v>93</v>
      </c>
      <c r="F113" s="12" t="s">
        <v>94</v>
      </c>
      <c r="G113" s="12" t="s">
        <v>95</v>
      </c>
      <c r="H113" s="12" t="s">
        <v>673</v>
      </c>
      <c r="I113" s="12" t="s">
        <v>661</v>
      </c>
      <c r="J113" s="13" t="s">
        <v>674</v>
      </c>
      <c r="K113" s="12" t="s">
        <v>675</v>
      </c>
      <c r="L113" s="12" t="s">
        <v>683</v>
      </c>
      <c r="M113" s="12" t="s">
        <v>684</v>
      </c>
      <c r="N113" s="12" t="s">
        <v>352</v>
      </c>
      <c r="O113" s="12" t="s">
        <v>102</v>
      </c>
      <c r="P113" s="12" t="s">
        <v>103</v>
      </c>
      <c r="Q113" s="12" t="s">
        <v>104</v>
      </c>
      <c r="R113" s="14" t="n">
        <v>157</v>
      </c>
      <c r="S113" s="14" t="s">
        <v>129</v>
      </c>
      <c r="T113" s="14" t="s">
        <v>106</v>
      </c>
      <c r="U113" s="14" t="n">
        <v>2016</v>
      </c>
      <c r="V113" s="12" t="s">
        <v>157</v>
      </c>
      <c r="W113" s="14" t="s">
        <v>685</v>
      </c>
      <c r="X113" s="15" t="n">
        <f aca="false">IF(OR($S113="%",$R113=""),"",$R113*INDEX(Cambi!$J$2:$J$5,MATCH($S113,Cambi!$I$2:$I$5,0))/IF($T113="EUR",1,INDEX(Cambi!$D:$D,MATCH($T113&amp;"|"&amp;$U113,Cambi!$C:$C,0))))</f>
        <v>157000</v>
      </c>
      <c r="Y113" s="12" t="s">
        <v>109</v>
      </c>
      <c r="Z113" s="12" t="s">
        <v>285</v>
      </c>
      <c r="AA113" s="12" t="s">
        <v>678</v>
      </c>
      <c r="AB113" s="16" t="s">
        <v>679</v>
      </c>
      <c r="AC113" s="16" t="s">
        <v>680</v>
      </c>
      <c r="AD113" s="12" t="s">
        <v>281</v>
      </c>
      <c r="AE113" s="12" t="s">
        <v>681</v>
      </c>
      <c r="AF113" s="12" t="s">
        <v>682</v>
      </c>
      <c r="AG113" s="12" t="s">
        <v>284</v>
      </c>
      <c r="AH113" s="12" t="s">
        <v>116</v>
      </c>
      <c r="AI113" s="12" t="s">
        <v>285</v>
      </c>
      <c r="AJ113" s="12" t="s">
        <v>686</v>
      </c>
      <c r="AK113" s="12" t="s">
        <v>4</v>
      </c>
    </row>
    <row r="114" customFormat="false" ht="15" hidden="false" customHeight="false" outlineLevel="0" collapsed="false">
      <c r="A114" s="11" t="n">
        <v>113</v>
      </c>
      <c r="B114" s="12" t="s">
        <v>657</v>
      </c>
      <c r="C114" s="12" t="s">
        <v>658</v>
      </c>
      <c r="D114" s="12" t="s">
        <v>659</v>
      </c>
      <c r="E114" s="12" t="s">
        <v>93</v>
      </c>
      <c r="F114" s="12" t="s">
        <v>94</v>
      </c>
      <c r="G114" s="12" t="s">
        <v>95</v>
      </c>
      <c r="H114" s="12" t="s">
        <v>673</v>
      </c>
      <c r="I114" s="12" t="s">
        <v>661</v>
      </c>
      <c r="J114" s="13" t="s">
        <v>674</v>
      </c>
      <c r="K114" s="12" t="s">
        <v>675</v>
      </c>
      <c r="L114" s="12" t="s">
        <v>687</v>
      </c>
      <c r="M114" s="12" t="s">
        <v>688</v>
      </c>
      <c r="N114" s="12" t="s">
        <v>352</v>
      </c>
      <c r="O114" s="12" t="s">
        <v>213</v>
      </c>
      <c r="P114" s="12" t="s">
        <v>103</v>
      </c>
      <c r="Q114" s="12" t="s">
        <v>666</v>
      </c>
      <c r="R114" s="14" t="n">
        <v>11</v>
      </c>
      <c r="S114" s="14" t="s">
        <v>197</v>
      </c>
      <c r="T114" s="14"/>
      <c r="U114" s="14" t="n">
        <v>2021</v>
      </c>
      <c r="V114" s="12" t="s">
        <v>107</v>
      </c>
      <c r="W114" s="14"/>
      <c r="X114" s="15" t="str">
        <f aca="false">IF(OR($S114="%",$R114=""),"",$R114*INDEX(Cambi!$J$2:$J$5,MATCH($S114,Cambi!$I$2:$I$5,0))/IF($T114="EUR",1,INDEX(Cambi!$D:$D,MATCH($T114&amp;"|"&amp;$U114,Cambi!$C:$C,0))))</f>
        <v/>
      </c>
      <c r="Y114" s="12" t="s">
        <v>109</v>
      </c>
      <c r="Z114" s="12" t="s">
        <v>285</v>
      </c>
      <c r="AA114" s="12" t="s">
        <v>678</v>
      </c>
      <c r="AB114" s="16" t="s">
        <v>679</v>
      </c>
      <c r="AC114" s="16" t="s">
        <v>680</v>
      </c>
      <c r="AD114" s="12" t="s">
        <v>281</v>
      </c>
      <c r="AE114" s="12" t="s">
        <v>681</v>
      </c>
      <c r="AF114" s="12" t="s">
        <v>689</v>
      </c>
      <c r="AG114" s="12" t="s">
        <v>284</v>
      </c>
      <c r="AH114" s="12" t="s">
        <v>116</v>
      </c>
      <c r="AI114" s="12" t="s">
        <v>285</v>
      </c>
      <c r="AJ114" s="12" t="s">
        <v>690</v>
      </c>
      <c r="AK114" s="12" t="s">
        <v>4</v>
      </c>
    </row>
    <row r="115" customFormat="false" ht="15" hidden="false" customHeight="false" outlineLevel="0" collapsed="false">
      <c r="A115" s="11" t="n">
        <v>114</v>
      </c>
      <c r="B115" s="12" t="s">
        <v>657</v>
      </c>
      <c r="C115" s="12" t="s">
        <v>658</v>
      </c>
      <c r="D115" s="12" t="s">
        <v>659</v>
      </c>
      <c r="E115" s="12" t="s">
        <v>93</v>
      </c>
      <c r="F115" s="12" t="s">
        <v>94</v>
      </c>
      <c r="G115" s="12" t="s">
        <v>95</v>
      </c>
      <c r="H115" s="12" t="s">
        <v>673</v>
      </c>
      <c r="I115" s="12" t="s">
        <v>661</v>
      </c>
      <c r="J115" s="13" t="s">
        <v>674</v>
      </c>
      <c r="K115" s="12" t="s">
        <v>675</v>
      </c>
      <c r="L115" s="12" t="s">
        <v>687</v>
      </c>
      <c r="M115" s="12" t="s">
        <v>691</v>
      </c>
      <c r="N115" s="12" t="s">
        <v>352</v>
      </c>
      <c r="O115" s="12" t="s">
        <v>213</v>
      </c>
      <c r="P115" s="12" t="s">
        <v>103</v>
      </c>
      <c r="Q115" s="12" t="s">
        <v>671</v>
      </c>
      <c r="R115" s="14" t="n">
        <v>13</v>
      </c>
      <c r="S115" s="14" t="s">
        <v>197</v>
      </c>
      <c r="T115" s="14"/>
      <c r="U115" s="14" t="n">
        <v>2021</v>
      </c>
      <c r="V115" s="12" t="s">
        <v>107</v>
      </c>
      <c r="W115" s="14"/>
      <c r="X115" s="15" t="str">
        <f aca="false">IF(OR($S115="%",$R115=""),"",$R115*INDEX(Cambi!$J$2:$J$5,MATCH($S115,Cambi!$I$2:$I$5,0))/IF($T115="EUR",1,INDEX(Cambi!$D:$D,MATCH($T115&amp;"|"&amp;$U115,Cambi!$C:$C,0))))</f>
        <v/>
      </c>
      <c r="Y115" s="12" t="s">
        <v>109</v>
      </c>
      <c r="Z115" s="12" t="s">
        <v>285</v>
      </c>
      <c r="AA115" s="12" t="s">
        <v>678</v>
      </c>
      <c r="AB115" s="16" t="s">
        <v>679</v>
      </c>
      <c r="AC115" s="16" t="s">
        <v>680</v>
      </c>
      <c r="AD115" s="12" t="s">
        <v>281</v>
      </c>
      <c r="AE115" s="12" t="s">
        <v>681</v>
      </c>
      <c r="AF115" s="12" t="s">
        <v>689</v>
      </c>
      <c r="AG115" s="12" t="s">
        <v>284</v>
      </c>
      <c r="AH115" s="12" t="s">
        <v>116</v>
      </c>
      <c r="AI115" s="12" t="s">
        <v>285</v>
      </c>
      <c r="AJ115" s="12" t="s">
        <v>266</v>
      </c>
      <c r="AK115" s="12" t="s">
        <v>4</v>
      </c>
    </row>
    <row r="116" customFormat="false" ht="15" hidden="false" customHeight="false" outlineLevel="0" collapsed="false">
      <c r="A116" s="11" t="n">
        <v>115</v>
      </c>
      <c r="B116" s="12" t="s">
        <v>692</v>
      </c>
      <c r="C116" s="12" t="s">
        <v>658</v>
      </c>
      <c r="D116" s="12" t="s">
        <v>659</v>
      </c>
      <c r="E116" s="12" t="s">
        <v>93</v>
      </c>
      <c r="F116" s="12" t="s">
        <v>272</v>
      </c>
      <c r="G116" s="12" t="s">
        <v>95</v>
      </c>
      <c r="H116" s="12" t="s">
        <v>693</v>
      </c>
      <c r="I116" s="12" t="s">
        <v>694</v>
      </c>
      <c r="J116" s="13" t="s">
        <v>695</v>
      </c>
      <c r="K116" s="12"/>
      <c r="L116" s="12" t="s">
        <v>696</v>
      </c>
      <c r="M116" s="12" t="s">
        <v>697</v>
      </c>
      <c r="N116" s="12" t="s">
        <v>101</v>
      </c>
      <c r="O116" s="12" t="s">
        <v>102</v>
      </c>
      <c r="P116" s="12" t="s">
        <v>103</v>
      </c>
      <c r="Q116" s="12" t="s">
        <v>104</v>
      </c>
      <c r="R116" s="14" t="n">
        <v>1.4</v>
      </c>
      <c r="S116" s="14" t="s">
        <v>129</v>
      </c>
      <c r="T116" s="14" t="s">
        <v>106</v>
      </c>
      <c r="U116" s="14" t="n">
        <v>2018</v>
      </c>
      <c r="V116" s="12" t="s">
        <v>157</v>
      </c>
      <c r="W116" s="14"/>
      <c r="X116" s="15" t="n">
        <f aca="false">IF(OR($S116="%",$R116=""),"",$R116*INDEX(Cambi!$J$2:$J$5,MATCH($S116,Cambi!$I$2:$I$5,0))/IF($T116="EUR",1,INDEX(Cambi!$D:$D,MATCH($T116&amp;"|"&amp;$U116,Cambi!$C:$C,0))))</f>
        <v>1400</v>
      </c>
      <c r="Y116" s="12" t="s">
        <v>108</v>
      </c>
      <c r="Z116" s="12" t="s">
        <v>109</v>
      </c>
      <c r="AA116" s="12" t="s">
        <v>279</v>
      </c>
      <c r="AB116" s="16" t="s">
        <v>110</v>
      </c>
      <c r="AC116" s="16" t="s">
        <v>698</v>
      </c>
      <c r="AD116" s="12" t="s">
        <v>166</v>
      </c>
      <c r="AE116" s="12" t="s">
        <v>699</v>
      </c>
      <c r="AF116" s="12" t="s">
        <v>700</v>
      </c>
      <c r="AG116" s="12" t="s">
        <v>498</v>
      </c>
      <c r="AH116" s="12" t="s">
        <v>116</v>
      </c>
      <c r="AI116" s="12" t="s">
        <v>117</v>
      </c>
      <c r="AJ116" s="12" t="s">
        <v>701</v>
      </c>
      <c r="AK116" s="12" t="s">
        <v>4</v>
      </c>
    </row>
    <row r="117" customFormat="false" ht="15" hidden="false" customHeight="false" outlineLevel="0" collapsed="false">
      <c r="A117" s="11" t="n">
        <v>116</v>
      </c>
      <c r="B117" s="12" t="s">
        <v>692</v>
      </c>
      <c r="C117" s="12" t="s">
        <v>658</v>
      </c>
      <c r="D117" s="12" t="s">
        <v>659</v>
      </c>
      <c r="E117" s="12" t="s">
        <v>93</v>
      </c>
      <c r="F117" s="12" t="s">
        <v>272</v>
      </c>
      <c r="G117" s="12" t="s">
        <v>95</v>
      </c>
      <c r="H117" s="12" t="s">
        <v>693</v>
      </c>
      <c r="I117" s="12" t="s">
        <v>694</v>
      </c>
      <c r="J117" s="13" t="s">
        <v>695</v>
      </c>
      <c r="K117" s="12" t="s">
        <v>276</v>
      </c>
      <c r="L117" s="12" t="s">
        <v>702</v>
      </c>
      <c r="M117" s="12" t="s">
        <v>703</v>
      </c>
      <c r="N117" s="12" t="s">
        <v>101</v>
      </c>
      <c r="O117" s="12" t="s">
        <v>102</v>
      </c>
      <c r="P117" s="12" t="s">
        <v>103</v>
      </c>
      <c r="Q117" s="12" t="s">
        <v>666</v>
      </c>
      <c r="R117" s="14" t="n">
        <v>1</v>
      </c>
      <c r="S117" s="14" t="s">
        <v>129</v>
      </c>
      <c r="T117" s="14" t="s">
        <v>106</v>
      </c>
      <c r="U117" s="14" t="n">
        <v>2018</v>
      </c>
      <c r="V117" s="12" t="s">
        <v>157</v>
      </c>
      <c r="W117" s="14"/>
      <c r="X117" s="15" t="n">
        <f aca="false">IF(OR($S117="%",$R117=""),"",$R117*INDEX(Cambi!$J$2:$J$5,MATCH($S117,Cambi!$I$2:$I$5,0))/IF($T117="EUR",1,INDEX(Cambi!$D:$D,MATCH($T117&amp;"|"&amp;$U117,Cambi!$C:$C,0))))</f>
        <v>1000</v>
      </c>
      <c r="Y117" s="12" t="s">
        <v>108</v>
      </c>
      <c r="Z117" s="12" t="s">
        <v>109</v>
      </c>
      <c r="AA117" s="12" t="s">
        <v>279</v>
      </c>
      <c r="AB117" s="16" t="s">
        <v>110</v>
      </c>
      <c r="AC117" s="16" t="s">
        <v>280</v>
      </c>
      <c r="AD117" s="12" t="s">
        <v>281</v>
      </c>
      <c r="AE117" s="12" t="s">
        <v>282</v>
      </c>
      <c r="AF117" s="12" t="s">
        <v>704</v>
      </c>
      <c r="AG117" s="12" t="s">
        <v>284</v>
      </c>
      <c r="AH117" s="12" t="s">
        <v>116</v>
      </c>
      <c r="AI117" s="12" t="s">
        <v>285</v>
      </c>
      <c r="AJ117" s="12" t="s">
        <v>705</v>
      </c>
      <c r="AK117" s="12" t="s">
        <v>4</v>
      </c>
    </row>
    <row r="118" customFormat="false" ht="15" hidden="false" customHeight="false" outlineLevel="0" collapsed="false">
      <c r="A118" s="11" t="n">
        <v>117</v>
      </c>
      <c r="B118" s="12" t="s">
        <v>692</v>
      </c>
      <c r="C118" s="12" t="s">
        <v>658</v>
      </c>
      <c r="D118" s="12" t="s">
        <v>659</v>
      </c>
      <c r="E118" s="12" t="s">
        <v>93</v>
      </c>
      <c r="F118" s="12" t="s">
        <v>272</v>
      </c>
      <c r="G118" s="12" t="s">
        <v>95</v>
      </c>
      <c r="H118" s="12" t="s">
        <v>693</v>
      </c>
      <c r="I118" s="12" t="s">
        <v>694</v>
      </c>
      <c r="J118" s="13" t="s">
        <v>695</v>
      </c>
      <c r="K118" s="12" t="s">
        <v>276</v>
      </c>
      <c r="L118" s="12" t="s">
        <v>702</v>
      </c>
      <c r="M118" s="12" t="s">
        <v>703</v>
      </c>
      <c r="N118" s="12" t="s">
        <v>101</v>
      </c>
      <c r="O118" s="12" t="s">
        <v>102</v>
      </c>
      <c r="P118" s="12" t="s">
        <v>103</v>
      </c>
      <c r="Q118" s="12" t="s">
        <v>671</v>
      </c>
      <c r="R118" s="14" t="n">
        <v>2</v>
      </c>
      <c r="S118" s="14" t="s">
        <v>129</v>
      </c>
      <c r="T118" s="14" t="s">
        <v>106</v>
      </c>
      <c r="U118" s="14" t="n">
        <v>2018</v>
      </c>
      <c r="V118" s="12" t="s">
        <v>157</v>
      </c>
      <c r="W118" s="14"/>
      <c r="X118" s="15" t="n">
        <f aca="false">IF(OR($S118="%",$R118=""),"",$R118*INDEX(Cambi!$J$2:$J$5,MATCH($S118,Cambi!$I$2:$I$5,0))/IF($T118="EUR",1,INDEX(Cambi!$D:$D,MATCH($T118&amp;"|"&amp;$U118,Cambi!$C:$C,0))))</f>
        <v>2000</v>
      </c>
      <c r="Y118" s="12" t="s">
        <v>108</v>
      </c>
      <c r="Z118" s="12" t="s">
        <v>109</v>
      </c>
      <c r="AA118" s="12" t="s">
        <v>279</v>
      </c>
      <c r="AB118" s="16" t="s">
        <v>110</v>
      </c>
      <c r="AC118" s="16" t="s">
        <v>280</v>
      </c>
      <c r="AD118" s="12" t="s">
        <v>281</v>
      </c>
      <c r="AE118" s="12" t="s">
        <v>282</v>
      </c>
      <c r="AF118" s="12" t="s">
        <v>704</v>
      </c>
      <c r="AG118" s="12" t="s">
        <v>284</v>
      </c>
      <c r="AH118" s="12" t="s">
        <v>116</v>
      </c>
      <c r="AI118" s="12" t="s">
        <v>285</v>
      </c>
      <c r="AJ118" s="12" t="s">
        <v>706</v>
      </c>
      <c r="AK118" s="12" t="s">
        <v>4</v>
      </c>
    </row>
    <row r="119" customFormat="false" ht="15" hidden="false" customHeight="false" outlineLevel="0" collapsed="false">
      <c r="A119" s="11" t="n">
        <v>118</v>
      </c>
      <c r="B119" s="12" t="s">
        <v>692</v>
      </c>
      <c r="C119" s="12" t="s">
        <v>658</v>
      </c>
      <c r="D119" s="12" t="s">
        <v>659</v>
      </c>
      <c r="E119" s="12" t="s">
        <v>93</v>
      </c>
      <c r="F119" s="12" t="s">
        <v>272</v>
      </c>
      <c r="G119" s="12" t="s">
        <v>95</v>
      </c>
      <c r="H119" s="12" t="s">
        <v>693</v>
      </c>
      <c r="I119" s="12" t="s">
        <v>694</v>
      </c>
      <c r="J119" s="13" t="s">
        <v>695</v>
      </c>
      <c r="K119" s="12"/>
      <c r="L119" s="12" t="s">
        <v>707</v>
      </c>
      <c r="M119" s="12" t="s">
        <v>708</v>
      </c>
      <c r="N119" s="12" t="s">
        <v>101</v>
      </c>
      <c r="O119" s="12" t="s">
        <v>102</v>
      </c>
      <c r="P119" s="12" t="s">
        <v>103</v>
      </c>
      <c r="Q119" s="12" t="s">
        <v>104</v>
      </c>
      <c r="R119" s="14" t="n">
        <v>786</v>
      </c>
      <c r="S119" s="14" t="s">
        <v>105</v>
      </c>
      <c r="T119" s="14" t="s">
        <v>106</v>
      </c>
      <c r="U119" s="14" t="n">
        <v>2018</v>
      </c>
      <c r="V119" s="12" t="s">
        <v>157</v>
      </c>
      <c r="W119" s="14"/>
      <c r="X119" s="15" t="n">
        <f aca="false">IF(OR($S119="%",$R119=""),"",$R119*INDEX(Cambi!$J$2:$J$5,MATCH($S119,Cambi!$I$2:$I$5,0))/IF($T119="EUR",1,INDEX(Cambi!$D:$D,MATCH($T119&amp;"|"&amp;$U119,Cambi!$C:$C,0))))</f>
        <v>786</v>
      </c>
      <c r="Y119" s="12" t="s">
        <v>108</v>
      </c>
      <c r="Z119" s="12" t="s">
        <v>109</v>
      </c>
      <c r="AA119" s="12" t="s">
        <v>279</v>
      </c>
      <c r="AB119" s="16" t="s">
        <v>110</v>
      </c>
      <c r="AC119" s="16" t="s">
        <v>709</v>
      </c>
      <c r="AD119" s="12" t="s">
        <v>166</v>
      </c>
      <c r="AE119" s="12" t="s">
        <v>710</v>
      </c>
      <c r="AF119" s="12" t="s">
        <v>711</v>
      </c>
      <c r="AG119" s="12" t="s">
        <v>498</v>
      </c>
      <c r="AH119" s="12" t="s">
        <v>116</v>
      </c>
      <c r="AI119" s="12" t="s">
        <v>117</v>
      </c>
      <c r="AJ119" s="12" t="s">
        <v>712</v>
      </c>
      <c r="AK119" s="12" t="s">
        <v>4</v>
      </c>
    </row>
    <row r="120" customFormat="false" ht="15" hidden="false" customHeight="false" outlineLevel="0" collapsed="false">
      <c r="A120" s="11" t="n">
        <v>119</v>
      </c>
      <c r="B120" s="12" t="s">
        <v>713</v>
      </c>
      <c r="C120" s="12" t="s">
        <v>658</v>
      </c>
      <c r="D120" s="12" t="s">
        <v>659</v>
      </c>
      <c r="E120" s="12" t="s">
        <v>93</v>
      </c>
      <c r="F120" s="12" t="s">
        <v>714</v>
      </c>
      <c r="G120" s="12" t="s">
        <v>345</v>
      </c>
      <c r="H120" s="12" t="s">
        <v>715</v>
      </c>
      <c r="I120" s="12" t="s">
        <v>716</v>
      </c>
      <c r="J120" s="13" t="s">
        <v>717</v>
      </c>
      <c r="K120" s="12" t="s">
        <v>718</v>
      </c>
      <c r="L120" s="12" t="s">
        <v>719</v>
      </c>
      <c r="M120" s="12" t="s">
        <v>720</v>
      </c>
      <c r="N120" s="12" t="s">
        <v>352</v>
      </c>
      <c r="O120" s="12" t="s">
        <v>196</v>
      </c>
      <c r="P120" s="12" t="s">
        <v>366</v>
      </c>
      <c r="Q120" s="12" t="s">
        <v>721</v>
      </c>
      <c r="R120" s="14" t="n">
        <v>25</v>
      </c>
      <c r="S120" s="14" t="s">
        <v>197</v>
      </c>
      <c r="T120" s="14"/>
      <c r="U120" s="14" t="n">
        <v>2016</v>
      </c>
      <c r="V120" s="12" t="s">
        <v>157</v>
      </c>
      <c r="W120" s="14"/>
      <c r="X120" s="15" t="str">
        <f aca="false">IF(OR($S120="%",$R120=""),"",$R120*INDEX(Cambi!$J$2:$J$5,MATCH($S120,Cambi!$I$2:$I$5,0))/IF($T120="EUR",1,INDEX(Cambi!$D:$D,MATCH($T120&amp;"|"&amp;$U120,Cambi!$C:$C,0))))</f>
        <v/>
      </c>
      <c r="Y120" s="12" t="s">
        <v>109</v>
      </c>
      <c r="Z120" s="12" t="s">
        <v>285</v>
      </c>
      <c r="AA120" s="12" t="s">
        <v>722</v>
      </c>
      <c r="AB120" s="12" t="s">
        <v>679</v>
      </c>
      <c r="AC120" s="12" t="s">
        <v>395</v>
      </c>
      <c r="AD120" s="12" t="s">
        <v>166</v>
      </c>
      <c r="AE120" s="12" t="s">
        <v>723</v>
      </c>
      <c r="AF120" s="12" t="s">
        <v>724</v>
      </c>
      <c r="AG120" s="12" t="s">
        <v>115</v>
      </c>
      <c r="AH120" s="12" t="s">
        <v>116</v>
      </c>
      <c r="AI120" s="12" t="s">
        <v>285</v>
      </c>
      <c r="AJ120" s="12" t="s">
        <v>725</v>
      </c>
      <c r="AK120" s="12" t="s">
        <v>4</v>
      </c>
    </row>
    <row r="121" customFormat="false" ht="15" hidden="false" customHeight="false" outlineLevel="0" collapsed="false">
      <c r="A121" s="11" t="n">
        <v>120</v>
      </c>
      <c r="B121" s="12" t="s">
        <v>713</v>
      </c>
      <c r="C121" s="12" t="s">
        <v>658</v>
      </c>
      <c r="D121" s="12" t="s">
        <v>659</v>
      </c>
      <c r="E121" s="12" t="s">
        <v>93</v>
      </c>
      <c r="F121" s="12" t="s">
        <v>714</v>
      </c>
      <c r="G121" s="12" t="s">
        <v>345</v>
      </c>
      <c r="H121" s="12" t="s">
        <v>715</v>
      </c>
      <c r="I121" s="12" t="s">
        <v>716</v>
      </c>
      <c r="J121" s="13" t="s">
        <v>717</v>
      </c>
      <c r="K121" s="12" t="s">
        <v>718</v>
      </c>
      <c r="L121" s="12" t="s">
        <v>719</v>
      </c>
      <c r="M121" s="12" t="s">
        <v>726</v>
      </c>
      <c r="N121" s="12" t="s">
        <v>352</v>
      </c>
      <c r="O121" s="12" t="s">
        <v>196</v>
      </c>
      <c r="P121" s="12" t="s">
        <v>366</v>
      </c>
      <c r="Q121" s="12" t="s">
        <v>727</v>
      </c>
      <c r="R121" s="14" t="n">
        <v>45</v>
      </c>
      <c r="S121" s="14" t="s">
        <v>197</v>
      </c>
      <c r="T121" s="14"/>
      <c r="U121" s="14" t="n">
        <v>2016</v>
      </c>
      <c r="V121" s="12" t="s">
        <v>157</v>
      </c>
      <c r="W121" s="14"/>
      <c r="X121" s="15" t="str">
        <f aca="false">IF(OR($S121="%",$R121=""),"",$R121*INDEX(Cambi!$J$2:$J$5,MATCH($S121,Cambi!$I$2:$I$5,0))/IF($T121="EUR",1,INDEX(Cambi!$D:$D,MATCH($T121&amp;"|"&amp;$U121,Cambi!$C:$C,0))))</f>
        <v/>
      </c>
      <c r="Y121" s="12" t="s">
        <v>239</v>
      </c>
      <c r="Z121" s="12" t="s">
        <v>285</v>
      </c>
      <c r="AA121" s="12" t="s">
        <v>722</v>
      </c>
      <c r="AB121" s="12" t="s">
        <v>679</v>
      </c>
      <c r="AC121" s="12" t="s">
        <v>395</v>
      </c>
      <c r="AD121" s="12" t="s">
        <v>166</v>
      </c>
      <c r="AE121" s="12" t="s">
        <v>723</v>
      </c>
      <c r="AF121" s="12" t="s">
        <v>724</v>
      </c>
      <c r="AG121" s="12" t="s">
        <v>115</v>
      </c>
      <c r="AH121" s="12" t="s">
        <v>116</v>
      </c>
      <c r="AI121" s="12" t="s">
        <v>285</v>
      </c>
      <c r="AJ121" s="12" t="s">
        <v>728</v>
      </c>
      <c r="AK121" s="12" t="s">
        <v>4</v>
      </c>
    </row>
    <row r="122" customFormat="false" ht="15" hidden="false" customHeight="false" outlineLevel="0" collapsed="false">
      <c r="A122" s="11" t="n">
        <v>121</v>
      </c>
      <c r="B122" s="12" t="s">
        <v>713</v>
      </c>
      <c r="C122" s="12" t="s">
        <v>658</v>
      </c>
      <c r="D122" s="12" t="s">
        <v>659</v>
      </c>
      <c r="E122" s="12" t="s">
        <v>93</v>
      </c>
      <c r="F122" s="12" t="s">
        <v>714</v>
      </c>
      <c r="G122" s="12" t="s">
        <v>345</v>
      </c>
      <c r="H122" s="12" t="s">
        <v>715</v>
      </c>
      <c r="I122" s="12" t="s">
        <v>716</v>
      </c>
      <c r="J122" s="13" t="s">
        <v>717</v>
      </c>
      <c r="K122" s="12" t="s">
        <v>718</v>
      </c>
      <c r="L122" s="12" t="s">
        <v>719</v>
      </c>
      <c r="M122" s="12" t="s">
        <v>729</v>
      </c>
      <c r="N122" s="12" t="s">
        <v>352</v>
      </c>
      <c r="O122" s="12" t="s">
        <v>196</v>
      </c>
      <c r="P122" s="12" t="s">
        <v>366</v>
      </c>
      <c r="Q122" s="12" t="s">
        <v>730</v>
      </c>
      <c r="R122" s="14" t="n">
        <v>31</v>
      </c>
      <c r="S122" s="14" t="s">
        <v>197</v>
      </c>
      <c r="T122" s="14"/>
      <c r="U122" s="14" t="n">
        <v>2016</v>
      </c>
      <c r="V122" s="12" t="s">
        <v>157</v>
      </c>
      <c r="W122" s="14"/>
      <c r="X122" s="15" t="str">
        <f aca="false">IF(OR($S122="%",$R122=""),"",$R122*INDEX(Cambi!$J$2:$J$5,MATCH($S122,Cambi!$I$2:$I$5,0))/IF($T122="EUR",1,INDEX(Cambi!$D:$D,MATCH($T122&amp;"|"&amp;$U122,Cambi!$C:$C,0))))</f>
        <v/>
      </c>
      <c r="Y122" s="12" t="s">
        <v>108</v>
      </c>
      <c r="Z122" s="12" t="s">
        <v>285</v>
      </c>
      <c r="AA122" s="12" t="s">
        <v>722</v>
      </c>
      <c r="AB122" s="12" t="s">
        <v>679</v>
      </c>
      <c r="AC122" s="12" t="s">
        <v>395</v>
      </c>
      <c r="AD122" s="12" t="s">
        <v>166</v>
      </c>
      <c r="AE122" s="12" t="s">
        <v>723</v>
      </c>
      <c r="AF122" s="12" t="s">
        <v>724</v>
      </c>
      <c r="AG122" s="12" t="s">
        <v>115</v>
      </c>
      <c r="AH122" s="12" t="s">
        <v>116</v>
      </c>
      <c r="AI122" s="12" t="s">
        <v>285</v>
      </c>
      <c r="AJ122" s="12" t="s">
        <v>725</v>
      </c>
      <c r="AK122" s="12" t="s">
        <v>4</v>
      </c>
    </row>
    <row r="123" customFormat="false" ht="15" hidden="false" customHeight="false" outlineLevel="0" collapsed="false">
      <c r="A123" s="11" t="n">
        <v>122</v>
      </c>
      <c r="B123" s="12" t="s">
        <v>713</v>
      </c>
      <c r="C123" s="12" t="s">
        <v>658</v>
      </c>
      <c r="D123" s="12" t="s">
        <v>659</v>
      </c>
      <c r="E123" s="12" t="s">
        <v>93</v>
      </c>
      <c r="F123" s="12" t="s">
        <v>714</v>
      </c>
      <c r="G123" s="12" t="s">
        <v>345</v>
      </c>
      <c r="H123" s="12" t="s">
        <v>715</v>
      </c>
      <c r="I123" s="12" t="s">
        <v>716</v>
      </c>
      <c r="J123" s="13" t="s">
        <v>717</v>
      </c>
      <c r="K123" s="12" t="s">
        <v>718</v>
      </c>
      <c r="L123" s="12" t="s">
        <v>731</v>
      </c>
      <c r="M123" s="12" t="s">
        <v>732</v>
      </c>
      <c r="N123" s="12" t="s">
        <v>352</v>
      </c>
      <c r="O123" s="12" t="s">
        <v>102</v>
      </c>
      <c r="P123" s="12" t="s">
        <v>103</v>
      </c>
      <c r="Q123" s="12" t="s">
        <v>104</v>
      </c>
      <c r="R123" s="14" t="n">
        <v>158</v>
      </c>
      <c r="S123" s="14" t="s">
        <v>129</v>
      </c>
      <c r="T123" s="14" t="s">
        <v>106</v>
      </c>
      <c r="U123" s="14" t="n">
        <v>2016</v>
      </c>
      <c r="V123" s="12" t="s">
        <v>157</v>
      </c>
      <c r="W123" s="14" t="s">
        <v>685</v>
      </c>
      <c r="X123" s="15" t="n">
        <f aca="false">IF(OR($S123="%",$R123=""),"",$R123*INDEX(Cambi!$J$2:$J$5,MATCH($S123,Cambi!$I$2:$I$5,0))/IF($T123="EUR",1,INDEX(Cambi!$D:$D,MATCH($T123&amp;"|"&amp;$U123,Cambi!$C:$C,0))))</f>
        <v>158000</v>
      </c>
      <c r="Y123" s="12" t="s">
        <v>109</v>
      </c>
      <c r="Z123" s="12" t="s">
        <v>285</v>
      </c>
      <c r="AA123" s="12" t="s">
        <v>722</v>
      </c>
      <c r="AB123" s="12" t="s">
        <v>679</v>
      </c>
      <c r="AC123" s="12" t="s">
        <v>395</v>
      </c>
      <c r="AD123" s="12" t="s">
        <v>166</v>
      </c>
      <c r="AE123" s="12" t="s">
        <v>723</v>
      </c>
      <c r="AF123" s="12" t="s">
        <v>733</v>
      </c>
      <c r="AG123" s="12" t="s">
        <v>115</v>
      </c>
      <c r="AH123" s="12" t="s">
        <v>116</v>
      </c>
      <c r="AI123" s="12" t="s">
        <v>285</v>
      </c>
      <c r="AJ123" s="12" t="s">
        <v>734</v>
      </c>
      <c r="AK123" s="12" t="s">
        <v>4</v>
      </c>
    </row>
    <row r="124" customFormat="false" ht="15" hidden="false" customHeight="false" outlineLevel="0" collapsed="false">
      <c r="A124" s="11" t="n">
        <v>123</v>
      </c>
      <c r="B124" s="12" t="s">
        <v>713</v>
      </c>
      <c r="C124" s="12" t="s">
        <v>658</v>
      </c>
      <c r="D124" s="12" t="s">
        <v>659</v>
      </c>
      <c r="E124" s="12" t="s">
        <v>93</v>
      </c>
      <c r="F124" s="12" t="s">
        <v>714</v>
      </c>
      <c r="G124" s="12" t="s">
        <v>345</v>
      </c>
      <c r="H124" s="12" t="s">
        <v>715</v>
      </c>
      <c r="I124" s="12" t="s">
        <v>716</v>
      </c>
      <c r="J124" s="13" t="s">
        <v>717</v>
      </c>
      <c r="K124" s="12" t="s">
        <v>718</v>
      </c>
      <c r="L124" s="12" t="s">
        <v>735</v>
      </c>
      <c r="M124" s="12" t="s">
        <v>736</v>
      </c>
      <c r="N124" s="12" t="s">
        <v>352</v>
      </c>
      <c r="O124" s="12" t="s">
        <v>196</v>
      </c>
      <c r="P124" s="12" t="s">
        <v>155</v>
      </c>
      <c r="Q124" s="12" t="s">
        <v>737</v>
      </c>
      <c r="R124" s="14" t="n">
        <v>19</v>
      </c>
      <c r="S124" s="14" t="s">
        <v>197</v>
      </c>
      <c r="T124" s="14"/>
      <c r="U124" s="14" t="n">
        <v>2016</v>
      </c>
      <c r="V124" s="12" t="s">
        <v>157</v>
      </c>
      <c r="W124" s="14"/>
      <c r="X124" s="15" t="str">
        <f aca="false">IF(OR($S124="%",$R124=""),"",$R124*INDEX(Cambi!$J$2:$J$5,MATCH($S124,Cambi!$I$2:$I$5,0))/IF($T124="EUR",1,INDEX(Cambi!$D:$D,MATCH($T124&amp;"|"&amp;$U124,Cambi!$C:$C,0))))</f>
        <v/>
      </c>
      <c r="Y124" s="12" t="s">
        <v>109</v>
      </c>
      <c r="Z124" s="12" t="s">
        <v>285</v>
      </c>
      <c r="AA124" s="12" t="s">
        <v>722</v>
      </c>
      <c r="AB124" s="12" t="s">
        <v>679</v>
      </c>
      <c r="AC124" s="12" t="s">
        <v>395</v>
      </c>
      <c r="AD124" s="12" t="s">
        <v>166</v>
      </c>
      <c r="AE124" s="12" t="s">
        <v>723</v>
      </c>
      <c r="AF124" s="12" t="s">
        <v>738</v>
      </c>
      <c r="AG124" s="12" t="s">
        <v>115</v>
      </c>
      <c r="AH124" s="12" t="s">
        <v>116</v>
      </c>
      <c r="AI124" s="12" t="s">
        <v>285</v>
      </c>
      <c r="AJ124" s="12" t="s">
        <v>739</v>
      </c>
      <c r="AK124" s="12" t="s">
        <v>4</v>
      </c>
    </row>
    <row r="125" customFormat="false" ht="15" hidden="false" customHeight="false" outlineLevel="0" collapsed="false">
      <c r="A125" s="11" t="n">
        <v>124</v>
      </c>
      <c r="B125" s="12" t="s">
        <v>713</v>
      </c>
      <c r="C125" s="12" t="s">
        <v>658</v>
      </c>
      <c r="D125" s="12" t="s">
        <v>659</v>
      </c>
      <c r="E125" s="12" t="s">
        <v>93</v>
      </c>
      <c r="F125" s="12" t="s">
        <v>714</v>
      </c>
      <c r="G125" s="12" t="s">
        <v>345</v>
      </c>
      <c r="H125" s="12" t="s">
        <v>715</v>
      </c>
      <c r="I125" s="12" t="s">
        <v>716</v>
      </c>
      <c r="J125" s="13" t="s">
        <v>717</v>
      </c>
      <c r="K125" s="12" t="s">
        <v>718</v>
      </c>
      <c r="L125" s="12" t="s">
        <v>735</v>
      </c>
      <c r="M125" s="12" t="s">
        <v>740</v>
      </c>
      <c r="N125" s="12" t="s">
        <v>352</v>
      </c>
      <c r="O125" s="12" t="s">
        <v>196</v>
      </c>
      <c r="P125" s="12" t="s">
        <v>155</v>
      </c>
      <c r="Q125" s="12" t="s">
        <v>741</v>
      </c>
      <c r="R125" s="14" t="n">
        <v>17</v>
      </c>
      <c r="S125" s="14" t="s">
        <v>197</v>
      </c>
      <c r="T125" s="14"/>
      <c r="U125" s="14" t="n">
        <v>2016</v>
      </c>
      <c r="V125" s="12" t="s">
        <v>157</v>
      </c>
      <c r="W125" s="14"/>
      <c r="X125" s="15" t="str">
        <f aca="false">IF(OR($S125="%",$R125=""),"",$R125*INDEX(Cambi!$J$2:$J$5,MATCH($S125,Cambi!$I$2:$I$5,0))/IF($T125="EUR",1,INDEX(Cambi!$D:$D,MATCH($T125&amp;"|"&amp;$U125,Cambi!$C:$C,0))))</f>
        <v/>
      </c>
      <c r="Y125" s="12" t="s">
        <v>109</v>
      </c>
      <c r="Z125" s="12" t="s">
        <v>285</v>
      </c>
      <c r="AA125" s="12" t="s">
        <v>722</v>
      </c>
      <c r="AB125" s="12" t="s">
        <v>679</v>
      </c>
      <c r="AC125" s="12" t="s">
        <v>395</v>
      </c>
      <c r="AD125" s="12" t="s">
        <v>166</v>
      </c>
      <c r="AE125" s="12" t="s">
        <v>723</v>
      </c>
      <c r="AF125" s="12" t="s">
        <v>738</v>
      </c>
      <c r="AG125" s="12" t="s">
        <v>115</v>
      </c>
      <c r="AH125" s="12" t="s">
        <v>116</v>
      </c>
      <c r="AI125" s="12" t="s">
        <v>285</v>
      </c>
      <c r="AJ125" s="12" t="s">
        <v>742</v>
      </c>
      <c r="AK125" s="12" t="s">
        <v>4</v>
      </c>
    </row>
    <row r="126" customFormat="false" ht="15" hidden="false" customHeight="false" outlineLevel="0" collapsed="false">
      <c r="A126" s="11" t="n">
        <v>125</v>
      </c>
      <c r="B126" s="12" t="s">
        <v>713</v>
      </c>
      <c r="C126" s="12" t="s">
        <v>658</v>
      </c>
      <c r="D126" s="12" t="s">
        <v>659</v>
      </c>
      <c r="E126" s="12" t="s">
        <v>93</v>
      </c>
      <c r="F126" s="12" t="s">
        <v>714</v>
      </c>
      <c r="G126" s="12" t="s">
        <v>345</v>
      </c>
      <c r="H126" s="12" t="s">
        <v>715</v>
      </c>
      <c r="I126" s="12" t="s">
        <v>716</v>
      </c>
      <c r="J126" s="13" t="s">
        <v>717</v>
      </c>
      <c r="K126" s="12" t="s">
        <v>718</v>
      </c>
      <c r="L126" s="12" t="s">
        <v>735</v>
      </c>
      <c r="M126" s="12" t="s">
        <v>743</v>
      </c>
      <c r="N126" s="12" t="s">
        <v>352</v>
      </c>
      <c r="O126" s="12" t="s">
        <v>196</v>
      </c>
      <c r="P126" s="12" t="s">
        <v>155</v>
      </c>
      <c r="Q126" s="12" t="s">
        <v>744</v>
      </c>
      <c r="R126" s="14" t="n">
        <v>17</v>
      </c>
      <c r="S126" s="14" t="s">
        <v>197</v>
      </c>
      <c r="T126" s="14"/>
      <c r="U126" s="14" t="n">
        <v>2016</v>
      </c>
      <c r="V126" s="12" t="s">
        <v>157</v>
      </c>
      <c r="W126" s="14"/>
      <c r="X126" s="15" t="str">
        <f aca="false">IF(OR($S126="%",$R126=""),"",$R126*INDEX(Cambi!$J$2:$J$5,MATCH($S126,Cambi!$I$2:$I$5,0))/IF($T126="EUR",1,INDEX(Cambi!$D:$D,MATCH($T126&amp;"|"&amp;$U126,Cambi!$C:$C,0))))</f>
        <v/>
      </c>
      <c r="Y126" s="12" t="s">
        <v>109</v>
      </c>
      <c r="Z126" s="12" t="s">
        <v>285</v>
      </c>
      <c r="AA126" s="12" t="s">
        <v>722</v>
      </c>
      <c r="AB126" s="12" t="s">
        <v>679</v>
      </c>
      <c r="AC126" s="12" t="s">
        <v>395</v>
      </c>
      <c r="AD126" s="12" t="s">
        <v>166</v>
      </c>
      <c r="AE126" s="12" t="s">
        <v>723</v>
      </c>
      <c r="AF126" s="12" t="s">
        <v>738</v>
      </c>
      <c r="AG126" s="12" t="s">
        <v>115</v>
      </c>
      <c r="AH126" s="12" t="s">
        <v>116</v>
      </c>
      <c r="AI126" s="12" t="s">
        <v>285</v>
      </c>
      <c r="AJ126" s="12" t="s">
        <v>745</v>
      </c>
      <c r="AK126" s="12" t="s">
        <v>4</v>
      </c>
    </row>
    <row r="127" customFormat="false" ht="15" hidden="false" customHeight="false" outlineLevel="0" collapsed="false">
      <c r="A127" s="11" t="n">
        <v>126</v>
      </c>
      <c r="B127" s="12" t="s">
        <v>746</v>
      </c>
      <c r="C127" s="12" t="s">
        <v>658</v>
      </c>
      <c r="D127" s="12" t="s">
        <v>659</v>
      </c>
      <c r="E127" s="12" t="s">
        <v>93</v>
      </c>
      <c r="F127" s="12" t="s">
        <v>626</v>
      </c>
      <c r="G127" s="12" t="s">
        <v>95</v>
      </c>
      <c r="H127" s="12" t="s">
        <v>747</v>
      </c>
      <c r="I127" s="12" t="s">
        <v>748</v>
      </c>
      <c r="J127" s="13" t="s">
        <v>749</v>
      </c>
      <c r="K127" s="12" t="s">
        <v>750</v>
      </c>
      <c r="L127" s="12" t="s">
        <v>751</v>
      </c>
      <c r="M127" s="12" t="s">
        <v>752</v>
      </c>
      <c r="N127" s="12" t="s">
        <v>212</v>
      </c>
      <c r="O127" s="12" t="s">
        <v>102</v>
      </c>
      <c r="P127" s="12" t="s">
        <v>103</v>
      </c>
      <c r="Q127" s="12" t="s">
        <v>104</v>
      </c>
      <c r="R127" s="14" t="n">
        <v>37.38</v>
      </c>
      <c r="S127" s="14" t="s">
        <v>129</v>
      </c>
      <c r="T127" s="14" t="s">
        <v>653</v>
      </c>
      <c r="U127" s="14" t="n">
        <v>2020</v>
      </c>
      <c r="V127" s="12" t="s">
        <v>107</v>
      </c>
      <c r="W127" s="14"/>
      <c r="X127" s="15" t="n">
        <f aca="false">IF(OR($S127="%",$R127=""),"",$R127*INDEX(Cambi!$J$2:$J$5,MATCH($S127,Cambi!$I$2:$I$5,0))/IF($T127="EUR",1,INDEX(Cambi!$D:$D,MATCH($T127&amp;"|"&amp;$U127,Cambi!$C:$C,0))))</f>
        <v>32726.3176326388</v>
      </c>
      <c r="Y127" s="12" t="s">
        <v>239</v>
      </c>
      <c r="Z127" s="12" t="s">
        <v>285</v>
      </c>
      <c r="AA127" s="12" t="s">
        <v>109</v>
      </c>
      <c r="AB127" s="16" t="s">
        <v>110</v>
      </c>
      <c r="AC127" s="16" t="s">
        <v>753</v>
      </c>
      <c r="AD127" s="12" t="s">
        <v>281</v>
      </c>
      <c r="AE127" s="12" t="s">
        <v>282</v>
      </c>
      <c r="AF127" s="12" t="s">
        <v>754</v>
      </c>
      <c r="AG127" s="12" t="s">
        <v>284</v>
      </c>
      <c r="AH127" s="12" t="s">
        <v>116</v>
      </c>
      <c r="AI127" s="12" t="s">
        <v>285</v>
      </c>
      <c r="AJ127" s="12" t="s">
        <v>755</v>
      </c>
      <c r="AK127" s="12" t="s">
        <v>4</v>
      </c>
    </row>
    <row r="128" customFormat="false" ht="15" hidden="false" customHeight="false" outlineLevel="0" collapsed="false">
      <c r="A128" s="11" t="n">
        <v>127</v>
      </c>
      <c r="B128" s="12" t="s">
        <v>756</v>
      </c>
      <c r="C128" s="12" t="s">
        <v>757</v>
      </c>
      <c r="D128" s="12" t="s">
        <v>758</v>
      </c>
      <c r="E128" s="12" t="s">
        <v>759</v>
      </c>
      <c r="F128" s="12" t="s">
        <v>760</v>
      </c>
      <c r="G128" s="12" t="s">
        <v>581</v>
      </c>
      <c r="H128" s="12" t="s">
        <v>761</v>
      </c>
      <c r="I128" s="12" t="s">
        <v>762</v>
      </c>
      <c r="J128" s="13" t="s">
        <v>763</v>
      </c>
      <c r="K128" s="12"/>
      <c r="L128" s="12" t="s">
        <v>764</v>
      </c>
      <c r="M128" s="12" t="s">
        <v>765</v>
      </c>
      <c r="N128" s="12" t="s">
        <v>212</v>
      </c>
      <c r="O128" s="12" t="s">
        <v>196</v>
      </c>
      <c r="P128" s="12" t="s">
        <v>103</v>
      </c>
      <c r="Q128" s="12" t="s">
        <v>104</v>
      </c>
      <c r="R128" s="14" t="n">
        <v>41</v>
      </c>
      <c r="S128" s="14" t="s">
        <v>197</v>
      </c>
      <c r="T128" s="14"/>
      <c r="U128" s="14" t="n">
        <v>2026</v>
      </c>
      <c r="V128" s="12" t="s">
        <v>198</v>
      </c>
      <c r="W128" s="14"/>
      <c r="X128" s="15" t="str">
        <f aca="false">IF(OR($S128="%",$R128=""),"",$R128*INDEX(Cambi!$J$2:$J$5,MATCH($S128,Cambi!$I$2:$I$5,0))/IF($T128="EUR",1,INDEX(Cambi!$D:$D,MATCH($T128&amp;"|"&amp;$U128,Cambi!$C:$C,0))))</f>
        <v/>
      </c>
      <c r="Y128" s="12" t="s">
        <v>239</v>
      </c>
      <c r="Z128" s="12" t="s">
        <v>109</v>
      </c>
      <c r="AA128" s="12" t="s">
        <v>109</v>
      </c>
      <c r="AB128" s="12" t="s">
        <v>394</v>
      </c>
      <c r="AC128" s="12" t="s">
        <v>395</v>
      </c>
      <c r="AD128" s="12" t="s">
        <v>112</v>
      </c>
      <c r="AE128" s="12" t="s">
        <v>766</v>
      </c>
      <c r="AF128" s="12" t="s">
        <v>767</v>
      </c>
      <c r="AG128" s="12" t="s">
        <v>498</v>
      </c>
      <c r="AH128" s="12" t="s">
        <v>116</v>
      </c>
      <c r="AI128" s="12" t="s">
        <v>117</v>
      </c>
      <c r="AJ128" s="12" t="s">
        <v>768</v>
      </c>
      <c r="AK128" s="12" t="s">
        <v>4</v>
      </c>
    </row>
    <row r="129" customFormat="false" ht="15" hidden="false" customHeight="false" outlineLevel="0" collapsed="false">
      <c r="A129" s="11" t="n">
        <v>128</v>
      </c>
      <c r="B129" s="12" t="s">
        <v>769</v>
      </c>
      <c r="C129" s="12" t="s">
        <v>757</v>
      </c>
      <c r="D129" s="12" t="s">
        <v>758</v>
      </c>
      <c r="E129" s="12" t="s">
        <v>759</v>
      </c>
      <c r="F129" s="12" t="s">
        <v>770</v>
      </c>
      <c r="G129" s="12" t="s">
        <v>771</v>
      </c>
      <c r="H129" s="12" t="s">
        <v>772</v>
      </c>
      <c r="I129" s="12" t="s">
        <v>773</v>
      </c>
      <c r="J129" s="13" t="s">
        <v>774</v>
      </c>
      <c r="K129" s="12" t="s">
        <v>775</v>
      </c>
      <c r="L129" s="12" t="s">
        <v>776</v>
      </c>
      <c r="M129" s="12" t="s">
        <v>777</v>
      </c>
      <c r="N129" s="12" t="s">
        <v>352</v>
      </c>
      <c r="O129" s="12" t="s">
        <v>102</v>
      </c>
      <c r="P129" s="12" t="s">
        <v>103</v>
      </c>
      <c r="Q129" s="12" t="s">
        <v>104</v>
      </c>
      <c r="R129" s="14" t="n">
        <v>590</v>
      </c>
      <c r="S129" s="14" t="s">
        <v>105</v>
      </c>
      <c r="T129" s="14" t="s">
        <v>653</v>
      </c>
      <c r="U129" s="14" t="n">
        <v>2020</v>
      </c>
      <c r="V129" s="12" t="s">
        <v>157</v>
      </c>
      <c r="W129" s="14" t="s">
        <v>778</v>
      </c>
      <c r="X129" s="15" t="n">
        <f aca="false">IF(OR($S129="%",$R129=""),"",$R129*INDEX(Cambi!$J$2:$J$5,MATCH($S129,Cambi!$I$2:$I$5,0))/IF($T129="EUR",1,INDEX(Cambi!$D:$D,MATCH($T129&amp;"|"&amp;$U129,Cambi!$C:$C,0))))</f>
        <v>516.547014533357</v>
      </c>
      <c r="Y129" s="12" t="s">
        <v>109</v>
      </c>
      <c r="Z129" s="12" t="s">
        <v>109</v>
      </c>
      <c r="AA129" s="12" t="s">
        <v>109</v>
      </c>
      <c r="AB129" s="16" t="s">
        <v>110</v>
      </c>
      <c r="AC129" s="16" t="s">
        <v>779</v>
      </c>
      <c r="AD129" s="12" t="s">
        <v>281</v>
      </c>
      <c r="AE129" s="12" t="s">
        <v>282</v>
      </c>
      <c r="AF129" s="12" t="s">
        <v>780</v>
      </c>
      <c r="AG129" s="12" t="s">
        <v>284</v>
      </c>
      <c r="AH129" s="12" t="s">
        <v>499</v>
      </c>
      <c r="AI129" s="12" t="s">
        <v>285</v>
      </c>
      <c r="AJ129" s="12" t="s">
        <v>781</v>
      </c>
      <c r="AK129" s="12" t="s">
        <v>4</v>
      </c>
    </row>
    <row r="130" customFormat="false" ht="15" hidden="false" customHeight="false" outlineLevel="0" collapsed="false">
      <c r="A130" s="11" t="n">
        <v>129</v>
      </c>
      <c r="B130" s="12" t="s">
        <v>782</v>
      </c>
      <c r="C130" s="12" t="s">
        <v>757</v>
      </c>
      <c r="D130" s="12" t="s">
        <v>758</v>
      </c>
      <c r="E130" s="12" t="s">
        <v>759</v>
      </c>
      <c r="F130" s="12" t="s">
        <v>770</v>
      </c>
      <c r="G130" s="12" t="s">
        <v>771</v>
      </c>
      <c r="H130" s="12" t="s">
        <v>783</v>
      </c>
      <c r="I130" s="12" t="s">
        <v>181</v>
      </c>
      <c r="J130" s="13" t="s">
        <v>784</v>
      </c>
      <c r="K130" s="12"/>
      <c r="L130" s="12" t="s">
        <v>785</v>
      </c>
      <c r="M130" s="12" t="s">
        <v>786</v>
      </c>
      <c r="N130" s="12" t="s">
        <v>352</v>
      </c>
      <c r="O130" s="12" t="s">
        <v>196</v>
      </c>
      <c r="P130" s="12" t="s">
        <v>155</v>
      </c>
      <c r="Q130" s="12" t="s">
        <v>787</v>
      </c>
      <c r="R130" s="14" t="n">
        <v>60</v>
      </c>
      <c r="S130" s="14" t="s">
        <v>197</v>
      </c>
      <c r="T130" s="14"/>
      <c r="U130" s="14" t="n">
        <v>2025</v>
      </c>
      <c r="V130" s="12" t="s">
        <v>198</v>
      </c>
      <c r="W130" s="14"/>
      <c r="X130" s="15" t="str">
        <f aca="false">IF(OR($S130="%",$R130=""),"",$R130*INDEX(Cambi!$J$2:$J$5,MATCH($S130,Cambi!$I$2:$I$5,0))/IF($T130="EUR",1,INDEX(Cambi!$D:$D,MATCH($T130&amp;"|"&amp;$U130,Cambi!$C:$C,0))))</f>
        <v/>
      </c>
      <c r="Y130" s="12" t="s">
        <v>109</v>
      </c>
      <c r="Z130" s="12" t="s">
        <v>109</v>
      </c>
      <c r="AA130" s="12" t="s">
        <v>788</v>
      </c>
      <c r="AB130" s="16" t="s">
        <v>110</v>
      </c>
      <c r="AC130" s="16" t="s">
        <v>789</v>
      </c>
      <c r="AD130" s="12" t="s">
        <v>112</v>
      </c>
      <c r="AE130" s="12" t="s">
        <v>282</v>
      </c>
      <c r="AF130" s="12" t="s">
        <v>790</v>
      </c>
      <c r="AG130" s="12" t="s">
        <v>284</v>
      </c>
      <c r="AH130" s="12" t="s">
        <v>116</v>
      </c>
      <c r="AI130" s="12" t="s">
        <v>117</v>
      </c>
      <c r="AJ130" s="12" t="s">
        <v>791</v>
      </c>
      <c r="AK130" s="12" t="s">
        <v>4</v>
      </c>
    </row>
    <row r="131" customFormat="false" ht="15" hidden="false" customHeight="false" outlineLevel="0" collapsed="false">
      <c r="A131" s="11" t="n">
        <v>130</v>
      </c>
      <c r="B131" s="12" t="s">
        <v>782</v>
      </c>
      <c r="C131" s="12" t="s">
        <v>757</v>
      </c>
      <c r="D131" s="12" t="s">
        <v>758</v>
      </c>
      <c r="E131" s="12" t="s">
        <v>759</v>
      </c>
      <c r="F131" s="12" t="s">
        <v>770</v>
      </c>
      <c r="G131" s="12" t="s">
        <v>771</v>
      </c>
      <c r="H131" s="12" t="s">
        <v>783</v>
      </c>
      <c r="I131" s="12" t="s">
        <v>181</v>
      </c>
      <c r="J131" s="13" t="s">
        <v>784</v>
      </c>
      <c r="K131" s="12"/>
      <c r="L131" s="12" t="s">
        <v>792</v>
      </c>
      <c r="M131" s="12" t="s">
        <v>793</v>
      </c>
      <c r="N131" s="12" t="s">
        <v>352</v>
      </c>
      <c r="O131" s="12" t="s">
        <v>196</v>
      </c>
      <c r="P131" s="12" t="s">
        <v>155</v>
      </c>
      <c r="Q131" s="12" t="s">
        <v>794</v>
      </c>
      <c r="R131" s="14" t="n">
        <v>14</v>
      </c>
      <c r="S131" s="14" t="s">
        <v>197</v>
      </c>
      <c r="T131" s="14"/>
      <c r="U131" s="14" t="n">
        <v>2025</v>
      </c>
      <c r="V131" s="12" t="s">
        <v>198</v>
      </c>
      <c r="W131" s="14"/>
      <c r="X131" s="15" t="str">
        <f aca="false">IF(OR($S131="%",$R131=""),"",$R131*INDEX(Cambi!$J$2:$J$5,MATCH($S131,Cambi!$I$2:$I$5,0))/IF($T131="EUR",1,INDEX(Cambi!$D:$D,MATCH($T131&amp;"|"&amp;$U131,Cambi!$C:$C,0))))</f>
        <v/>
      </c>
      <c r="Y131" s="12" t="s">
        <v>109</v>
      </c>
      <c r="Z131" s="12" t="s">
        <v>109</v>
      </c>
      <c r="AA131" s="12" t="s">
        <v>788</v>
      </c>
      <c r="AB131" s="16" t="s">
        <v>110</v>
      </c>
      <c r="AC131" s="16" t="s">
        <v>789</v>
      </c>
      <c r="AD131" s="12" t="s">
        <v>112</v>
      </c>
      <c r="AE131" s="12" t="s">
        <v>282</v>
      </c>
      <c r="AF131" s="12" t="s">
        <v>795</v>
      </c>
      <c r="AG131" s="12" t="s">
        <v>284</v>
      </c>
      <c r="AH131" s="12" t="s">
        <v>116</v>
      </c>
      <c r="AI131" s="12" t="s">
        <v>117</v>
      </c>
      <c r="AJ131" s="12" t="s">
        <v>796</v>
      </c>
      <c r="AK131" s="12" t="s">
        <v>4</v>
      </c>
    </row>
    <row r="132" customFormat="false" ht="15" hidden="false" customHeight="false" outlineLevel="0" collapsed="false">
      <c r="A132" s="11" t="n">
        <v>131</v>
      </c>
      <c r="B132" s="12" t="s">
        <v>782</v>
      </c>
      <c r="C132" s="12" t="s">
        <v>757</v>
      </c>
      <c r="D132" s="12" t="s">
        <v>758</v>
      </c>
      <c r="E132" s="12" t="s">
        <v>759</v>
      </c>
      <c r="F132" s="12" t="s">
        <v>770</v>
      </c>
      <c r="G132" s="12" t="s">
        <v>771</v>
      </c>
      <c r="H132" s="12" t="s">
        <v>783</v>
      </c>
      <c r="I132" s="12" t="s">
        <v>181</v>
      </c>
      <c r="J132" s="13" t="s">
        <v>784</v>
      </c>
      <c r="K132" s="12"/>
      <c r="L132" s="12" t="s">
        <v>797</v>
      </c>
      <c r="M132" s="12" t="s">
        <v>798</v>
      </c>
      <c r="N132" s="12" t="s">
        <v>352</v>
      </c>
      <c r="O132" s="12" t="s">
        <v>196</v>
      </c>
      <c r="P132" s="12" t="s">
        <v>155</v>
      </c>
      <c r="Q132" s="12" t="s">
        <v>799</v>
      </c>
      <c r="R132" s="14" t="n">
        <v>26</v>
      </c>
      <c r="S132" s="14" t="s">
        <v>197</v>
      </c>
      <c r="T132" s="14"/>
      <c r="U132" s="14" t="n">
        <v>2025</v>
      </c>
      <c r="V132" s="12" t="s">
        <v>198</v>
      </c>
      <c r="W132" s="14"/>
      <c r="X132" s="15" t="str">
        <f aca="false">IF(OR($S132="%",$R132=""),"",$R132*INDEX(Cambi!$J$2:$J$5,MATCH($S132,Cambi!$I$2:$I$5,0))/IF($T132="EUR",1,INDEX(Cambi!$D:$D,MATCH($T132&amp;"|"&amp;$U132,Cambi!$C:$C,0))))</f>
        <v/>
      </c>
      <c r="Y132" s="12" t="s">
        <v>109</v>
      </c>
      <c r="Z132" s="12" t="s">
        <v>109</v>
      </c>
      <c r="AA132" s="12" t="s">
        <v>788</v>
      </c>
      <c r="AB132" s="16" t="s">
        <v>110</v>
      </c>
      <c r="AC132" s="16" t="s">
        <v>789</v>
      </c>
      <c r="AD132" s="12" t="s">
        <v>112</v>
      </c>
      <c r="AE132" s="12" t="s">
        <v>282</v>
      </c>
      <c r="AF132" s="12" t="s">
        <v>795</v>
      </c>
      <c r="AG132" s="12" t="s">
        <v>284</v>
      </c>
      <c r="AH132" s="12" t="s">
        <v>116</v>
      </c>
      <c r="AI132" s="12" t="s">
        <v>117</v>
      </c>
      <c r="AJ132" s="12" t="s">
        <v>791</v>
      </c>
      <c r="AK132" s="12" t="s">
        <v>4</v>
      </c>
    </row>
    <row r="133" customFormat="false" ht="15" hidden="false" customHeight="false" outlineLevel="0" collapsed="false">
      <c r="A133" s="11" t="n">
        <v>132</v>
      </c>
      <c r="B133" s="12" t="s">
        <v>782</v>
      </c>
      <c r="C133" s="12" t="s">
        <v>757</v>
      </c>
      <c r="D133" s="12" t="s">
        <v>758</v>
      </c>
      <c r="E133" s="12" t="s">
        <v>759</v>
      </c>
      <c r="F133" s="12" t="s">
        <v>770</v>
      </c>
      <c r="G133" s="12" t="s">
        <v>771</v>
      </c>
      <c r="H133" s="12" t="s">
        <v>783</v>
      </c>
      <c r="I133" s="12" t="s">
        <v>181</v>
      </c>
      <c r="J133" s="13" t="s">
        <v>784</v>
      </c>
      <c r="K133" s="12"/>
      <c r="L133" s="12" t="s">
        <v>800</v>
      </c>
      <c r="M133" s="12" t="s">
        <v>801</v>
      </c>
      <c r="N133" s="12" t="s">
        <v>352</v>
      </c>
      <c r="O133" s="12" t="s">
        <v>102</v>
      </c>
      <c r="P133" s="12" t="s">
        <v>103</v>
      </c>
      <c r="Q133" s="12" t="s">
        <v>104</v>
      </c>
      <c r="R133" s="14" t="n">
        <v>9.35</v>
      </c>
      <c r="S133" s="14" t="s">
        <v>129</v>
      </c>
      <c r="T133" s="14" t="s">
        <v>653</v>
      </c>
      <c r="U133" s="14" t="n">
        <v>2025</v>
      </c>
      <c r="V133" s="12" t="s">
        <v>107</v>
      </c>
      <c r="W133" s="14" t="s">
        <v>802</v>
      </c>
      <c r="X133" s="15" t="n">
        <f aca="false">IF(OR($S133="%",$R133=""),"",$R133*INDEX(Cambi!$J$2:$J$5,MATCH($S133,Cambi!$I$2:$I$5,0))/IF($T133="EUR",1,INDEX(Cambi!$D:$D,MATCH($T133&amp;"|"&amp;$U133,Cambi!$C:$C,0))))</f>
        <v>8274.33628318584</v>
      </c>
      <c r="Y133" s="12" t="s">
        <v>109</v>
      </c>
      <c r="Z133" s="12" t="s">
        <v>109</v>
      </c>
      <c r="AA133" s="12" t="s">
        <v>109</v>
      </c>
      <c r="AB133" s="16" t="s">
        <v>110</v>
      </c>
      <c r="AC133" s="16" t="s">
        <v>803</v>
      </c>
      <c r="AD133" s="12" t="s">
        <v>112</v>
      </c>
      <c r="AE133" s="12" t="s">
        <v>282</v>
      </c>
      <c r="AF133" s="12" t="s">
        <v>804</v>
      </c>
      <c r="AG133" s="12" t="s">
        <v>284</v>
      </c>
      <c r="AH133" s="12" t="s">
        <v>116</v>
      </c>
      <c r="AI133" s="12" t="s">
        <v>117</v>
      </c>
      <c r="AJ133" s="12" t="s">
        <v>805</v>
      </c>
      <c r="AK133" s="12" t="s">
        <v>4</v>
      </c>
    </row>
    <row r="134" customFormat="false" ht="15" hidden="false" customHeight="false" outlineLevel="0" collapsed="false">
      <c r="A134" s="11" t="n">
        <v>133</v>
      </c>
      <c r="B134" s="12" t="s">
        <v>806</v>
      </c>
      <c r="C134" s="12" t="s">
        <v>757</v>
      </c>
      <c r="D134" s="12" t="s">
        <v>758</v>
      </c>
      <c r="E134" s="12" t="s">
        <v>759</v>
      </c>
      <c r="F134" s="12" t="s">
        <v>770</v>
      </c>
      <c r="G134" s="12" t="s">
        <v>771</v>
      </c>
      <c r="H134" s="12" t="s">
        <v>807</v>
      </c>
      <c r="I134" s="12" t="s">
        <v>808</v>
      </c>
      <c r="J134" s="13" t="s">
        <v>809</v>
      </c>
      <c r="K134" s="12"/>
      <c r="L134" s="12" t="s">
        <v>810</v>
      </c>
      <c r="M134" s="12" t="s">
        <v>811</v>
      </c>
      <c r="N134" s="12" t="s">
        <v>352</v>
      </c>
      <c r="O134" s="12" t="s">
        <v>213</v>
      </c>
      <c r="P134" s="12" t="s">
        <v>103</v>
      </c>
      <c r="Q134" s="12" t="s">
        <v>104</v>
      </c>
      <c r="R134" s="14" t="n">
        <v>10</v>
      </c>
      <c r="S134" s="14" t="s">
        <v>197</v>
      </c>
      <c r="T134" s="14"/>
      <c r="U134" s="14" t="n">
        <v>2028</v>
      </c>
      <c r="V134" s="12" t="s">
        <v>107</v>
      </c>
      <c r="W134" s="14" t="s">
        <v>812</v>
      </c>
      <c r="X134" s="15" t="str">
        <f aca="false">IF(OR($S134="%",$R134=""),"",$R134*INDEX(Cambi!$J$2:$J$5,MATCH($S134,Cambi!$I$2:$I$5,0))/IF($T134="EUR",1,INDEX(Cambi!$D:$D,MATCH($T134&amp;"|"&amp;$U134,Cambi!$C:$C,0))))</f>
        <v/>
      </c>
      <c r="Y134" s="12" t="s">
        <v>109</v>
      </c>
      <c r="Z134" s="12" t="s">
        <v>109</v>
      </c>
      <c r="AA134" s="12" t="s">
        <v>109</v>
      </c>
      <c r="AB134" s="16" t="s">
        <v>110</v>
      </c>
      <c r="AC134" s="16" t="s">
        <v>813</v>
      </c>
      <c r="AD134" s="12" t="s">
        <v>112</v>
      </c>
      <c r="AE134" s="12" t="s">
        <v>282</v>
      </c>
      <c r="AF134" s="12" t="s">
        <v>814</v>
      </c>
      <c r="AG134" s="12" t="s">
        <v>284</v>
      </c>
      <c r="AH134" s="12" t="s">
        <v>116</v>
      </c>
      <c r="AI134" s="12" t="s">
        <v>117</v>
      </c>
      <c r="AJ134" s="12" t="s">
        <v>815</v>
      </c>
      <c r="AK134" s="12" t="s">
        <v>4</v>
      </c>
    </row>
    <row r="135" customFormat="false" ht="15" hidden="false" customHeight="false" outlineLevel="0" collapsed="false">
      <c r="A135" s="11" t="n">
        <v>134</v>
      </c>
      <c r="B135" s="12" t="s">
        <v>816</v>
      </c>
      <c r="C135" s="12" t="s">
        <v>757</v>
      </c>
      <c r="D135" s="12" t="s">
        <v>758</v>
      </c>
      <c r="E135" s="12" t="s">
        <v>759</v>
      </c>
      <c r="F135" s="12" t="s">
        <v>817</v>
      </c>
      <c r="G135" s="12" t="s">
        <v>581</v>
      </c>
      <c r="H135" s="12" t="s">
        <v>818</v>
      </c>
      <c r="I135" s="12" t="s">
        <v>583</v>
      </c>
      <c r="J135" s="13" t="s">
        <v>819</v>
      </c>
      <c r="K135" s="12"/>
      <c r="L135" s="12" t="s">
        <v>820</v>
      </c>
      <c r="M135" s="12" t="s">
        <v>821</v>
      </c>
      <c r="N135" s="12" t="s">
        <v>195</v>
      </c>
      <c r="O135" s="12" t="s">
        <v>196</v>
      </c>
      <c r="P135" s="12" t="s">
        <v>103</v>
      </c>
      <c r="Q135" s="12" t="s">
        <v>104</v>
      </c>
      <c r="R135" s="14" t="n">
        <v>19</v>
      </c>
      <c r="S135" s="14" t="s">
        <v>197</v>
      </c>
      <c r="T135" s="14"/>
      <c r="U135" s="14" t="n">
        <v>2023</v>
      </c>
      <c r="V135" s="12" t="s">
        <v>157</v>
      </c>
      <c r="W135" s="14"/>
      <c r="X135" s="15" t="str">
        <f aca="false">IF(OR($S135="%",$R135=""),"",$R135*INDEX(Cambi!$J$2:$J$5,MATCH($S135,Cambi!$I$2:$I$5,0))/IF($T135="EUR",1,INDEX(Cambi!$D:$D,MATCH($T135&amp;"|"&amp;$U135,Cambi!$C:$C,0))))</f>
        <v/>
      </c>
      <c r="Y135" s="12" t="s">
        <v>239</v>
      </c>
      <c r="Z135" s="12" t="s">
        <v>109</v>
      </c>
      <c r="AA135" s="12" t="s">
        <v>109</v>
      </c>
      <c r="AB135" s="12" t="s">
        <v>394</v>
      </c>
      <c r="AC135" s="12" t="s">
        <v>395</v>
      </c>
      <c r="AD135" s="12" t="s">
        <v>112</v>
      </c>
      <c r="AE135" s="12" t="s">
        <v>822</v>
      </c>
      <c r="AF135" s="12" t="s">
        <v>823</v>
      </c>
      <c r="AG135" s="12" t="s">
        <v>498</v>
      </c>
      <c r="AH135" s="12" t="s">
        <v>116</v>
      </c>
      <c r="AI135" s="12" t="s">
        <v>117</v>
      </c>
      <c r="AJ135" s="12" t="s">
        <v>824</v>
      </c>
      <c r="AK135" s="12" t="s">
        <v>4</v>
      </c>
    </row>
    <row r="136" customFormat="false" ht="15" hidden="false" customHeight="false" outlineLevel="0" collapsed="false">
      <c r="A136" s="11" t="n">
        <v>135</v>
      </c>
      <c r="B136" s="12" t="s">
        <v>816</v>
      </c>
      <c r="C136" s="12" t="s">
        <v>757</v>
      </c>
      <c r="D136" s="12" t="s">
        <v>758</v>
      </c>
      <c r="E136" s="12" t="s">
        <v>759</v>
      </c>
      <c r="F136" s="12" t="s">
        <v>817</v>
      </c>
      <c r="G136" s="12" t="s">
        <v>581</v>
      </c>
      <c r="H136" s="12" t="s">
        <v>818</v>
      </c>
      <c r="I136" s="12" t="s">
        <v>583</v>
      </c>
      <c r="J136" s="13" t="s">
        <v>819</v>
      </c>
      <c r="K136" s="12"/>
      <c r="L136" s="12" t="s">
        <v>825</v>
      </c>
      <c r="M136" s="12" t="s">
        <v>826</v>
      </c>
      <c r="N136" s="12" t="s">
        <v>195</v>
      </c>
      <c r="O136" s="12" t="s">
        <v>196</v>
      </c>
      <c r="P136" s="12" t="s">
        <v>103</v>
      </c>
      <c r="Q136" s="12" t="s">
        <v>104</v>
      </c>
      <c r="R136" s="14" t="n">
        <v>19</v>
      </c>
      <c r="S136" s="14" t="s">
        <v>197</v>
      </c>
      <c r="T136" s="14"/>
      <c r="U136" s="14" t="n">
        <v>2023</v>
      </c>
      <c r="V136" s="12" t="s">
        <v>157</v>
      </c>
      <c r="W136" s="14"/>
      <c r="X136" s="15" t="str">
        <f aca="false">IF(OR($S136="%",$R136=""),"",$R136*INDEX(Cambi!$J$2:$J$5,MATCH($S136,Cambi!$I$2:$I$5,0))/IF($T136="EUR",1,INDEX(Cambi!$D:$D,MATCH($T136&amp;"|"&amp;$U136,Cambi!$C:$C,0))))</f>
        <v/>
      </c>
      <c r="Y136" s="12" t="s">
        <v>239</v>
      </c>
      <c r="Z136" s="12" t="s">
        <v>109</v>
      </c>
      <c r="AA136" s="12" t="s">
        <v>109</v>
      </c>
      <c r="AB136" s="12" t="s">
        <v>394</v>
      </c>
      <c r="AC136" s="12" t="s">
        <v>395</v>
      </c>
      <c r="AD136" s="12" t="s">
        <v>112</v>
      </c>
      <c r="AE136" s="12" t="s">
        <v>822</v>
      </c>
      <c r="AF136" s="12" t="s">
        <v>823</v>
      </c>
      <c r="AG136" s="12" t="s">
        <v>498</v>
      </c>
      <c r="AH136" s="12" t="s">
        <v>116</v>
      </c>
      <c r="AI136" s="12" t="s">
        <v>117</v>
      </c>
      <c r="AJ136" s="12" t="s">
        <v>827</v>
      </c>
      <c r="AK136" s="12" t="s">
        <v>4</v>
      </c>
    </row>
    <row r="137" customFormat="false" ht="15" hidden="false" customHeight="false" outlineLevel="0" collapsed="false">
      <c r="A137" s="11" t="n">
        <v>136</v>
      </c>
      <c r="B137" s="12" t="s">
        <v>828</v>
      </c>
      <c r="C137" s="12" t="s">
        <v>757</v>
      </c>
      <c r="D137" s="12" t="s">
        <v>758</v>
      </c>
      <c r="E137" s="12" t="s">
        <v>759</v>
      </c>
      <c r="F137" s="12" t="s">
        <v>829</v>
      </c>
      <c r="G137" s="12" t="s">
        <v>830</v>
      </c>
      <c r="H137" s="12" t="s">
        <v>831</v>
      </c>
      <c r="I137" s="12" t="s">
        <v>832</v>
      </c>
      <c r="J137" s="13" t="s">
        <v>833</v>
      </c>
      <c r="K137" s="12"/>
      <c r="L137" s="12" t="s">
        <v>834</v>
      </c>
      <c r="M137" s="12" t="s">
        <v>835</v>
      </c>
      <c r="N137" s="12" t="s">
        <v>352</v>
      </c>
      <c r="O137" s="12" t="s">
        <v>102</v>
      </c>
      <c r="P137" s="12" t="s">
        <v>103</v>
      </c>
      <c r="Q137" s="12" t="s">
        <v>104</v>
      </c>
      <c r="R137" s="14" t="n">
        <v>549.8</v>
      </c>
      <c r="S137" s="14" t="s">
        <v>105</v>
      </c>
      <c r="T137" s="14" t="s">
        <v>653</v>
      </c>
      <c r="U137" s="14" t="n">
        <v>2024</v>
      </c>
      <c r="V137" s="12" t="s">
        <v>157</v>
      </c>
      <c r="W137" s="14"/>
      <c r="X137" s="15" t="n">
        <f aca="false">IF(OR($S137="%",$R137=""),"",$R137*INDEX(Cambi!$J$2:$J$5,MATCH($S137,Cambi!$I$2:$I$5,0))/IF($T137="EUR",1,INDEX(Cambi!$D:$D,MATCH($T137&amp;"|"&amp;$U137,Cambi!$C:$C,0))))</f>
        <v>507.945306725794</v>
      </c>
      <c r="Y137" s="12" t="s">
        <v>109</v>
      </c>
      <c r="Z137" s="12" t="s">
        <v>109</v>
      </c>
      <c r="AA137" s="12" t="s">
        <v>109</v>
      </c>
      <c r="AB137" s="16" t="s">
        <v>110</v>
      </c>
      <c r="AC137" s="16" t="s">
        <v>836</v>
      </c>
      <c r="AD137" s="12" t="s">
        <v>112</v>
      </c>
      <c r="AE137" s="12" t="s">
        <v>282</v>
      </c>
      <c r="AF137" s="12" t="s">
        <v>837</v>
      </c>
      <c r="AG137" s="12" t="s">
        <v>284</v>
      </c>
      <c r="AH137" s="12" t="s">
        <v>838</v>
      </c>
      <c r="AI137" s="12" t="s">
        <v>117</v>
      </c>
      <c r="AJ137" s="12" t="s">
        <v>839</v>
      </c>
      <c r="AK137" s="12" t="s">
        <v>4</v>
      </c>
    </row>
    <row r="138" customFormat="false" ht="15" hidden="false" customHeight="false" outlineLevel="0" collapsed="false">
      <c r="A138" s="11" t="n">
        <v>137</v>
      </c>
      <c r="B138" s="12" t="s">
        <v>828</v>
      </c>
      <c r="C138" s="12" t="s">
        <v>757</v>
      </c>
      <c r="D138" s="12" t="s">
        <v>758</v>
      </c>
      <c r="E138" s="12" t="s">
        <v>759</v>
      </c>
      <c r="F138" s="12" t="s">
        <v>829</v>
      </c>
      <c r="G138" s="12" t="s">
        <v>830</v>
      </c>
      <c r="H138" s="12" t="s">
        <v>831</v>
      </c>
      <c r="I138" s="12" t="s">
        <v>832</v>
      </c>
      <c r="J138" s="13" t="s">
        <v>833</v>
      </c>
      <c r="K138" s="12"/>
      <c r="L138" s="12" t="s">
        <v>840</v>
      </c>
      <c r="M138" s="12" t="s">
        <v>841</v>
      </c>
      <c r="N138" s="12" t="s">
        <v>352</v>
      </c>
      <c r="O138" s="12" t="s">
        <v>102</v>
      </c>
      <c r="P138" s="12" t="s">
        <v>103</v>
      </c>
      <c r="Q138" s="12" t="s">
        <v>104</v>
      </c>
      <c r="R138" s="14" t="n">
        <v>860.3</v>
      </c>
      <c r="S138" s="14" t="s">
        <v>105</v>
      </c>
      <c r="T138" s="14" t="s">
        <v>653</v>
      </c>
      <c r="U138" s="14" t="n">
        <v>2031</v>
      </c>
      <c r="V138" s="12" t="s">
        <v>107</v>
      </c>
      <c r="W138" s="14" t="s">
        <v>842</v>
      </c>
      <c r="X138" s="15" t="n">
        <f aca="false">IF(OR($S138="%",$R138=""),"",$R138*INDEX(Cambi!$J$2:$J$5,MATCH($S138,Cambi!$I$2:$I$5,0))/IF($T138="EUR",1,INDEX(Cambi!$D:$D,MATCH($T138&amp;"|"&amp;$U138,Cambi!$C:$C,0))))</f>
        <v>761.327433628319</v>
      </c>
      <c r="Y138" s="12" t="s">
        <v>109</v>
      </c>
      <c r="Z138" s="12" t="s">
        <v>109</v>
      </c>
      <c r="AA138" s="12" t="s">
        <v>109</v>
      </c>
      <c r="AB138" s="16" t="s">
        <v>110</v>
      </c>
      <c r="AC138" s="16" t="s">
        <v>836</v>
      </c>
      <c r="AD138" s="12" t="s">
        <v>112</v>
      </c>
      <c r="AE138" s="12" t="s">
        <v>282</v>
      </c>
      <c r="AF138" s="12" t="s">
        <v>843</v>
      </c>
      <c r="AG138" s="12" t="s">
        <v>284</v>
      </c>
      <c r="AH138" s="12" t="s">
        <v>838</v>
      </c>
      <c r="AI138" s="12" t="s">
        <v>117</v>
      </c>
      <c r="AJ138" s="12" t="s">
        <v>266</v>
      </c>
      <c r="AK138" s="12" t="s">
        <v>4</v>
      </c>
    </row>
    <row r="139" customFormat="false" ht="15" hidden="false" customHeight="false" outlineLevel="0" collapsed="false">
      <c r="A139" s="11" t="n">
        <v>138</v>
      </c>
      <c r="B139" s="12" t="s">
        <v>844</v>
      </c>
      <c r="C139" s="12" t="s">
        <v>757</v>
      </c>
      <c r="D139" s="12" t="s">
        <v>758</v>
      </c>
      <c r="E139" s="12" t="s">
        <v>759</v>
      </c>
      <c r="F139" s="12" t="s">
        <v>845</v>
      </c>
      <c r="G139" s="12" t="s">
        <v>830</v>
      </c>
      <c r="H139" s="12" t="s">
        <v>846</v>
      </c>
      <c r="I139" s="12" t="s">
        <v>847</v>
      </c>
      <c r="J139" s="13" t="s">
        <v>848</v>
      </c>
      <c r="K139" s="12"/>
      <c r="L139" s="12" t="s">
        <v>849</v>
      </c>
      <c r="M139" s="12" t="s">
        <v>850</v>
      </c>
      <c r="N139" s="12" t="s">
        <v>352</v>
      </c>
      <c r="O139" s="12" t="s">
        <v>196</v>
      </c>
      <c r="P139" s="12" t="s">
        <v>155</v>
      </c>
      <c r="Q139" s="12" t="s">
        <v>787</v>
      </c>
      <c r="R139" s="14" t="n">
        <v>36.72</v>
      </c>
      <c r="S139" s="14" t="s">
        <v>197</v>
      </c>
      <c r="T139" s="14"/>
      <c r="U139" s="14" t="n">
        <v>2025</v>
      </c>
      <c r="V139" s="12" t="s">
        <v>157</v>
      </c>
      <c r="W139" s="14"/>
      <c r="X139" s="15" t="str">
        <f aca="false">IF(OR($S139="%",$R139=""),"",$R139*INDEX(Cambi!$J$2:$J$5,MATCH($S139,Cambi!$I$2:$I$5,0))/IF($T139="EUR",1,INDEX(Cambi!$D:$D,MATCH($T139&amp;"|"&amp;$U139,Cambi!$C:$C,0))))</f>
        <v/>
      </c>
      <c r="Y139" s="12" t="s">
        <v>109</v>
      </c>
      <c r="Z139" s="12" t="s">
        <v>109</v>
      </c>
      <c r="AA139" s="12" t="s">
        <v>851</v>
      </c>
      <c r="AB139" s="16" t="s">
        <v>110</v>
      </c>
      <c r="AC139" s="16" t="s">
        <v>836</v>
      </c>
      <c r="AD139" s="12" t="s">
        <v>112</v>
      </c>
      <c r="AE139" s="12" t="s">
        <v>852</v>
      </c>
      <c r="AF139" s="12" t="s">
        <v>853</v>
      </c>
      <c r="AG139" s="12" t="s">
        <v>284</v>
      </c>
      <c r="AH139" s="12" t="s">
        <v>838</v>
      </c>
      <c r="AI139" s="12" t="s">
        <v>117</v>
      </c>
      <c r="AJ139" s="12" t="s">
        <v>266</v>
      </c>
      <c r="AK139" s="12" t="s">
        <v>4</v>
      </c>
    </row>
    <row r="140" customFormat="false" ht="15" hidden="false" customHeight="false" outlineLevel="0" collapsed="false">
      <c r="A140" s="11" t="n">
        <v>139</v>
      </c>
      <c r="B140" s="12" t="s">
        <v>844</v>
      </c>
      <c r="C140" s="12" t="s">
        <v>757</v>
      </c>
      <c r="D140" s="12" t="s">
        <v>758</v>
      </c>
      <c r="E140" s="12" t="s">
        <v>759</v>
      </c>
      <c r="F140" s="12" t="s">
        <v>845</v>
      </c>
      <c r="G140" s="12" t="s">
        <v>830</v>
      </c>
      <c r="H140" s="12" t="s">
        <v>846</v>
      </c>
      <c r="I140" s="12" t="s">
        <v>847</v>
      </c>
      <c r="J140" s="13" t="s">
        <v>848</v>
      </c>
      <c r="K140" s="12"/>
      <c r="L140" s="12" t="s">
        <v>854</v>
      </c>
      <c r="M140" s="12" t="s">
        <v>855</v>
      </c>
      <c r="N140" s="12" t="s">
        <v>352</v>
      </c>
      <c r="O140" s="12" t="s">
        <v>196</v>
      </c>
      <c r="P140" s="12" t="s">
        <v>856</v>
      </c>
      <c r="Q140" s="12" t="s">
        <v>857</v>
      </c>
      <c r="R140" s="14" t="n">
        <v>56.24</v>
      </c>
      <c r="S140" s="14" t="s">
        <v>197</v>
      </c>
      <c r="T140" s="14"/>
      <c r="U140" s="14" t="n">
        <v>2025</v>
      </c>
      <c r="V140" s="12" t="s">
        <v>157</v>
      </c>
      <c r="W140" s="14"/>
      <c r="X140" s="15" t="str">
        <f aca="false">IF(OR($S140="%",$R140=""),"",$R140*INDEX(Cambi!$J$2:$J$5,MATCH($S140,Cambi!$I$2:$I$5,0))/IF($T140="EUR",1,INDEX(Cambi!$D:$D,MATCH($T140&amp;"|"&amp;$U140,Cambi!$C:$C,0))))</f>
        <v/>
      </c>
      <c r="Y140" s="12" t="s">
        <v>109</v>
      </c>
      <c r="Z140" s="12" t="s">
        <v>109</v>
      </c>
      <c r="AA140" s="12" t="s">
        <v>851</v>
      </c>
      <c r="AB140" s="16" t="s">
        <v>110</v>
      </c>
      <c r="AC140" s="16" t="s">
        <v>836</v>
      </c>
      <c r="AD140" s="12" t="s">
        <v>112</v>
      </c>
      <c r="AE140" s="12" t="s">
        <v>852</v>
      </c>
      <c r="AF140" s="12" t="s">
        <v>858</v>
      </c>
      <c r="AG140" s="12" t="s">
        <v>284</v>
      </c>
      <c r="AH140" s="12" t="s">
        <v>838</v>
      </c>
      <c r="AI140" s="12" t="s">
        <v>117</v>
      </c>
      <c r="AJ140" s="12" t="s">
        <v>859</v>
      </c>
      <c r="AK140" s="12" t="s">
        <v>4</v>
      </c>
    </row>
    <row r="141" customFormat="false" ht="15" hidden="false" customHeight="false" outlineLevel="0" collapsed="false">
      <c r="A141" s="11" t="n">
        <v>140</v>
      </c>
      <c r="B141" s="12" t="s">
        <v>844</v>
      </c>
      <c r="C141" s="12" t="s">
        <v>757</v>
      </c>
      <c r="D141" s="12" t="s">
        <v>758</v>
      </c>
      <c r="E141" s="12" t="s">
        <v>759</v>
      </c>
      <c r="F141" s="12" t="s">
        <v>845</v>
      </c>
      <c r="G141" s="12" t="s">
        <v>830</v>
      </c>
      <c r="H141" s="12" t="s">
        <v>846</v>
      </c>
      <c r="I141" s="12" t="s">
        <v>847</v>
      </c>
      <c r="J141" s="13" t="s">
        <v>848</v>
      </c>
      <c r="K141" s="12"/>
      <c r="L141" s="12" t="s">
        <v>860</v>
      </c>
      <c r="M141" s="12" t="s">
        <v>861</v>
      </c>
      <c r="N141" s="12" t="s">
        <v>352</v>
      </c>
      <c r="O141" s="12" t="s">
        <v>196</v>
      </c>
      <c r="P141" s="12" t="s">
        <v>155</v>
      </c>
      <c r="Q141" s="12" t="s">
        <v>862</v>
      </c>
      <c r="R141" s="14" t="n">
        <v>63.28</v>
      </c>
      <c r="S141" s="14" t="s">
        <v>197</v>
      </c>
      <c r="T141" s="14"/>
      <c r="U141" s="14" t="n">
        <v>2025</v>
      </c>
      <c r="V141" s="12" t="s">
        <v>157</v>
      </c>
      <c r="W141" s="14"/>
      <c r="X141" s="15" t="str">
        <f aca="false">IF(OR($S141="%",$R141=""),"",$R141*INDEX(Cambi!$J$2:$J$5,MATCH($S141,Cambi!$I$2:$I$5,0))/IF($T141="EUR",1,INDEX(Cambi!$D:$D,MATCH($T141&amp;"|"&amp;$U141,Cambi!$C:$C,0))))</f>
        <v/>
      </c>
      <c r="Y141" s="12" t="s">
        <v>109</v>
      </c>
      <c r="Z141" s="12" t="s">
        <v>109</v>
      </c>
      <c r="AA141" s="12" t="s">
        <v>851</v>
      </c>
      <c r="AB141" s="16" t="s">
        <v>110</v>
      </c>
      <c r="AC141" s="16" t="s">
        <v>836</v>
      </c>
      <c r="AD141" s="12" t="s">
        <v>112</v>
      </c>
      <c r="AE141" s="12" t="s">
        <v>852</v>
      </c>
      <c r="AF141" s="12" t="s">
        <v>863</v>
      </c>
      <c r="AG141" s="12" t="s">
        <v>284</v>
      </c>
      <c r="AH141" s="12" t="s">
        <v>838</v>
      </c>
      <c r="AI141" s="12" t="s">
        <v>117</v>
      </c>
      <c r="AJ141" s="12" t="s">
        <v>266</v>
      </c>
      <c r="AK141" s="12" t="s">
        <v>4</v>
      </c>
    </row>
    <row r="142" customFormat="false" ht="15" hidden="false" customHeight="false" outlineLevel="0" collapsed="false">
      <c r="A142" s="11" t="n">
        <v>141</v>
      </c>
      <c r="B142" s="12" t="s">
        <v>844</v>
      </c>
      <c r="C142" s="12" t="s">
        <v>757</v>
      </c>
      <c r="D142" s="12" t="s">
        <v>758</v>
      </c>
      <c r="E142" s="12" t="s">
        <v>759</v>
      </c>
      <c r="F142" s="12" t="s">
        <v>845</v>
      </c>
      <c r="G142" s="12" t="s">
        <v>830</v>
      </c>
      <c r="H142" s="12" t="s">
        <v>846</v>
      </c>
      <c r="I142" s="12" t="s">
        <v>847</v>
      </c>
      <c r="J142" s="13" t="s">
        <v>848</v>
      </c>
      <c r="K142" s="12"/>
      <c r="L142" s="12" t="s">
        <v>864</v>
      </c>
      <c r="M142" s="12" t="s">
        <v>865</v>
      </c>
      <c r="N142" s="12" t="s">
        <v>352</v>
      </c>
      <c r="O142" s="12" t="s">
        <v>102</v>
      </c>
      <c r="P142" s="12" t="s">
        <v>103</v>
      </c>
      <c r="Q142" s="12" t="s">
        <v>104</v>
      </c>
      <c r="R142" s="14" t="n">
        <v>560</v>
      </c>
      <c r="S142" s="14" t="s">
        <v>105</v>
      </c>
      <c r="T142" s="14" t="s">
        <v>653</v>
      </c>
      <c r="U142" s="14" t="n">
        <v>2025</v>
      </c>
      <c r="V142" s="12" t="s">
        <v>157</v>
      </c>
      <c r="W142" s="14"/>
      <c r="X142" s="15" t="n">
        <f aca="false">IF(OR($S142="%",$R142=""),"",$R142*INDEX(Cambi!$J$2:$J$5,MATCH($S142,Cambi!$I$2:$I$5,0))/IF($T142="EUR",1,INDEX(Cambi!$D:$D,MATCH($T142&amp;"|"&amp;$U142,Cambi!$C:$C,0))))</f>
        <v>495.575221238938</v>
      </c>
      <c r="Y142" s="12" t="s">
        <v>109</v>
      </c>
      <c r="Z142" s="12" t="s">
        <v>109</v>
      </c>
      <c r="AA142" s="12" t="s">
        <v>851</v>
      </c>
      <c r="AB142" s="16" t="s">
        <v>110</v>
      </c>
      <c r="AC142" s="16" t="s">
        <v>836</v>
      </c>
      <c r="AD142" s="12" t="s">
        <v>112</v>
      </c>
      <c r="AE142" s="12" t="s">
        <v>852</v>
      </c>
      <c r="AF142" s="12" t="s">
        <v>866</v>
      </c>
      <c r="AG142" s="12" t="s">
        <v>284</v>
      </c>
      <c r="AH142" s="12" t="s">
        <v>838</v>
      </c>
      <c r="AI142" s="12" t="s">
        <v>117</v>
      </c>
      <c r="AJ142" s="12" t="s">
        <v>859</v>
      </c>
      <c r="AK142" s="12" t="s">
        <v>4</v>
      </c>
    </row>
    <row r="143" customFormat="false" ht="15" hidden="false" customHeight="false" outlineLevel="0" collapsed="false">
      <c r="A143" s="11" t="n">
        <v>142</v>
      </c>
      <c r="B143" s="12" t="s">
        <v>844</v>
      </c>
      <c r="C143" s="12" t="s">
        <v>757</v>
      </c>
      <c r="D143" s="12" t="s">
        <v>758</v>
      </c>
      <c r="E143" s="12" t="s">
        <v>759</v>
      </c>
      <c r="F143" s="12" t="s">
        <v>845</v>
      </c>
      <c r="G143" s="12" t="s">
        <v>830</v>
      </c>
      <c r="H143" s="12" t="s">
        <v>846</v>
      </c>
      <c r="I143" s="12" t="s">
        <v>847</v>
      </c>
      <c r="J143" s="13" t="s">
        <v>848</v>
      </c>
      <c r="K143" s="12"/>
      <c r="L143" s="12" t="s">
        <v>867</v>
      </c>
      <c r="M143" s="12" t="s">
        <v>868</v>
      </c>
      <c r="N143" s="12" t="s">
        <v>352</v>
      </c>
      <c r="O143" s="12" t="s">
        <v>102</v>
      </c>
      <c r="P143" s="12" t="s">
        <v>103</v>
      </c>
      <c r="Q143" s="12" t="s">
        <v>104</v>
      </c>
      <c r="R143" s="14" t="n">
        <v>612.75</v>
      </c>
      <c r="S143" s="14" t="s">
        <v>105</v>
      </c>
      <c r="T143" s="14" t="s">
        <v>653</v>
      </c>
      <c r="U143" s="14" t="n">
        <v>2026</v>
      </c>
      <c r="V143" s="12" t="s">
        <v>198</v>
      </c>
      <c r="W143" s="14"/>
      <c r="X143" s="15" t="n">
        <f aca="false">IF(OR($S143="%",$R143=""),"",$R143*INDEX(Cambi!$J$2:$J$5,MATCH($S143,Cambi!$I$2:$I$5,0))/IF($T143="EUR",1,INDEX(Cambi!$D:$D,MATCH($T143&amp;"|"&amp;$U143,Cambi!$C:$C,0))))</f>
        <v>542.256637168142</v>
      </c>
      <c r="Y143" s="12" t="s">
        <v>109</v>
      </c>
      <c r="Z143" s="12" t="s">
        <v>109</v>
      </c>
      <c r="AA143" s="12" t="s">
        <v>851</v>
      </c>
      <c r="AB143" s="16" t="s">
        <v>110</v>
      </c>
      <c r="AC143" s="16" t="s">
        <v>836</v>
      </c>
      <c r="AD143" s="12" t="s">
        <v>112</v>
      </c>
      <c r="AE143" s="12" t="s">
        <v>852</v>
      </c>
      <c r="AF143" s="12" t="s">
        <v>869</v>
      </c>
      <c r="AG143" s="12" t="s">
        <v>284</v>
      </c>
      <c r="AH143" s="12" t="s">
        <v>838</v>
      </c>
      <c r="AI143" s="12" t="s">
        <v>117</v>
      </c>
      <c r="AJ143" s="12" t="s">
        <v>859</v>
      </c>
      <c r="AK143" s="12" t="s">
        <v>4</v>
      </c>
    </row>
    <row r="144" customFormat="false" ht="15" hidden="false" customHeight="false" outlineLevel="0" collapsed="false">
      <c r="A144" s="11" t="n">
        <v>143</v>
      </c>
      <c r="B144" s="12" t="s">
        <v>844</v>
      </c>
      <c r="C144" s="12" t="s">
        <v>757</v>
      </c>
      <c r="D144" s="12" t="s">
        <v>758</v>
      </c>
      <c r="E144" s="12" t="s">
        <v>759</v>
      </c>
      <c r="F144" s="12" t="s">
        <v>845</v>
      </c>
      <c r="G144" s="12" t="s">
        <v>830</v>
      </c>
      <c r="H144" s="12" t="s">
        <v>846</v>
      </c>
      <c r="I144" s="12" t="s">
        <v>847</v>
      </c>
      <c r="J144" s="13" t="s">
        <v>848</v>
      </c>
      <c r="K144" s="12"/>
      <c r="L144" s="12" t="s">
        <v>870</v>
      </c>
      <c r="M144" s="12" t="s">
        <v>841</v>
      </c>
      <c r="N144" s="12" t="s">
        <v>352</v>
      </c>
      <c r="O144" s="12" t="s">
        <v>102</v>
      </c>
      <c r="P144" s="12" t="s">
        <v>103</v>
      </c>
      <c r="Q144" s="12" t="s">
        <v>104</v>
      </c>
      <c r="R144" s="14" t="n">
        <v>961.26</v>
      </c>
      <c r="S144" s="14" t="s">
        <v>105</v>
      </c>
      <c r="T144" s="14" t="s">
        <v>653</v>
      </c>
      <c r="U144" s="14" t="n">
        <v>2031</v>
      </c>
      <c r="V144" s="12" t="s">
        <v>107</v>
      </c>
      <c r="W144" s="14" t="s">
        <v>871</v>
      </c>
      <c r="X144" s="15" t="n">
        <f aca="false">IF(OR($S144="%",$R144=""),"",$R144*INDEX(Cambi!$J$2:$J$5,MATCH($S144,Cambi!$I$2:$I$5,0))/IF($T144="EUR",1,INDEX(Cambi!$D:$D,MATCH($T144&amp;"|"&amp;$U144,Cambi!$C:$C,0))))</f>
        <v>850.672566371682</v>
      </c>
      <c r="Y144" s="12" t="s">
        <v>109</v>
      </c>
      <c r="Z144" s="12" t="s">
        <v>109</v>
      </c>
      <c r="AA144" s="12" t="s">
        <v>851</v>
      </c>
      <c r="AB144" s="16" t="s">
        <v>110</v>
      </c>
      <c r="AC144" s="16" t="s">
        <v>836</v>
      </c>
      <c r="AD144" s="12" t="s">
        <v>112</v>
      </c>
      <c r="AE144" s="12" t="s">
        <v>852</v>
      </c>
      <c r="AF144" s="12" t="s">
        <v>872</v>
      </c>
      <c r="AG144" s="12" t="s">
        <v>284</v>
      </c>
      <c r="AH144" s="12" t="s">
        <v>838</v>
      </c>
      <c r="AI144" s="12" t="s">
        <v>117</v>
      </c>
      <c r="AJ144" s="12" t="s">
        <v>266</v>
      </c>
      <c r="AK144" s="12" t="s">
        <v>4</v>
      </c>
    </row>
    <row r="145" customFormat="false" ht="15" hidden="false" customHeight="false" outlineLevel="0" collapsed="false">
      <c r="A145" s="11" t="n">
        <v>144</v>
      </c>
      <c r="B145" s="12" t="s">
        <v>873</v>
      </c>
      <c r="C145" s="12" t="s">
        <v>757</v>
      </c>
      <c r="D145" s="12" t="s">
        <v>758</v>
      </c>
      <c r="E145" s="12" t="s">
        <v>759</v>
      </c>
      <c r="F145" s="12" t="s">
        <v>874</v>
      </c>
      <c r="G145" s="12" t="s">
        <v>771</v>
      </c>
      <c r="H145" s="12" t="s">
        <v>875</v>
      </c>
      <c r="I145" s="12" t="s">
        <v>181</v>
      </c>
      <c r="J145" s="13" t="s">
        <v>876</v>
      </c>
      <c r="K145" s="12"/>
      <c r="L145" s="12" t="s">
        <v>877</v>
      </c>
      <c r="M145" s="12" t="s">
        <v>878</v>
      </c>
      <c r="N145" s="12" t="s">
        <v>101</v>
      </c>
      <c r="O145" s="12" t="s">
        <v>102</v>
      </c>
      <c r="P145" s="12" t="s">
        <v>103</v>
      </c>
      <c r="Q145" s="12" t="s">
        <v>104</v>
      </c>
      <c r="R145" s="14" t="n">
        <v>0.5</v>
      </c>
      <c r="S145" s="14" t="s">
        <v>105</v>
      </c>
      <c r="T145" s="14" t="s">
        <v>106</v>
      </c>
      <c r="U145" s="14" t="n">
        <v>2024</v>
      </c>
      <c r="V145" s="12" t="s">
        <v>157</v>
      </c>
      <c r="W145" s="14"/>
      <c r="X145" s="15" t="n">
        <f aca="false">IF(OR($S145="%",$R145=""),"",$R145*INDEX(Cambi!$J$2:$J$5,MATCH($S145,Cambi!$I$2:$I$5,0))/IF($T145="EUR",1,INDEX(Cambi!$D:$D,MATCH($T145&amp;"|"&amp;$U145,Cambi!$C:$C,0))))</f>
        <v>0.5</v>
      </c>
      <c r="Y145" s="12" t="s">
        <v>108</v>
      </c>
      <c r="Z145" s="12" t="s">
        <v>117</v>
      </c>
      <c r="AA145" s="12" t="s">
        <v>109</v>
      </c>
      <c r="AB145" s="16" t="s">
        <v>394</v>
      </c>
      <c r="AC145" s="16" t="s">
        <v>879</v>
      </c>
      <c r="AD145" s="12" t="s">
        <v>112</v>
      </c>
      <c r="AE145" s="12" t="s">
        <v>880</v>
      </c>
      <c r="AF145" s="12" t="s">
        <v>881</v>
      </c>
      <c r="AG145" s="12" t="s">
        <v>115</v>
      </c>
      <c r="AH145" s="12" t="s">
        <v>116</v>
      </c>
      <c r="AI145" s="12" t="s">
        <v>117</v>
      </c>
      <c r="AJ145" s="12" t="s">
        <v>882</v>
      </c>
      <c r="AK145" s="12" t="s">
        <v>4</v>
      </c>
    </row>
    <row r="146" customFormat="false" ht="15" hidden="false" customHeight="false" outlineLevel="0" collapsed="false">
      <c r="A146" s="11" t="n">
        <v>145</v>
      </c>
      <c r="B146" s="12" t="s">
        <v>873</v>
      </c>
      <c r="C146" s="12" t="s">
        <v>757</v>
      </c>
      <c r="D146" s="12" t="s">
        <v>758</v>
      </c>
      <c r="E146" s="12" t="s">
        <v>759</v>
      </c>
      <c r="F146" s="12" t="s">
        <v>874</v>
      </c>
      <c r="G146" s="12" t="s">
        <v>771</v>
      </c>
      <c r="H146" s="12" t="s">
        <v>875</v>
      </c>
      <c r="I146" s="12" t="s">
        <v>181</v>
      </c>
      <c r="J146" s="13" t="s">
        <v>876</v>
      </c>
      <c r="K146" s="12"/>
      <c r="L146" s="12" t="s">
        <v>877</v>
      </c>
      <c r="M146" s="12" t="s">
        <v>883</v>
      </c>
      <c r="N146" s="12" t="s">
        <v>101</v>
      </c>
      <c r="O146" s="12" t="s">
        <v>102</v>
      </c>
      <c r="P146" s="12" t="s">
        <v>103</v>
      </c>
      <c r="Q146" s="12" t="s">
        <v>104</v>
      </c>
      <c r="R146" s="14" t="n">
        <v>0.6</v>
      </c>
      <c r="S146" s="14" t="s">
        <v>105</v>
      </c>
      <c r="T146" s="14" t="s">
        <v>106</v>
      </c>
      <c r="U146" s="14" t="n">
        <v>2025</v>
      </c>
      <c r="V146" s="12" t="s">
        <v>198</v>
      </c>
      <c r="W146" s="14"/>
      <c r="X146" s="15" t="n">
        <f aca="false">IF(OR($S146="%",$R146=""),"",$R146*INDEX(Cambi!$J$2:$J$5,MATCH($S146,Cambi!$I$2:$I$5,0))/IF($T146="EUR",1,INDEX(Cambi!$D:$D,MATCH($T146&amp;"|"&amp;$U146,Cambi!$C:$C,0))))</f>
        <v>0.6</v>
      </c>
      <c r="Y146" s="12" t="s">
        <v>108</v>
      </c>
      <c r="Z146" s="12" t="s">
        <v>117</v>
      </c>
      <c r="AA146" s="12" t="s">
        <v>109</v>
      </c>
      <c r="AB146" s="16" t="s">
        <v>394</v>
      </c>
      <c r="AC146" s="16" t="s">
        <v>879</v>
      </c>
      <c r="AD146" s="12" t="s">
        <v>112</v>
      </c>
      <c r="AE146" s="12" t="s">
        <v>880</v>
      </c>
      <c r="AF146" s="12" t="s">
        <v>884</v>
      </c>
      <c r="AG146" s="12" t="s">
        <v>115</v>
      </c>
      <c r="AH146" s="12" t="s">
        <v>116</v>
      </c>
      <c r="AI146" s="12" t="s">
        <v>117</v>
      </c>
      <c r="AJ146" s="12" t="s">
        <v>885</v>
      </c>
      <c r="AK146" s="12" t="s">
        <v>4</v>
      </c>
    </row>
    <row r="147" customFormat="false" ht="15" hidden="false" customHeight="false" outlineLevel="0" collapsed="false">
      <c r="A147" s="11" t="n">
        <v>146</v>
      </c>
      <c r="B147" s="12" t="s">
        <v>886</v>
      </c>
      <c r="C147" s="12" t="s">
        <v>757</v>
      </c>
      <c r="D147" s="12" t="s">
        <v>758</v>
      </c>
      <c r="E147" s="12" t="s">
        <v>759</v>
      </c>
      <c r="F147" s="12" t="s">
        <v>887</v>
      </c>
      <c r="G147" s="12" t="s">
        <v>771</v>
      </c>
      <c r="H147" s="12" t="s">
        <v>888</v>
      </c>
      <c r="I147" s="12" t="s">
        <v>889</v>
      </c>
      <c r="J147" s="13" t="s">
        <v>890</v>
      </c>
      <c r="K147" s="12" t="s">
        <v>891</v>
      </c>
      <c r="L147" s="12" t="s">
        <v>892</v>
      </c>
      <c r="M147" s="12" t="s">
        <v>893</v>
      </c>
      <c r="N147" s="12" t="s">
        <v>195</v>
      </c>
      <c r="O147" s="12" t="s">
        <v>196</v>
      </c>
      <c r="P147" s="12" t="s">
        <v>103</v>
      </c>
      <c r="Q147" s="12" t="s">
        <v>104</v>
      </c>
      <c r="R147" s="14" t="n">
        <v>20</v>
      </c>
      <c r="S147" s="14" t="s">
        <v>197</v>
      </c>
      <c r="T147" s="14"/>
      <c r="U147" s="14" t="n">
        <v>2021</v>
      </c>
      <c r="V147" s="12" t="s">
        <v>157</v>
      </c>
      <c r="W147" s="14"/>
      <c r="X147" s="15" t="str">
        <f aca="false">IF(OR($S147="%",$R147=""),"",$R147*INDEX(Cambi!$J$2:$J$5,MATCH($S147,Cambi!$I$2:$I$5,0))/IF($T147="EUR",1,INDEX(Cambi!$D:$D,MATCH($T147&amp;"|"&amp;$U147,Cambi!$C:$C,0))))</f>
        <v/>
      </c>
      <c r="Y147" s="12" t="s">
        <v>239</v>
      </c>
      <c r="Z147" s="12" t="s">
        <v>109</v>
      </c>
      <c r="AA147" s="12" t="s">
        <v>109</v>
      </c>
      <c r="AB147" s="12" t="s">
        <v>394</v>
      </c>
      <c r="AC147" s="12" t="s">
        <v>395</v>
      </c>
      <c r="AD147" s="12" t="s">
        <v>281</v>
      </c>
      <c r="AE147" s="12" t="s">
        <v>894</v>
      </c>
      <c r="AF147" s="12" t="s">
        <v>895</v>
      </c>
      <c r="AG147" s="12" t="s">
        <v>498</v>
      </c>
      <c r="AH147" s="12" t="s">
        <v>499</v>
      </c>
      <c r="AI147" s="12" t="s">
        <v>285</v>
      </c>
      <c r="AJ147" s="12" t="s">
        <v>896</v>
      </c>
      <c r="AK147" s="12" t="s">
        <v>4</v>
      </c>
    </row>
    <row r="148" customFormat="false" ht="15" hidden="false" customHeight="false" outlineLevel="0" collapsed="false">
      <c r="A148" s="11" t="n">
        <v>147</v>
      </c>
      <c r="B148" s="12" t="s">
        <v>897</v>
      </c>
      <c r="C148" s="12" t="s">
        <v>757</v>
      </c>
      <c r="D148" s="12" t="s">
        <v>758</v>
      </c>
      <c r="E148" s="12" t="s">
        <v>759</v>
      </c>
      <c r="F148" s="12" t="s">
        <v>898</v>
      </c>
      <c r="G148" s="12" t="s">
        <v>771</v>
      </c>
      <c r="H148" s="12" t="s">
        <v>899</v>
      </c>
      <c r="I148" s="12" t="s">
        <v>808</v>
      </c>
      <c r="J148" s="13" t="s">
        <v>900</v>
      </c>
      <c r="K148" s="12"/>
      <c r="L148" s="12" t="s">
        <v>901</v>
      </c>
      <c r="M148" s="12" t="s">
        <v>902</v>
      </c>
      <c r="N148" s="12" t="s">
        <v>101</v>
      </c>
      <c r="O148" s="12" t="s">
        <v>102</v>
      </c>
      <c r="P148" s="12" t="s">
        <v>103</v>
      </c>
      <c r="Q148" s="12" t="s">
        <v>104</v>
      </c>
      <c r="R148" s="14" t="n">
        <v>7912</v>
      </c>
      <c r="S148" s="14" t="s">
        <v>392</v>
      </c>
      <c r="T148" s="14" t="s">
        <v>106</v>
      </c>
      <c r="U148" s="14" t="n">
        <v>2024</v>
      </c>
      <c r="V148" s="12" t="s">
        <v>198</v>
      </c>
      <c r="W148" s="14"/>
      <c r="X148" s="15" t="n">
        <f aca="false">IF(OR($S148="%",$R148=""),"",$R148*INDEX(Cambi!$J$2:$J$5,MATCH($S148,Cambi!$I$2:$I$5,0))/IF($T148="EUR",1,INDEX(Cambi!$D:$D,MATCH($T148&amp;"|"&amp;$U148,Cambi!$C:$C,0))))</f>
        <v>7.912</v>
      </c>
      <c r="Y148" s="12" t="s">
        <v>108</v>
      </c>
      <c r="Z148" s="12" t="s">
        <v>117</v>
      </c>
      <c r="AA148" s="12" t="s">
        <v>109</v>
      </c>
      <c r="AB148" s="16" t="s">
        <v>394</v>
      </c>
      <c r="AC148" s="16" t="s">
        <v>879</v>
      </c>
      <c r="AD148" s="12" t="s">
        <v>112</v>
      </c>
      <c r="AE148" s="12" t="s">
        <v>903</v>
      </c>
      <c r="AF148" s="12" t="s">
        <v>904</v>
      </c>
      <c r="AG148" s="12" t="s">
        <v>115</v>
      </c>
      <c r="AH148" s="12" t="s">
        <v>116</v>
      </c>
      <c r="AI148" s="12" t="s">
        <v>117</v>
      </c>
      <c r="AJ148" s="12" t="s">
        <v>905</v>
      </c>
      <c r="AK148" s="12" t="s">
        <v>4</v>
      </c>
    </row>
    <row r="149" customFormat="false" ht="15" hidden="false" customHeight="false" outlineLevel="0" collapsed="false">
      <c r="A149" s="11" t="n">
        <v>148</v>
      </c>
      <c r="B149" s="12" t="s">
        <v>897</v>
      </c>
      <c r="C149" s="12" t="s">
        <v>757</v>
      </c>
      <c r="D149" s="12" t="s">
        <v>758</v>
      </c>
      <c r="E149" s="12" t="s">
        <v>759</v>
      </c>
      <c r="F149" s="12" t="s">
        <v>898</v>
      </c>
      <c r="G149" s="12" t="s">
        <v>771</v>
      </c>
      <c r="H149" s="12" t="s">
        <v>899</v>
      </c>
      <c r="I149" s="12" t="s">
        <v>808</v>
      </c>
      <c r="J149" s="13" t="s">
        <v>900</v>
      </c>
      <c r="K149" s="12"/>
      <c r="L149" s="12" t="s">
        <v>901</v>
      </c>
      <c r="M149" s="12" t="s">
        <v>906</v>
      </c>
      <c r="N149" s="12" t="s">
        <v>101</v>
      </c>
      <c r="O149" s="12" t="s">
        <v>102</v>
      </c>
      <c r="P149" s="12" t="s">
        <v>103</v>
      </c>
      <c r="Q149" s="12" t="s">
        <v>104</v>
      </c>
      <c r="R149" s="14" t="n">
        <v>32003</v>
      </c>
      <c r="S149" s="14" t="s">
        <v>392</v>
      </c>
      <c r="T149" s="14" t="s">
        <v>106</v>
      </c>
      <c r="U149" s="14" t="n">
        <v>2025</v>
      </c>
      <c r="V149" s="12" t="s">
        <v>107</v>
      </c>
      <c r="W149" s="14"/>
      <c r="X149" s="15" t="n">
        <f aca="false">IF(OR($S149="%",$R149=""),"",$R149*INDEX(Cambi!$J$2:$J$5,MATCH($S149,Cambi!$I$2:$I$5,0))/IF($T149="EUR",1,INDEX(Cambi!$D:$D,MATCH($T149&amp;"|"&amp;$U149,Cambi!$C:$C,0))))</f>
        <v>32.003</v>
      </c>
      <c r="Y149" s="12" t="s">
        <v>108</v>
      </c>
      <c r="Z149" s="12" t="s">
        <v>117</v>
      </c>
      <c r="AA149" s="12" t="s">
        <v>109</v>
      </c>
      <c r="AB149" s="16" t="s">
        <v>394</v>
      </c>
      <c r="AC149" s="16" t="s">
        <v>879</v>
      </c>
      <c r="AD149" s="12" t="s">
        <v>112</v>
      </c>
      <c r="AE149" s="12" t="s">
        <v>903</v>
      </c>
      <c r="AF149" s="12" t="s">
        <v>904</v>
      </c>
      <c r="AG149" s="12" t="s">
        <v>115</v>
      </c>
      <c r="AH149" s="12" t="s">
        <v>116</v>
      </c>
      <c r="AI149" s="12" t="s">
        <v>117</v>
      </c>
      <c r="AJ149" s="12" t="s">
        <v>907</v>
      </c>
      <c r="AK149" s="12" t="s">
        <v>4</v>
      </c>
    </row>
    <row r="150" customFormat="false" ht="15" hidden="false" customHeight="false" outlineLevel="0" collapsed="false">
      <c r="A150" s="11" t="n">
        <v>149</v>
      </c>
      <c r="B150" s="12" t="s">
        <v>897</v>
      </c>
      <c r="C150" s="12" t="s">
        <v>757</v>
      </c>
      <c r="D150" s="12" t="s">
        <v>758</v>
      </c>
      <c r="E150" s="12" t="s">
        <v>759</v>
      </c>
      <c r="F150" s="12" t="s">
        <v>898</v>
      </c>
      <c r="G150" s="12" t="s">
        <v>771</v>
      </c>
      <c r="H150" s="12" t="s">
        <v>899</v>
      </c>
      <c r="I150" s="12" t="s">
        <v>808</v>
      </c>
      <c r="J150" s="13" t="s">
        <v>900</v>
      </c>
      <c r="K150" s="12"/>
      <c r="L150" s="12" t="s">
        <v>901</v>
      </c>
      <c r="M150" s="12" t="s">
        <v>908</v>
      </c>
      <c r="N150" s="12" t="s">
        <v>101</v>
      </c>
      <c r="O150" s="12" t="s">
        <v>102</v>
      </c>
      <c r="P150" s="12" t="s">
        <v>103</v>
      </c>
      <c r="Q150" s="12" t="s">
        <v>104</v>
      </c>
      <c r="R150" s="14" t="n">
        <v>36111</v>
      </c>
      <c r="S150" s="14" t="s">
        <v>392</v>
      </c>
      <c r="T150" s="14" t="s">
        <v>106</v>
      </c>
      <c r="U150" s="14" t="n">
        <v>2026</v>
      </c>
      <c r="V150" s="12" t="s">
        <v>107</v>
      </c>
      <c r="W150" s="14"/>
      <c r="X150" s="15" t="n">
        <f aca="false">IF(OR($S150="%",$R150=""),"",$R150*INDEX(Cambi!$J$2:$J$5,MATCH($S150,Cambi!$I$2:$I$5,0))/IF($T150="EUR",1,INDEX(Cambi!$D:$D,MATCH($T150&amp;"|"&amp;$U150,Cambi!$C:$C,0))))</f>
        <v>36.111</v>
      </c>
      <c r="Y150" s="12" t="s">
        <v>108</v>
      </c>
      <c r="Z150" s="12" t="s">
        <v>117</v>
      </c>
      <c r="AA150" s="12" t="s">
        <v>109</v>
      </c>
      <c r="AB150" s="16" t="s">
        <v>394</v>
      </c>
      <c r="AC150" s="16" t="s">
        <v>879</v>
      </c>
      <c r="AD150" s="12" t="s">
        <v>112</v>
      </c>
      <c r="AE150" s="12" t="s">
        <v>903</v>
      </c>
      <c r="AF150" s="12" t="s">
        <v>904</v>
      </c>
      <c r="AG150" s="12" t="s">
        <v>115</v>
      </c>
      <c r="AH150" s="12" t="s">
        <v>116</v>
      </c>
      <c r="AI150" s="12" t="s">
        <v>117</v>
      </c>
      <c r="AJ150" s="12" t="s">
        <v>907</v>
      </c>
      <c r="AK150" s="12" t="s">
        <v>4</v>
      </c>
    </row>
    <row r="151" customFormat="false" ht="15" hidden="false" customHeight="false" outlineLevel="0" collapsed="false">
      <c r="A151" s="11" t="n">
        <v>150</v>
      </c>
      <c r="B151" s="12" t="s">
        <v>897</v>
      </c>
      <c r="C151" s="12" t="s">
        <v>757</v>
      </c>
      <c r="D151" s="12" t="s">
        <v>758</v>
      </c>
      <c r="E151" s="12" t="s">
        <v>759</v>
      </c>
      <c r="F151" s="12" t="s">
        <v>898</v>
      </c>
      <c r="G151" s="12" t="s">
        <v>771</v>
      </c>
      <c r="H151" s="12" t="s">
        <v>899</v>
      </c>
      <c r="I151" s="12" t="s">
        <v>808</v>
      </c>
      <c r="J151" s="13" t="s">
        <v>900</v>
      </c>
      <c r="K151" s="12"/>
      <c r="L151" s="12" t="s">
        <v>901</v>
      </c>
      <c r="M151" s="12" t="s">
        <v>909</v>
      </c>
      <c r="N151" s="12" t="s">
        <v>101</v>
      </c>
      <c r="O151" s="12" t="s">
        <v>102</v>
      </c>
      <c r="P151" s="12" t="s">
        <v>103</v>
      </c>
      <c r="Q151" s="12" t="s">
        <v>104</v>
      </c>
      <c r="R151" s="14" t="n">
        <v>41836</v>
      </c>
      <c r="S151" s="14" t="s">
        <v>392</v>
      </c>
      <c r="T151" s="14" t="s">
        <v>106</v>
      </c>
      <c r="U151" s="14" t="n">
        <v>2027</v>
      </c>
      <c r="V151" s="12" t="s">
        <v>107</v>
      </c>
      <c r="W151" s="14"/>
      <c r="X151" s="15" t="n">
        <f aca="false">IF(OR($S151="%",$R151=""),"",$R151*INDEX(Cambi!$J$2:$J$5,MATCH($S151,Cambi!$I$2:$I$5,0))/IF($T151="EUR",1,INDEX(Cambi!$D:$D,MATCH($T151&amp;"|"&amp;$U151,Cambi!$C:$C,0))))</f>
        <v>41.836</v>
      </c>
      <c r="Y151" s="12" t="s">
        <v>108</v>
      </c>
      <c r="Z151" s="12" t="s">
        <v>117</v>
      </c>
      <c r="AA151" s="12" t="s">
        <v>109</v>
      </c>
      <c r="AB151" s="16" t="s">
        <v>394</v>
      </c>
      <c r="AC151" s="16" t="s">
        <v>879</v>
      </c>
      <c r="AD151" s="12" t="s">
        <v>112</v>
      </c>
      <c r="AE151" s="12" t="s">
        <v>903</v>
      </c>
      <c r="AF151" s="12" t="s">
        <v>904</v>
      </c>
      <c r="AG151" s="12" t="s">
        <v>115</v>
      </c>
      <c r="AH151" s="12" t="s">
        <v>116</v>
      </c>
      <c r="AI151" s="12" t="s">
        <v>117</v>
      </c>
      <c r="AJ151" s="12" t="s">
        <v>907</v>
      </c>
      <c r="AK151" s="12" t="s">
        <v>4</v>
      </c>
    </row>
    <row r="152" customFormat="false" ht="15" hidden="false" customHeight="false" outlineLevel="0" collapsed="false">
      <c r="A152" s="11" t="n">
        <v>151</v>
      </c>
      <c r="B152" s="12" t="s">
        <v>897</v>
      </c>
      <c r="C152" s="12" t="s">
        <v>757</v>
      </c>
      <c r="D152" s="12" t="s">
        <v>758</v>
      </c>
      <c r="E152" s="12" t="s">
        <v>759</v>
      </c>
      <c r="F152" s="12" t="s">
        <v>898</v>
      </c>
      <c r="G152" s="12" t="s">
        <v>771</v>
      </c>
      <c r="H152" s="12" t="s">
        <v>899</v>
      </c>
      <c r="I152" s="12" t="s">
        <v>808</v>
      </c>
      <c r="J152" s="13" t="s">
        <v>900</v>
      </c>
      <c r="K152" s="12"/>
      <c r="L152" s="12" t="s">
        <v>901</v>
      </c>
      <c r="M152" s="12" t="s">
        <v>910</v>
      </c>
      <c r="N152" s="12" t="s">
        <v>101</v>
      </c>
      <c r="O152" s="12" t="s">
        <v>102</v>
      </c>
      <c r="P152" s="12" t="s">
        <v>103</v>
      </c>
      <c r="Q152" s="12" t="s">
        <v>104</v>
      </c>
      <c r="R152" s="14" t="n">
        <v>42496</v>
      </c>
      <c r="S152" s="14" t="s">
        <v>392</v>
      </c>
      <c r="T152" s="14" t="s">
        <v>106</v>
      </c>
      <c r="U152" s="14" t="n">
        <v>2028</v>
      </c>
      <c r="V152" s="12" t="s">
        <v>107</v>
      </c>
      <c r="W152" s="14"/>
      <c r="X152" s="15" t="n">
        <f aca="false">IF(OR($S152="%",$R152=""),"",$R152*INDEX(Cambi!$J$2:$J$5,MATCH($S152,Cambi!$I$2:$I$5,0))/IF($T152="EUR",1,INDEX(Cambi!$D:$D,MATCH($T152&amp;"|"&amp;$U152,Cambi!$C:$C,0))))</f>
        <v>42.496</v>
      </c>
      <c r="Y152" s="12" t="s">
        <v>108</v>
      </c>
      <c r="Z152" s="12" t="s">
        <v>117</v>
      </c>
      <c r="AA152" s="12" t="s">
        <v>109</v>
      </c>
      <c r="AB152" s="16" t="s">
        <v>394</v>
      </c>
      <c r="AC152" s="16" t="s">
        <v>879</v>
      </c>
      <c r="AD152" s="12" t="s">
        <v>112</v>
      </c>
      <c r="AE152" s="12" t="s">
        <v>903</v>
      </c>
      <c r="AF152" s="12" t="s">
        <v>904</v>
      </c>
      <c r="AG152" s="12" t="s">
        <v>115</v>
      </c>
      <c r="AH152" s="12" t="s">
        <v>116</v>
      </c>
      <c r="AI152" s="12" t="s">
        <v>117</v>
      </c>
      <c r="AJ152" s="12" t="s">
        <v>911</v>
      </c>
      <c r="AK152" s="12" t="s">
        <v>4</v>
      </c>
    </row>
    <row r="153" customFormat="false" ht="15" hidden="false" customHeight="false" outlineLevel="0" collapsed="false">
      <c r="A153" s="11" t="n">
        <v>152</v>
      </c>
      <c r="B153" s="12" t="s">
        <v>912</v>
      </c>
      <c r="C153" s="12" t="s">
        <v>757</v>
      </c>
      <c r="D153" s="12" t="s">
        <v>758</v>
      </c>
      <c r="E153" s="12" t="s">
        <v>759</v>
      </c>
      <c r="F153" s="12" t="s">
        <v>913</v>
      </c>
      <c r="G153" s="12" t="s">
        <v>771</v>
      </c>
      <c r="H153" s="12" t="s">
        <v>914</v>
      </c>
      <c r="I153" s="12" t="s">
        <v>915</v>
      </c>
      <c r="J153" s="13" t="s">
        <v>916</v>
      </c>
      <c r="K153" s="12"/>
      <c r="L153" s="12" t="s">
        <v>901</v>
      </c>
      <c r="M153" s="12" t="s">
        <v>917</v>
      </c>
      <c r="N153" s="12" t="s">
        <v>101</v>
      </c>
      <c r="O153" s="12" t="s">
        <v>102</v>
      </c>
      <c r="P153" s="12" t="s">
        <v>103</v>
      </c>
      <c r="Q153" s="12" t="s">
        <v>104</v>
      </c>
      <c r="R153" s="14" t="n">
        <v>1473</v>
      </c>
      <c r="S153" s="14" t="s">
        <v>392</v>
      </c>
      <c r="T153" s="14" t="s">
        <v>106</v>
      </c>
      <c r="U153" s="14" t="n">
        <v>2025</v>
      </c>
      <c r="V153" s="12" t="s">
        <v>198</v>
      </c>
      <c r="W153" s="14"/>
      <c r="X153" s="15" t="n">
        <f aca="false">IF(OR($S153="%",$R153=""),"",$R153*INDEX(Cambi!$J$2:$J$5,MATCH($S153,Cambi!$I$2:$I$5,0))/IF($T153="EUR",1,INDEX(Cambi!$D:$D,MATCH($T153&amp;"|"&amp;$U153,Cambi!$C:$C,0))))</f>
        <v>1.473</v>
      </c>
      <c r="Y153" s="12" t="s">
        <v>108</v>
      </c>
      <c r="Z153" s="12" t="s">
        <v>117</v>
      </c>
      <c r="AA153" s="12" t="s">
        <v>109</v>
      </c>
      <c r="AB153" s="16" t="s">
        <v>394</v>
      </c>
      <c r="AC153" s="16" t="s">
        <v>879</v>
      </c>
      <c r="AD153" s="12" t="s">
        <v>112</v>
      </c>
      <c r="AE153" s="12" t="s">
        <v>918</v>
      </c>
      <c r="AF153" s="12" t="s">
        <v>919</v>
      </c>
      <c r="AG153" s="12" t="s">
        <v>115</v>
      </c>
      <c r="AH153" s="12" t="s">
        <v>116</v>
      </c>
      <c r="AI153" s="12" t="s">
        <v>117</v>
      </c>
      <c r="AJ153" s="12" t="s">
        <v>920</v>
      </c>
      <c r="AK153" s="12" t="s">
        <v>4</v>
      </c>
    </row>
    <row r="154" customFormat="false" ht="15" hidden="false" customHeight="false" outlineLevel="0" collapsed="false">
      <c r="A154" s="11" t="n">
        <v>153</v>
      </c>
      <c r="B154" s="12" t="s">
        <v>912</v>
      </c>
      <c r="C154" s="12" t="s">
        <v>757</v>
      </c>
      <c r="D154" s="12" t="s">
        <v>758</v>
      </c>
      <c r="E154" s="12" t="s">
        <v>759</v>
      </c>
      <c r="F154" s="12" t="s">
        <v>913</v>
      </c>
      <c r="G154" s="12" t="s">
        <v>771</v>
      </c>
      <c r="H154" s="12" t="s">
        <v>914</v>
      </c>
      <c r="I154" s="12" t="s">
        <v>915</v>
      </c>
      <c r="J154" s="13" t="s">
        <v>916</v>
      </c>
      <c r="K154" s="12"/>
      <c r="L154" s="12" t="s">
        <v>901</v>
      </c>
      <c r="M154" s="12" t="s">
        <v>921</v>
      </c>
      <c r="N154" s="12" t="s">
        <v>101</v>
      </c>
      <c r="O154" s="12" t="s">
        <v>102</v>
      </c>
      <c r="P154" s="12" t="s">
        <v>103</v>
      </c>
      <c r="Q154" s="12" t="s">
        <v>104</v>
      </c>
      <c r="R154" s="14" t="n">
        <v>28987</v>
      </c>
      <c r="S154" s="14" t="s">
        <v>392</v>
      </c>
      <c r="T154" s="14" t="s">
        <v>106</v>
      </c>
      <c r="U154" s="14" t="n">
        <v>2026</v>
      </c>
      <c r="V154" s="12" t="s">
        <v>107</v>
      </c>
      <c r="W154" s="14"/>
      <c r="X154" s="15" t="n">
        <f aca="false">IF(OR($S154="%",$R154=""),"",$R154*INDEX(Cambi!$J$2:$J$5,MATCH($S154,Cambi!$I$2:$I$5,0))/IF($T154="EUR",1,INDEX(Cambi!$D:$D,MATCH($T154&amp;"|"&amp;$U154,Cambi!$C:$C,0))))</f>
        <v>28.987</v>
      </c>
      <c r="Y154" s="12" t="s">
        <v>108</v>
      </c>
      <c r="Z154" s="12" t="s">
        <v>117</v>
      </c>
      <c r="AA154" s="12" t="s">
        <v>109</v>
      </c>
      <c r="AB154" s="16" t="s">
        <v>394</v>
      </c>
      <c r="AC154" s="16" t="s">
        <v>879</v>
      </c>
      <c r="AD154" s="12" t="s">
        <v>112</v>
      </c>
      <c r="AE154" s="12" t="s">
        <v>918</v>
      </c>
      <c r="AF154" s="12" t="s">
        <v>919</v>
      </c>
      <c r="AG154" s="12" t="s">
        <v>115</v>
      </c>
      <c r="AH154" s="12" t="s">
        <v>116</v>
      </c>
      <c r="AI154" s="12" t="s">
        <v>117</v>
      </c>
      <c r="AJ154" s="12" t="s">
        <v>922</v>
      </c>
      <c r="AK154" s="12" t="s">
        <v>4</v>
      </c>
    </row>
    <row r="155" customFormat="false" ht="15" hidden="false" customHeight="false" outlineLevel="0" collapsed="false">
      <c r="A155" s="11" t="n">
        <v>154</v>
      </c>
      <c r="B155" s="12" t="s">
        <v>912</v>
      </c>
      <c r="C155" s="12" t="s">
        <v>757</v>
      </c>
      <c r="D155" s="12" t="s">
        <v>758</v>
      </c>
      <c r="E155" s="12" t="s">
        <v>759</v>
      </c>
      <c r="F155" s="12" t="s">
        <v>913</v>
      </c>
      <c r="G155" s="12" t="s">
        <v>771</v>
      </c>
      <c r="H155" s="12" t="s">
        <v>914</v>
      </c>
      <c r="I155" s="12" t="s">
        <v>915</v>
      </c>
      <c r="J155" s="13" t="s">
        <v>916</v>
      </c>
      <c r="K155" s="12"/>
      <c r="L155" s="12" t="s">
        <v>901</v>
      </c>
      <c r="M155" s="12" t="s">
        <v>923</v>
      </c>
      <c r="N155" s="12" t="s">
        <v>101</v>
      </c>
      <c r="O155" s="12" t="s">
        <v>102</v>
      </c>
      <c r="P155" s="12" t="s">
        <v>103</v>
      </c>
      <c r="Q155" s="12" t="s">
        <v>104</v>
      </c>
      <c r="R155" s="14" t="n">
        <v>38835</v>
      </c>
      <c r="S155" s="14" t="s">
        <v>392</v>
      </c>
      <c r="T155" s="14" t="s">
        <v>106</v>
      </c>
      <c r="U155" s="14" t="n">
        <v>2027</v>
      </c>
      <c r="V155" s="12" t="s">
        <v>107</v>
      </c>
      <c r="W155" s="14"/>
      <c r="X155" s="15" t="n">
        <f aca="false">IF(OR($S155="%",$R155=""),"",$R155*INDEX(Cambi!$J$2:$J$5,MATCH($S155,Cambi!$I$2:$I$5,0))/IF($T155="EUR",1,INDEX(Cambi!$D:$D,MATCH($T155&amp;"|"&amp;$U155,Cambi!$C:$C,0))))</f>
        <v>38.835</v>
      </c>
      <c r="Y155" s="12" t="s">
        <v>108</v>
      </c>
      <c r="Z155" s="12" t="s">
        <v>117</v>
      </c>
      <c r="AA155" s="12" t="s">
        <v>109</v>
      </c>
      <c r="AB155" s="16" t="s">
        <v>394</v>
      </c>
      <c r="AC155" s="16" t="s">
        <v>879</v>
      </c>
      <c r="AD155" s="12" t="s">
        <v>112</v>
      </c>
      <c r="AE155" s="12" t="s">
        <v>918</v>
      </c>
      <c r="AF155" s="12" t="s">
        <v>919</v>
      </c>
      <c r="AG155" s="12" t="s">
        <v>115</v>
      </c>
      <c r="AH155" s="12" t="s">
        <v>116</v>
      </c>
      <c r="AI155" s="12" t="s">
        <v>117</v>
      </c>
      <c r="AJ155" s="12" t="s">
        <v>922</v>
      </c>
      <c r="AK155" s="12" t="s">
        <v>4</v>
      </c>
    </row>
    <row r="156" customFormat="false" ht="15" hidden="false" customHeight="false" outlineLevel="0" collapsed="false">
      <c r="A156" s="11" t="n">
        <v>155</v>
      </c>
      <c r="B156" s="12" t="s">
        <v>912</v>
      </c>
      <c r="C156" s="12" t="s">
        <v>757</v>
      </c>
      <c r="D156" s="12" t="s">
        <v>758</v>
      </c>
      <c r="E156" s="12" t="s">
        <v>759</v>
      </c>
      <c r="F156" s="12" t="s">
        <v>913</v>
      </c>
      <c r="G156" s="12" t="s">
        <v>771</v>
      </c>
      <c r="H156" s="12" t="s">
        <v>914</v>
      </c>
      <c r="I156" s="12" t="s">
        <v>915</v>
      </c>
      <c r="J156" s="13" t="s">
        <v>916</v>
      </c>
      <c r="K156" s="12"/>
      <c r="L156" s="12" t="s">
        <v>901</v>
      </c>
      <c r="M156" s="12" t="s">
        <v>924</v>
      </c>
      <c r="N156" s="12" t="s">
        <v>101</v>
      </c>
      <c r="O156" s="12" t="s">
        <v>102</v>
      </c>
      <c r="P156" s="12" t="s">
        <v>103</v>
      </c>
      <c r="Q156" s="12" t="s">
        <v>104</v>
      </c>
      <c r="R156" s="14" t="n">
        <v>45474</v>
      </c>
      <c r="S156" s="14" t="s">
        <v>392</v>
      </c>
      <c r="T156" s="14" t="s">
        <v>106</v>
      </c>
      <c r="U156" s="14" t="n">
        <v>2028</v>
      </c>
      <c r="V156" s="12" t="s">
        <v>107</v>
      </c>
      <c r="W156" s="14"/>
      <c r="X156" s="15" t="n">
        <f aca="false">IF(OR($S156="%",$R156=""),"",$R156*INDEX(Cambi!$J$2:$J$5,MATCH($S156,Cambi!$I$2:$I$5,0))/IF($T156="EUR",1,INDEX(Cambi!$D:$D,MATCH($T156&amp;"|"&amp;$U156,Cambi!$C:$C,0))))</f>
        <v>45.474</v>
      </c>
      <c r="Y156" s="12" t="s">
        <v>108</v>
      </c>
      <c r="Z156" s="12" t="s">
        <v>117</v>
      </c>
      <c r="AA156" s="12" t="s">
        <v>109</v>
      </c>
      <c r="AB156" s="16" t="s">
        <v>394</v>
      </c>
      <c r="AC156" s="16" t="s">
        <v>879</v>
      </c>
      <c r="AD156" s="12" t="s">
        <v>112</v>
      </c>
      <c r="AE156" s="12" t="s">
        <v>918</v>
      </c>
      <c r="AF156" s="12" t="s">
        <v>919</v>
      </c>
      <c r="AG156" s="12" t="s">
        <v>115</v>
      </c>
      <c r="AH156" s="12" t="s">
        <v>116</v>
      </c>
      <c r="AI156" s="12" t="s">
        <v>117</v>
      </c>
      <c r="AJ156" s="12" t="s">
        <v>922</v>
      </c>
      <c r="AK156" s="12" t="s">
        <v>4</v>
      </c>
    </row>
    <row r="157" customFormat="false" ht="15" hidden="false" customHeight="false" outlineLevel="0" collapsed="false">
      <c r="A157" s="11" t="n">
        <v>156</v>
      </c>
      <c r="B157" s="12" t="s">
        <v>912</v>
      </c>
      <c r="C157" s="12" t="s">
        <v>757</v>
      </c>
      <c r="D157" s="12" t="s">
        <v>758</v>
      </c>
      <c r="E157" s="12" t="s">
        <v>759</v>
      </c>
      <c r="F157" s="12" t="s">
        <v>913</v>
      </c>
      <c r="G157" s="12" t="s">
        <v>771</v>
      </c>
      <c r="H157" s="12" t="s">
        <v>914</v>
      </c>
      <c r="I157" s="12" t="s">
        <v>915</v>
      </c>
      <c r="J157" s="13" t="s">
        <v>916</v>
      </c>
      <c r="K157" s="12"/>
      <c r="L157" s="12" t="s">
        <v>901</v>
      </c>
      <c r="M157" s="12" t="s">
        <v>925</v>
      </c>
      <c r="N157" s="12" t="s">
        <v>101</v>
      </c>
      <c r="O157" s="12" t="s">
        <v>102</v>
      </c>
      <c r="P157" s="12" t="s">
        <v>103</v>
      </c>
      <c r="Q157" s="12" t="s">
        <v>104</v>
      </c>
      <c r="R157" s="14" t="n">
        <v>49098</v>
      </c>
      <c r="S157" s="14" t="s">
        <v>392</v>
      </c>
      <c r="T157" s="14" t="s">
        <v>106</v>
      </c>
      <c r="U157" s="14" t="n">
        <v>2029</v>
      </c>
      <c r="V157" s="12" t="s">
        <v>107</v>
      </c>
      <c r="W157" s="14"/>
      <c r="X157" s="15" t="n">
        <f aca="false">IF(OR($S157="%",$R157=""),"",$R157*INDEX(Cambi!$J$2:$J$5,MATCH($S157,Cambi!$I$2:$I$5,0))/IF($T157="EUR",1,INDEX(Cambi!$D:$D,MATCH($T157&amp;"|"&amp;$U157,Cambi!$C:$C,0))))</f>
        <v>49.098</v>
      </c>
      <c r="Y157" s="12" t="s">
        <v>108</v>
      </c>
      <c r="Z157" s="12" t="s">
        <v>117</v>
      </c>
      <c r="AA157" s="12" t="s">
        <v>109</v>
      </c>
      <c r="AB157" s="16" t="s">
        <v>394</v>
      </c>
      <c r="AC157" s="16" t="s">
        <v>879</v>
      </c>
      <c r="AD157" s="12" t="s">
        <v>112</v>
      </c>
      <c r="AE157" s="12" t="s">
        <v>918</v>
      </c>
      <c r="AF157" s="12" t="s">
        <v>919</v>
      </c>
      <c r="AG157" s="12" t="s">
        <v>115</v>
      </c>
      <c r="AH157" s="12" t="s">
        <v>116</v>
      </c>
      <c r="AI157" s="12" t="s">
        <v>117</v>
      </c>
      <c r="AJ157" s="12" t="s">
        <v>922</v>
      </c>
      <c r="AK157" s="12" t="s">
        <v>4</v>
      </c>
    </row>
    <row r="158" customFormat="false" ht="15" hidden="false" customHeight="false" outlineLevel="0" collapsed="false">
      <c r="A158" s="11" t="n">
        <v>157</v>
      </c>
      <c r="B158" s="12" t="s">
        <v>926</v>
      </c>
      <c r="C158" s="12" t="s">
        <v>757</v>
      </c>
      <c r="D158" s="12" t="s">
        <v>758</v>
      </c>
      <c r="E158" s="12" t="s">
        <v>759</v>
      </c>
      <c r="F158" s="12" t="s">
        <v>927</v>
      </c>
      <c r="G158" s="12" t="s">
        <v>830</v>
      </c>
      <c r="H158" s="12" t="s">
        <v>928</v>
      </c>
      <c r="I158" s="12" t="s">
        <v>929</v>
      </c>
      <c r="J158" s="13" t="s">
        <v>930</v>
      </c>
      <c r="K158" s="12"/>
      <c r="L158" s="12" t="s">
        <v>931</v>
      </c>
      <c r="M158" s="12" t="s">
        <v>835</v>
      </c>
      <c r="N158" s="12" t="s">
        <v>352</v>
      </c>
      <c r="O158" s="12" t="s">
        <v>102</v>
      </c>
      <c r="P158" s="12" t="s">
        <v>103</v>
      </c>
      <c r="Q158" s="12" t="s">
        <v>104</v>
      </c>
      <c r="R158" s="14" t="n">
        <v>1.2</v>
      </c>
      <c r="S158" s="14" t="s">
        <v>129</v>
      </c>
      <c r="T158" s="14" t="s">
        <v>653</v>
      </c>
      <c r="U158" s="14" t="n">
        <v>2024</v>
      </c>
      <c r="V158" s="12" t="s">
        <v>157</v>
      </c>
      <c r="W158" s="14"/>
      <c r="X158" s="15" t="n">
        <f aca="false">IF(OR($S158="%",$R158=""),"",$R158*INDEX(Cambi!$J$2:$J$5,MATCH($S158,Cambi!$I$2:$I$5,0))/IF($T158="EUR",1,INDEX(Cambi!$D:$D,MATCH($T158&amp;"|"&amp;$U158,Cambi!$C:$C,0))))</f>
        <v>1108.64745011086</v>
      </c>
      <c r="Y158" s="12" t="s">
        <v>109</v>
      </c>
      <c r="Z158" s="12" t="s">
        <v>109</v>
      </c>
      <c r="AA158" s="12" t="s">
        <v>109</v>
      </c>
      <c r="AB158" s="16" t="s">
        <v>110</v>
      </c>
      <c r="AC158" s="16" t="s">
        <v>836</v>
      </c>
      <c r="AD158" s="12" t="s">
        <v>112</v>
      </c>
      <c r="AE158" s="12" t="s">
        <v>282</v>
      </c>
      <c r="AF158" s="12" t="s">
        <v>932</v>
      </c>
      <c r="AG158" s="12" t="s">
        <v>284</v>
      </c>
      <c r="AH158" s="12" t="s">
        <v>838</v>
      </c>
      <c r="AI158" s="12" t="s">
        <v>117</v>
      </c>
      <c r="AJ158" s="12" t="s">
        <v>933</v>
      </c>
      <c r="AK158" s="12" t="s">
        <v>4</v>
      </c>
    </row>
    <row r="159" customFormat="false" ht="15" hidden="false" customHeight="false" outlineLevel="0" collapsed="false">
      <c r="A159" s="11" t="n">
        <v>158</v>
      </c>
      <c r="B159" s="12" t="s">
        <v>926</v>
      </c>
      <c r="C159" s="12" t="s">
        <v>757</v>
      </c>
      <c r="D159" s="12" t="s">
        <v>758</v>
      </c>
      <c r="E159" s="12" t="s">
        <v>759</v>
      </c>
      <c r="F159" s="12" t="s">
        <v>927</v>
      </c>
      <c r="G159" s="12" t="s">
        <v>830</v>
      </c>
      <c r="H159" s="12" t="s">
        <v>928</v>
      </c>
      <c r="I159" s="12" t="s">
        <v>929</v>
      </c>
      <c r="J159" s="13" t="s">
        <v>930</v>
      </c>
      <c r="K159" s="12"/>
      <c r="L159" s="12" t="s">
        <v>934</v>
      </c>
      <c r="M159" s="12" t="s">
        <v>935</v>
      </c>
      <c r="N159" s="12" t="s">
        <v>352</v>
      </c>
      <c r="O159" s="12" t="s">
        <v>102</v>
      </c>
      <c r="P159" s="12" t="s">
        <v>103</v>
      </c>
      <c r="Q159" s="12" t="s">
        <v>104</v>
      </c>
      <c r="R159" s="14" t="n">
        <v>2.8</v>
      </c>
      <c r="S159" s="14" t="s">
        <v>129</v>
      </c>
      <c r="T159" s="14" t="s">
        <v>653</v>
      </c>
      <c r="U159" s="14" t="n">
        <v>2032</v>
      </c>
      <c r="V159" s="12" t="s">
        <v>107</v>
      </c>
      <c r="W159" s="14" t="s">
        <v>936</v>
      </c>
      <c r="X159" s="15" t="n">
        <f aca="false">IF(OR($S159="%",$R159=""),"",$R159*INDEX(Cambi!$J$2:$J$5,MATCH($S159,Cambi!$I$2:$I$5,0))/IF($T159="EUR",1,INDEX(Cambi!$D:$D,MATCH($T159&amp;"|"&amp;$U159,Cambi!$C:$C,0))))</f>
        <v>2477.87610619469</v>
      </c>
      <c r="Y159" s="12" t="s">
        <v>109</v>
      </c>
      <c r="Z159" s="12" t="s">
        <v>109</v>
      </c>
      <c r="AA159" s="12" t="s">
        <v>109</v>
      </c>
      <c r="AB159" s="16" t="s">
        <v>110</v>
      </c>
      <c r="AC159" s="16" t="s">
        <v>836</v>
      </c>
      <c r="AD159" s="12" t="s">
        <v>112</v>
      </c>
      <c r="AE159" s="12" t="s">
        <v>282</v>
      </c>
      <c r="AF159" s="12" t="s">
        <v>937</v>
      </c>
      <c r="AG159" s="12" t="s">
        <v>284</v>
      </c>
      <c r="AH159" s="12" t="s">
        <v>838</v>
      </c>
      <c r="AI159" s="12" t="s">
        <v>117</v>
      </c>
      <c r="AJ159" s="12" t="s">
        <v>266</v>
      </c>
      <c r="AK159" s="12" t="s">
        <v>4</v>
      </c>
    </row>
    <row r="160" customFormat="false" ht="15" hidden="false" customHeight="false" outlineLevel="0" collapsed="false">
      <c r="A160" s="11" t="n">
        <v>159</v>
      </c>
      <c r="B160" s="12" t="s">
        <v>938</v>
      </c>
      <c r="C160" s="12" t="s">
        <v>757</v>
      </c>
      <c r="D160" s="12" t="s">
        <v>758</v>
      </c>
      <c r="E160" s="12" t="s">
        <v>759</v>
      </c>
      <c r="F160" s="12" t="s">
        <v>927</v>
      </c>
      <c r="G160" s="12" t="s">
        <v>830</v>
      </c>
      <c r="H160" s="12" t="s">
        <v>939</v>
      </c>
      <c r="I160" s="12" t="s">
        <v>940</v>
      </c>
      <c r="J160" s="13" t="s">
        <v>941</v>
      </c>
      <c r="K160" s="12"/>
      <c r="L160" s="12" t="s">
        <v>942</v>
      </c>
      <c r="M160" s="12" t="s">
        <v>943</v>
      </c>
      <c r="N160" s="12" t="s">
        <v>352</v>
      </c>
      <c r="O160" s="12" t="s">
        <v>102</v>
      </c>
      <c r="P160" s="12" t="s">
        <v>103</v>
      </c>
      <c r="Q160" s="12" t="s">
        <v>104</v>
      </c>
      <c r="R160" s="14" t="n">
        <v>850</v>
      </c>
      <c r="S160" s="14" t="s">
        <v>105</v>
      </c>
      <c r="T160" s="14" t="s">
        <v>106</v>
      </c>
      <c r="U160" s="14" t="n">
        <v>2023</v>
      </c>
      <c r="V160" s="12" t="s">
        <v>157</v>
      </c>
      <c r="W160" s="14"/>
      <c r="X160" s="15" t="n">
        <f aca="false">IF(OR($S160="%",$R160=""),"",$R160*INDEX(Cambi!$J$2:$J$5,MATCH($S160,Cambi!$I$2:$I$5,0))/IF($T160="EUR",1,INDEX(Cambi!$D:$D,MATCH($T160&amp;"|"&amp;$U160,Cambi!$C:$C,0))))</f>
        <v>850</v>
      </c>
      <c r="Y160" s="12" t="s">
        <v>109</v>
      </c>
      <c r="Z160" s="12" t="s">
        <v>109</v>
      </c>
      <c r="AA160" s="12" t="s">
        <v>109</v>
      </c>
      <c r="AB160" s="16" t="s">
        <v>110</v>
      </c>
      <c r="AC160" s="16" t="s">
        <v>944</v>
      </c>
      <c r="AD160" s="12" t="s">
        <v>112</v>
      </c>
      <c r="AE160" s="12" t="s">
        <v>282</v>
      </c>
      <c r="AF160" s="12" t="s">
        <v>945</v>
      </c>
      <c r="AG160" s="12" t="s">
        <v>284</v>
      </c>
      <c r="AH160" s="12" t="s">
        <v>838</v>
      </c>
      <c r="AI160" s="12" t="s">
        <v>285</v>
      </c>
      <c r="AJ160" s="12" t="s">
        <v>946</v>
      </c>
      <c r="AK160" s="12" t="s">
        <v>4</v>
      </c>
    </row>
    <row r="161" customFormat="false" ht="15" hidden="false" customHeight="false" outlineLevel="0" collapsed="false">
      <c r="A161" s="11" t="n">
        <v>160</v>
      </c>
      <c r="B161" s="12" t="s">
        <v>947</v>
      </c>
      <c r="C161" s="12" t="s">
        <v>948</v>
      </c>
      <c r="D161" s="12" t="s">
        <v>949</v>
      </c>
      <c r="E161" s="12" t="s">
        <v>759</v>
      </c>
      <c r="F161" s="12" t="s">
        <v>950</v>
      </c>
      <c r="G161" s="12" t="s">
        <v>345</v>
      </c>
      <c r="H161" s="12" t="s">
        <v>951</v>
      </c>
      <c r="I161" s="12" t="s">
        <v>952</v>
      </c>
      <c r="J161" s="13" t="s">
        <v>953</v>
      </c>
      <c r="K161" s="12"/>
      <c r="L161" s="12" t="s">
        <v>954</v>
      </c>
      <c r="M161" s="12" t="s">
        <v>955</v>
      </c>
      <c r="N161" s="12" t="s">
        <v>956</v>
      </c>
      <c r="O161" s="12" t="s">
        <v>102</v>
      </c>
      <c r="P161" s="12" t="s">
        <v>103</v>
      </c>
      <c r="Q161" s="12" t="s">
        <v>104</v>
      </c>
      <c r="R161" s="14" t="n">
        <v>915</v>
      </c>
      <c r="S161" s="14" t="s">
        <v>105</v>
      </c>
      <c r="T161" s="14" t="s">
        <v>106</v>
      </c>
      <c r="U161" s="14" t="n">
        <v>2024</v>
      </c>
      <c r="V161" s="12" t="s">
        <v>157</v>
      </c>
      <c r="W161" s="14" t="s">
        <v>957</v>
      </c>
      <c r="X161" s="15" t="n">
        <f aca="false">IF(OR($S161="%",$R161=""),"",$R161*INDEX(Cambi!$J$2:$J$5,MATCH($S161,Cambi!$I$2:$I$5,0))/IF($T161="EUR",1,INDEX(Cambi!$D:$D,MATCH($T161&amp;"|"&amp;$U161,Cambi!$C:$C,0))))</f>
        <v>915</v>
      </c>
      <c r="Y161" s="12" t="s">
        <v>109</v>
      </c>
      <c r="Z161" s="12" t="s">
        <v>109</v>
      </c>
      <c r="AA161" s="12" t="s">
        <v>958</v>
      </c>
      <c r="AB161" s="16" t="s">
        <v>679</v>
      </c>
      <c r="AC161" s="16" t="s">
        <v>959</v>
      </c>
      <c r="AD161" s="12" t="s">
        <v>166</v>
      </c>
      <c r="AE161" s="12" t="s">
        <v>960</v>
      </c>
      <c r="AF161" s="12" t="s">
        <v>961</v>
      </c>
      <c r="AG161" s="12" t="s">
        <v>115</v>
      </c>
      <c r="AH161" s="12" t="s">
        <v>116</v>
      </c>
      <c r="AI161" s="12" t="s">
        <v>117</v>
      </c>
      <c r="AJ161" s="12" t="s">
        <v>962</v>
      </c>
      <c r="AK161" s="12" t="s">
        <v>4</v>
      </c>
    </row>
    <row r="162" customFormat="false" ht="15" hidden="false" customHeight="false" outlineLevel="0" collapsed="false">
      <c r="A162" s="11" t="n">
        <v>161</v>
      </c>
      <c r="B162" s="12" t="s">
        <v>963</v>
      </c>
      <c r="C162" s="12" t="s">
        <v>948</v>
      </c>
      <c r="D162" s="12" t="s">
        <v>949</v>
      </c>
      <c r="E162" s="12" t="s">
        <v>759</v>
      </c>
      <c r="F162" s="12" t="s">
        <v>950</v>
      </c>
      <c r="G162" s="12" t="s">
        <v>345</v>
      </c>
      <c r="H162" s="12" t="s">
        <v>964</v>
      </c>
      <c r="I162" s="12" t="s">
        <v>965</v>
      </c>
      <c r="J162" s="13" t="s">
        <v>966</v>
      </c>
      <c r="K162" s="12"/>
      <c r="L162" s="12" t="s">
        <v>967</v>
      </c>
      <c r="M162" s="12" t="s">
        <v>968</v>
      </c>
      <c r="N162" s="12" t="s">
        <v>956</v>
      </c>
      <c r="O162" s="12" t="s">
        <v>102</v>
      </c>
      <c r="P162" s="12" t="s">
        <v>103</v>
      </c>
      <c r="Q162" s="12" t="s">
        <v>104</v>
      </c>
      <c r="R162" s="14" t="n">
        <v>600</v>
      </c>
      <c r="S162" s="14" t="s">
        <v>105</v>
      </c>
      <c r="T162" s="14" t="s">
        <v>106</v>
      </c>
      <c r="U162" s="14" t="n">
        <v>2021</v>
      </c>
      <c r="V162" s="12" t="s">
        <v>157</v>
      </c>
      <c r="W162" s="14"/>
      <c r="X162" s="15" t="n">
        <f aca="false">IF(OR($S162="%",$R162=""),"",$R162*INDEX(Cambi!$J$2:$J$5,MATCH($S162,Cambi!$I$2:$I$5,0))/IF($T162="EUR",1,INDEX(Cambi!$D:$D,MATCH($T162&amp;"|"&amp;$U162,Cambi!$C:$C,0))))</f>
        <v>600</v>
      </c>
      <c r="Y162" s="12" t="s">
        <v>109</v>
      </c>
      <c r="Z162" s="12" t="s">
        <v>109</v>
      </c>
      <c r="AA162" s="12" t="s">
        <v>958</v>
      </c>
      <c r="AB162" s="16" t="s">
        <v>679</v>
      </c>
      <c r="AC162" s="16" t="s">
        <v>959</v>
      </c>
      <c r="AD162" s="12" t="s">
        <v>166</v>
      </c>
      <c r="AE162" s="12" t="s">
        <v>969</v>
      </c>
      <c r="AF162" s="12" t="s">
        <v>970</v>
      </c>
      <c r="AG162" s="12" t="s">
        <v>115</v>
      </c>
      <c r="AH162" s="12" t="s">
        <v>116</v>
      </c>
      <c r="AI162" s="12" t="s">
        <v>117</v>
      </c>
      <c r="AJ162" s="12" t="s">
        <v>971</v>
      </c>
      <c r="AK162" s="12" t="s">
        <v>4</v>
      </c>
    </row>
    <row r="163" customFormat="false" ht="15" hidden="false" customHeight="false" outlineLevel="0" collapsed="false">
      <c r="A163" s="11" t="n">
        <v>162</v>
      </c>
      <c r="B163" s="12" t="s">
        <v>963</v>
      </c>
      <c r="C163" s="12" t="s">
        <v>948</v>
      </c>
      <c r="D163" s="12" t="s">
        <v>949</v>
      </c>
      <c r="E163" s="12" t="s">
        <v>759</v>
      </c>
      <c r="F163" s="12" t="s">
        <v>950</v>
      </c>
      <c r="G163" s="12" t="s">
        <v>345</v>
      </c>
      <c r="H163" s="12" t="s">
        <v>964</v>
      </c>
      <c r="I163" s="12" t="s">
        <v>965</v>
      </c>
      <c r="J163" s="13" t="s">
        <v>966</v>
      </c>
      <c r="K163" s="12"/>
      <c r="L163" s="12" t="s">
        <v>972</v>
      </c>
      <c r="M163" s="12" t="s">
        <v>973</v>
      </c>
      <c r="N163" s="12" t="s">
        <v>956</v>
      </c>
      <c r="O163" s="12" t="s">
        <v>102</v>
      </c>
      <c r="P163" s="12" t="s">
        <v>103</v>
      </c>
      <c r="Q163" s="12" t="s">
        <v>104</v>
      </c>
      <c r="R163" s="14" t="n">
        <v>1.58</v>
      </c>
      <c r="S163" s="14" t="s">
        <v>129</v>
      </c>
      <c r="T163" s="14" t="s">
        <v>106</v>
      </c>
      <c r="U163" s="14" t="n">
        <v>2021</v>
      </c>
      <c r="V163" s="12" t="s">
        <v>157</v>
      </c>
      <c r="W163" s="14"/>
      <c r="X163" s="15" t="n">
        <f aca="false">IF(OR($S163="%",$R163=""),"",$R163*INDEX(Cambi!$J$2:$J$5,MATCH($S163,Cambi!$I$2:$I$5,0))/IF($T163="EUR",1,INDEX(Cambi!$D:$D,MATCH($T163&amp;"|"&amp;$U163,Cambi!$C:$C,0))))</f>
        <v>1580</v>
      </c>
      <c r="Y163" s="12" t="s">
        <v>109</v>
      </c>
      <c r="Z163" s="12" t="s">
        <v>109</v>
      </c>
      <c r="AA163" s="12" t="s">
        <v>958</v>
      </c>
      <c r="AB163" s="16" t="s">
        <v>679</v>
      </c>
      <c r="AC163" s="16" t="s">
        <v>959</v>
      </c>
      <c r="AD163" s="12" t="s">
        <v>166</v>
      </c>
      <c r="AE163" s="12" t="s">
        <v>969</v>
      </c>
      <c r="AF163" s="12" t="s">
        <v>974</v>
      </c>
      <c r="AG163" s="12" t="s">
        <v>115</v>
      </c>
      <c r="AH163" s="12" t="s">
        <v>116</v>
      </c>
      <c r="AI163" s="12" t="s">
        <v>117</v>
      </c>
      <c r="AJ163" s="12" t="s">
        <v>975</v>
      </c>
      <c r="AK163" s="12" t="s">
        <v>4</v>
      </c>
    </row>
    <row r="164" customFormat="false" ht="15" hidden="false" customHeight="false" outlineLevel="0" collapsed="false">
      <c r="A164" s="11" t="n">
        <v>163</v>
      </c>
      <c r="B164" s="12" t="s">
        <v>976</v>
      </c>
      <c r="C164" s="12" t="s">
        <v>948</v>
      </c>
      <c r="D164" s="12" t="s">
        <v>949</v>
      </c>
      <c r="E164" s="12" t="s">
        <v>759</v>
      </c>
      <c r="F164" s="12" t="s">
        <v>950</v>
      </c>
      <c r="G164" s="12" t="s">
        <v>345</v>
      </c>
      <c r="H164" s="12" t="s">
        <v>977</v>
      </c>
      <c r="I164" s="12" t="s">
        <v>978</v>
      </c>
      <c r="J164" s="13" t="s">
        <v>979</v>
      </c>
      <c r="K164" s="12"/>
      <c r="L164" s="12" t="s">
        <v>980</v>
      </c>
      <c r="M164" s="12" t="s">
        <v>981</v>
      </c>
      <c r="N164" s="12" t="s">
        <v>956</v>
      </c>
      <c r="O164" s="12" t="s">
        <v>102</v>
      </c>
      <c r="P164" s="12" t="s">
        <v>103</v>
      </c>
      <c r="Q164" s="12" t="s">
        <v>104</v>
      </c>
      <c r="R164" s="14" t="n">
        <v>1.58</v>
      </c>
      <c r="S164" s="14" t="s">
        <v>129</v>
      </c>
      <c r="T164" s="14" t="s">
        <v>106</v>
      </c>
      <c r="U164" s="14" t="n">
        <v>2021</v>
      </c>
      <c r="V164" s="12" t="s">
        <v>157</v>
      </c>
      <c r="W164" s="14"/>
      <c r="X164" s="15" t="n">
        <f aca="false">IF(OR($S164="%",$R164=""),"",$R164*INDEX(Cambi!$J$2:$J$5,MATCH($S164,Cambi!$I$2:$I$5,0))/IF($T164="EUR",1,INDEX(Cambi!$D:$D,MATCH($T164&amp;"|"&amp;$U164,Cambi!$C:$C,0))))</f>
        <v>1580</v>
      </c>
      <c r="Y164" s="12" t="s">
        <v>109</v>
      </c>
      <c r="Z164" s="12" t="s">
        <v>109</v>
      </c>
      <c r="AA164" s="12" t="s">
        <v>958</v>
      </c>
      <c r="AB164" s="16" t="s">
        <v>679</v>
      </c>
      <c r="AC164" s="16" t="s">
        <v>959</v>
      </c>
      <c r="AD164" s="12" t="s">
        <v>166</v>
      </c>
      <c r="AE164" s="12" t="s">
        <v>960</v>
      </c>
      <c r="AF164" s="12" t="s">
        <v>982</v>
      </c>
      <c r="AG164" s="12" t="s">
        <v>115</v>
      </c>
      <c r="AH164" s="12" t="s">
        <v>116</v>
      </c>
      <c r="AI164" s="12" t="s">
        <v>117</v>
      </c>
      <c r="AJ164" s="12" t="s">
        <v>983</v>
      </c>
      <c r="AK164" s="12" t="s">
        <v>4</v>
      </c>
    </row>
    <row r="165" customFormat="false" ht="15" hidden="false" customHeight="false" outlineLevel="0" collapsed="false">
      <c r="A165" s="11" t="n">
        <v>164</v>
      </c>
      <c r="B165" s="12" t="s">
        <v>976</v>
      </c>
      <c r="C165" s="12" t="s">
        <v>948</v>
      </c>
      <c r="D165" s="12" t="s">
        <v>949</v>
      </c>
      <c r="E165" s="12" t="s">
        <v>759</v>
      </c>
      <c r="F165" s="12" t="s">
        <v>950</v>
      </c>
      <c r="G165" s="12" t="s">
        <v>345</v>
      </c>
      <c r="H165" s="12" t="s">
        <v>977</v>
      </c>
      <c r="I165" s="12" t="s">
        <v>978</v>
      </c>
      <c r="J165" s="13" t="s">
        <v>979</v>
      </c>
      <c r="K165" s="12"/>
      <c r="L165" s="12" t="s">
        <v>984</v>
      </c>
      <c r="M165" s="12" t="s">
        <v>985</v>
      </c>
      <c r="N165" s="12" t="s">
        <v>956</v>
      </c>
      <c r="O165" s="12" t="s">
        <v>102</v>
      </c>
      <c r="P165" s="12" t="s">
        <v>103</v>
      </c>
      <c r="Q165" s="12" t="s">
        <v>104</v>
      </c>
      <c r="R165" s="14" t="n">
        <v>2.61</v>
      </c>
      <c r="S165" s="14" t="s">
        <v>129</v>
      </c>
      <c r="T165" s="14" t="s">
        <v>106</v>
      </c>
      <c r="U165" s="14" t="n">
        <v>2024</v>
      </c>
      <c r="V165" s="12" t="s">
        <v>157</v>
      </c>
      <c r="W165" s="14" t="s">
        <v>986</v>
      </c>
      <c r="X165" s="15" t="n">
        <f aca="false">IF(OR($S165="%",$R165=""),"",$R165*INDEX(Cambi!$J$2:$J$5,MATCH($S165,Cambi!$I$2:$I$5,0))/IF($T165="EUR",1,INDEX(Cambi!$D:$D,MATCH($T165&amp;"|"&amp;$U165,Cambi!$C:$C,0))))</f>
        <v>2610</v>
      </c>
      <c r="Y165" s="12" t="s">
        <v>109</v>
      </c>
      <c r="Z165" s="12" t="s">
        <v>109</v>
      </c>
      <c r="AA165" s="12" t="s">
        <v>958</v>
      </c>
      <c r="AB165" s="16" t="s">
        <v>679</v>
      </c>
      <c r="AC165" s="16" t="s">
        <v>959</v>
      </c>
      <c r="AD165" s="12" t="s">
        <v>166</v>
      </c>
      <c r="AE165" s="12" t="s">
        <v>960</v>
      </c>
      <c r="AF165" s="12" t="s">
        <v>987</v>
      </c>
      <c r="AG165" s="12" t="s">
        <v>115</v>
      </c>
      <c r="AH165" s="12" t="s">
        <v>116</v>
      </c>
      <c r="AI165" s="12" t="s">
        <v>117</v>
      </c>
      <c r="AJ165" s="12" t="s">
        <v>988</v>
      </c>
      <c r="AK165" s="12" t="s">
        <v>4</v>
      </c>
    </row>
    <row r="166" customFormat="false" ht="15" hidden="false" customHeight="false" outlineLevel="0" collapsed="false">
      <c r="A166" s="11" t="n">
        <v>165</v>
      </c>
      <c r="B166" s="12" t="s">
        <v>976</v>
      </c>
      <c r="C166" s="12" t="s">
        <v>948</v>
      </c>
      <c r="D166" s="12" t="s">
        <v>949</v>
      </c>
      <c r="E166" s="12" t="s">
        <v>759</v>
      </c>
      <c r="F166" s="12" t="s">
        <v>950</v>
      </c>
      <c r="G166" s="12" t="s">
        <v>345</v>
      </c>
      <c r="H166" s="12" t="s">
        <v>977</v>
      </c>
      <c r="I166" s="12" t="s">
        <v>978</v>
      </c>
      <c r="J166" s="13" t="s">
        <v>979</v>
      </c>
      <c r="K166" s="12"/>
      <c r="L166" s="12" t="s">
        <v>989</v>
      </c>
      <c r="M166" s="12" t="s">
        <v>990</v>
      </c>
      <c r="N166" s="12" t="s">
        <v>956</v>
      </c>
      <c r="O166" s="12" t="s">
        <v>213</v>
      </c>
      <c r="P166" s="12" t="s">
        <v>103</v>
      </c>
      <c r="Q166" s="12" t="s">
        <v>104</v>
      </c>
      <c r="R166" s="14" t="n">
        <v>15.9</v>
      </c>
      <c r="S166" s="14" t="s">
        <v>197</v>
      </c>
      <c r="T166" s="14"/>
      <c r="U166" s="14" t="n">
        <v>2030</v>
      </c>
      <c r="V166" s="12" t="s">
        <v>107</v>
      </c>
      <c r="W166" s="14" t="s">
        <v>991</v>
      </c>
      <c r="X166" s="15" t="str">
        <f aca="false">IF(OR($S166="%",$R166=""),"",$R166*INDEX(Cambi!$J$2:$J$5,MATCH($S166,Cambi!$I$2:$I$5,0))/IF($T166="EUR",1,INDEX(Cambi!$D:$D,MATCH($T166&amp;"|"&amp;$U166,Cambi!$C:$C,0))))</f>
        <v/>
      </c>
      <c r="Y166" s="12" t="s">
        <v>109</v>
      </c>
      <c r="Z166" s="12" t="s">
        <v>109</v>
      </c>
      <c r="AA166" s="12" t="s">
        <v>958</v>
      </c>
      <c r="AB166" s="16" t="s">
        <v>679</v>
      </c>
      <c r="AC166" s="16" t="s">
        <v>959</v>
      </c>
      <c r="AD166" s="12" t="s">
        <v>201</v>
      </c>
      <c r="AE166" s="12" t="s">
        <v>960</v>
      </c>
      <c r="AF166" s="12" t="s">
        <v>992</v>
      </c>
      <c r="AG166" s="12" t="s">
        <v>115</v>
      </c>
      <c r="AH166" s="12" t="s">
        <v>116</v>
      </c>
      <c r="AI166" s="12" t="s">
        <v>117</v>
      </c>
      <c r="AJ166" s="12" t="s">
        <v>993</v>
      </c>
      <c r="AK166" s="12" t="s">
        <v>4</v>
      </c>
    </row>
    <row r="167" customFormat="false" ht="15" hidden="false" customHeight="false" outlineLevel="0" collapsed="false">
      <c r="A167" s="11" t="n">
        <v>166</v>
      </c>
      <c r="B167" s="12" t="s">
        <v>994</v>
      </c>
      <c r="C167" s="12" t="s">
        <v>948</v>
      </c>
      <c r="D167" s="12" t="s">
        <v>949</v>
      </c>
      <c r="E167" s="12" t="s">
        <v>759</v>
      </c>
      <c r="F167" s="12" t="s">
        <v>950</v>
      </c>
      <c r="G167" s="12" t="s">
        <v>345</v>
      </c>
      <c r="H167" s="12" t="s">
        <v>995</v>
      </c>
      <c r="I167" s="12" t="s">
        <v>996</v>
      </c>
      <c r="J167" s="13" t="s">
        <v>997</v>
      </c>
      <c r="K167" s="12" t="s">
        <v>998</v>
      </c>
      <c r="L167" s="12" t="s">
        <v>999</v>
      </c>
      <c r="M167" s="12" t="s">
        <v>1000</v>
      </c>
      <c r="N167" s="12" t="s">
        <v>352</v>
      </c>
      <c r="O167" s="12" t="s">
        <v>102</v>
      </c>
      <c r="P167" s="12" t="s">
        <v>103</v>
      </c>
      <c r="Q167" s="12" t="s">
        <v>104</v>
      </c>
      <c r="R167" s="14" t="n">
        <v>3.1</v>
      </c>
      <c r="S167" s="14" t="s">
        <v>129</v>
      </c>
      <c r="T167" s="14" t="s">
        <v>106</v>
      </c>
      <c r="U167" s="14" t="n">
        <v>2024</v>
      </c>
      <c r="V167" s="12" t="s">
        <v>157</v>
      </c>
      <c r="W167" s="14"/>
      <c r="X167" s="15" t="n">
        <f aca="false">IF(OR($S167="%",$R167=""),"",$R167*INDEX(Cambi!$J$2:$J$5,MATCH($S167,Cambi!$I$2:$I$5,0))/IF($T167="EUR",1,INDEX(Cambi!$D:$D,MATCH($T167&amp;"|"&amp;$U167,Cambi!$C:$C,0))))</f>
        <v>3100</v>
      </c>
      <c r="Y167" s="12" t="s">
        <v>109</v>
      </c>
      <c r="Z167" s="12" t="s">
        <v>109</v>
      </c>
      <c r="AA167" s="12" t="s">
        <v>958</v>
      </c>
      <c r="AB167" s="16" t="s">
        <v>110</v>
      </c>
      <c r="AC167" s="16" t="s">
        <v>1001</v>
      </c>
      <c r="AD167" s="12" t="s">
        <v>281</v>
      </c>
      <c r="AE167" s="12" t="s">
        <v>1002</v>
      </c>
      <c r="AF167" s="12" t="s">
        <v>1003</v>
      </c>
      <c r="AG167" s="12" t="s">
        <v>498</v>
      </c>
      <c r="AH167" s="12" t="s">
        <v>116</v>
      </c>
      <c r="AI167" s="12" t="s">
        <v>117</v>
      </c>
      <c r="AJ167" s="12" t="s">
        <v>1004</v>
      </c>
      <c r="AK167" s="12" t="s">
        <v>4</v>
      </c>
    </row>
    <row r="168" customFormat="false" ht="15" hidden="false" customHeight="false" outlineLevel="0" collapsed="false">
      <c r="A168" s="11" t="n">
        <v>167</v>
      </c>
      <c r="B168" s="12" t="s">
        <v>994</v>
      </c>
      <c r="C168" s="12" t="s">
        <v>948</v>
      </c>
      <c r="D168" s="12" t="s">
        <v>949</v>
      </c>
      <c r="E168" s="12" t="s">
        <v>759</v>
      </c>
      <c r="F168" s="12" t="s">
        <v>950</v>
      </c>
      <c r="G168" s="12" t="s">
        <v>345</v>
      </c>
      <c r="H168" s="12" t="s">
        <v>995</v>
      </c>
      <c r="I168" s="12" t="s">
        <v>996</v>
      </c>
      <c r="J168" s="13" t="s">
        <v>997</v>
      </c>
      <c r="K168" s="12" t="s">
        <v>998</v>
      </c>
      <c r="L168" s="12" t="s">
        <v>1005</v>
      </c>
      <c r="M168" s="12" t="s">
        <v>1006</v>
      </c>
      <c r="N168" s="12" t="s">
        <v>352</v>
      </c>
      <c r="O168" s="12" t="s">
        <v>102</v>
      </c>
      <c r="P168" s="12" t="s">
        <v>103</v>
      </c>
      <c r="Q168" s="12" t="s">
        <v>104</v>
      </c>
      <c r="R168" s="14" t="n">
        <v>6.3</v>
      </c>
      <c r="S168" s="14" t="s">
        <v>129</v>
      </c>
      <c r="T168" s="14" t="s">
        <v>106</v>
      </c>
      <c r="U168" s="14" t="n">
        <v>2030</v>
      </c>
      <c r="V168" s="12" t="s">
        <v>107</v>
      </c>
      <c r="W168" s="14"/>
      <c r="X168" s="15" t="n">
        <f aca="false">IF(OR($S168="%",$R168=""),"",$R168*INDEX(Cambi!$J$2:$J$5,MATCH($S168,Cambi!$I$2:$I$5,0))/IF($T168="EUR",1,INDEX(Cambi!$D:$D,MATCH($T168&amp;"|"&amp;$U168,Cambi!$C:$C,0))))</f>
        <v>6300</v>
      </c>
      <c r="Y168" s="12" t="s">
        <v>109</v>
      </c>
      <c r="Z168" s="12" t="s">
        <v>109</v>
      </c>
      <c r="AA168" s="12" t="s">
        <v>958</v>
      </c>
      <c r="AB168" s="16" t="s">
        <v>110</v>
      </c>
      <c r="AC168" s="16" t="s">
        <v>1001</v>
      </c>
      <c r="AD168" s="12" t="s">
        <v>201</v>
      </c>
      <c r="AE168" s="12" t="s">
        <v>1007</v>
      </c>
      <c r="AF168" s="12" t="s">
        <v>1008</v>
      </c>
      <c r="AG168" s="12" t="s">
        <v>498</v>
      </c>
      <c r="AH168" s="12" t="s">
        <v>116</v>
      </c>
      <c r="AI168" s="12" t="s">
        <v>117</v>
      </c>
      <c r="AJ168" s="12" t="s">
        <v>266</v>
      </c>
      <c r="AK168" s="12" t="s">
        <v>4</v>
      </c>
    </row>
    <row r="169" customFormat="false" ht="15" hidden="false" customHeight="false" outlineLevel="0" collapsed="false">
      <c r="A169" s="11" t="n">
        <v>168</v>
      </c>
      <c r="B169" s="12" t="s">
        <v>1009</v>
      </c>
      <c r="C169" s="12" t="s">
        <v>948</v>
      </c>
      <c r="D169" s="12" t="s">
        <v>949</v>
      </c>
      <c r="E169" s="12" t="s">
        <v>759</v>
      </c>
      <c r="F169" s="12" t="s">
        <v>1010</v>
      </c>
      <c r="G169" s="12" t="s">
        <v>581</v>
      </c>
      <c r="H169" s="12" t="s">
        <v>1011</v>
      </c>
      <c r="I169" s="12" t="s">
        <v>1012</v>
      </c>
      <c r="J169" s="13" t="s">
        <v>1013</v>
      </c>
      <c r="K169" s="12"/>
      <c r="L169" s="12" t="s">
        <v>1014</v>
      </c>
      <c r="M169" s="12" t="s">
        <v>1015</v>
      </c>
      <c r="N169" s="12" t="s">
        <v>352</v>
      </c>
      <c r="O169" s="12" t="s">
        <v>102</v>
      </c>
      <c r="P169" s="12" t="s">
        <v>103</v>
      </c>
      <c r="Q169" s="12" t="s">
        <v>104</v>
      </c>
      <c r="R169" s="14" t="n">
        <v>0.6</v>
      </c>
      <c r="S169" s="14" t="s">
        <v>129</v>
      </c>
      <c r="T169" s="14" t="s">
        <v>106</v>
      </c>
      <c r="U169" s="14" t="n">
        <v>2023</v>
      </c>
      <c r="V169" s="12" t="s">
        <v>157</v>
      </c>
      <c r="W169" s="14"/>
      <c r="X169" s="15" t="n">
        <f aca="false">IF(OR($S169="%",$R169=""),"",$R169*INDEX(Cambi!$J$2:$J$5,MATCH($S169,Cambi!$I$2:$I$5,0))/IF($T169="EUR",1,INDEX(Cambi!$D:$D,MATCH($T169&amp;"|"&amp;$U169,Cambi!$C:$C,0))))</f>
        <v>600</v>
      </c>
      <c r="Y169" s="12" t="s">
        <v>109</v>
      </c>
      <c r="Z169" s="12" t="s">
        <v>109</v>
      </c>
      <c r="AA169" s="12" t="s">
        <v>1016</v>
      </c>
      <c r="AB169" s="16" t="s">
        <v>110</v>
      </c>
      <c r="AC169" s="16" t="s">
        <v>1017</v>
      </c>
      <c r="AD169" s="12" t="s">
        <v>112</v>
      </c>
      <c r="AE169" s="12" t="s">
        <v>1018</v>
      </c>
      <c r="AF169" s="12" t="s">
        <v>1019</v>
      </c>
      <c r="AG169" s="12" t="s">
        <v>284</v>
      </c>
      <c r="AH169" s="12" t="s">
        <v>116</v>
      </c>
      <c r="AI169" s="12" t="s">
        <v>117</v>
      </c>
      <c r="AJ169" s="12" t="s">
        <v>1020</v>
      </c>
      <c r="AK169" s="12" t="s">
        <v>4</v>
      </c>
    </row>
    <row r="170" customFormat="false" ht="15" hidden="false" customHeight="false" outlineLevel="0" collapsed="false">
      <c r="A170" s="11" t="n">
        <v>169</v>
      </c>
      <c r="B170" s="12" t="s">
        <v>1009</v>
      </c>
      <c r="C170" s="12" t="s">
        <v>948</v>
      </c>
      <c r="D170" s="12" t="s">
        <v>949</v>
      </c>
      <c r="E170" s="12" t="s">
        <v>759</v>
      </c>
      <c r="F170" s="12" t="s">
        <v>1010</v>
      </c>
      <c r="G170" s="12" t="s">
        <v>581</v>
      </c>
      <c r="H170" s="12" t="s">
        <v>1011</v>
      </c>
      <c r="I170" s="12" t="s">
        <v>1012</v>
      </c>
      <c r="J170" s="13" t="s">
        <v>1013</v>
      </c>
      <c r="K170" s="12"/>
      <c r="L170" s="12" t="s">
        <v>1021</v>
      </c>
      <c r="M170" s="12" t="s">
        <v>1022</v>
      </c>
      <c r="N170" s="12" t="s">
        <v>352</v>
      </c>
      <c r="O170" s="12" t="s">
        <v>196</v>
      </c>
      <c r="P170" s="12" t="s">
        <v>155</v>
      </c>
      <c r="Q170" s="12" t="s">
        <v>787</v>
      </c>
      <c r="R170" s="14" t="n">
        <v>45</v>
      </c>
      <c r="S170" s="14" t="s">
        <v>197</v>
      </c>
      <c r="T170" s="14"/>
      <c r="U170" s="14" t="n">
        <v>2023</v>
      </c>
      <c r="V170" s="12" t="s">
        <v>157</v>
      </c>
      <c r="W170" s="14"/>
      <c r="X170" s="15" t="str">
        <f aca="false">IF(OR($S170="%",$R170=""),"",$R170*INDEX(Cambi!$J$2:$J$5,MATCH($S170,Cambi!$I$2:$I$5,0))/IF($T170="EUR",1,INDEX(Cambi!$D:$D,MATCH($T170&amp;"|"&amp;$U170,Cambi!$C:$C,0))))</f>
        <v/>
      </c>
      <c r="Y170" s="12" t="s">
        <v>109</v>
      </c>
      <c r="Z170" s="12" t="s">
        <v>109</v>
      </c>
      <c r="AA170" s="12" t="s">
        <v>1016</v>
      </c>
      <c r="AB170" s="16" t="s">
        <v>110</v>
      </c>
      <c r="AC170" s="16" t="s">
        <v>1017</v>
      </c>
      <c r="AD170" s="12" t="s">
        <v>112</v>
      </c>
      <c r="AE170" s="12" t="s">
        <v>1018</v>
      </c>
      <c r="AF170" s="12" t="s">
        <v>1023</v>
      </c>
      <c r="AG170" s="12" t="s">
        <v>284</v>
      </c>
      <c r="AH170" s="12" t="s">
        <v>116</v>
      </c>
      <c r="AI170" s="12" t="s">
        <v>117</v>
      </c>
      <c r="AJ170" s="12" t="s">
        <v>1024</v>
      </c>
      <c r="AK170" s="12" t="s">
        <v>4</v>
      </c>
    </row>
    <row r="171" customFormat="false" ht="15" hidden="false" customHeight="false" outlineLevel="0" collapsed="false">
      <c r="A171" s="11" t="n">
        <v>170</v>
      </c>
      <c r="B171" s="12" t="s">
        <v>1009</v>
      </c>
      <c r="C171" s="12" t="s">
        <v>948</v>
      </c>
      <c r="D171" s="12" t="s">
        <v>949</v>
      </c>
      <c r="E171" s="12" t="s">
        <v>759</v>
      </c>
      <c r="F171" s="12" t="s">
        <v>1010</v>
      </c>
      <c r="G171" s="12" t="s">
        <v>581</v>
      </c>
      <c r="H171" s="12" t="s">
        <v>1011</v>
      </c>
      <c r="I171" s="12" t="s">
        <v>1012</v>
      </c>
      <c r="J171" s="13" t="s">
        <v>1013</v>
      </c>
      <c r="K171" s="12"/>
      <c r="L171" s="12" t="s">
        <v>1025</v>
      </c>
      <c r="M171" s="12" t="s">
        <v>1026</v>
      </c>
      <c r="N171" s="12" t="s">
        <v>352</v>
      </c>
      <c r="O171" s="12" t="s">
        <v>196</v>
      </c>
      <c r="P171" s="12" t="s">
        <v>155</v>
      </c>
      <c r="Q171" s="12" t="s">
        <v>1027</v>
      </c>
      <c r="R171" s="14" t="n">
        <v>55</v>
      </c>
      <c r="S171" s="14" t="s">
        <v>197</v>
      </c>
      <c r="T171" s="14"/>
      <c r="U171" s="14" t="n">
        <v>2023</v>
      </c>
      <c r="V171" s="12" t="s">
        <v>157</v>
      </c>
      <c r="W171" s="14"/>
      <c r="X171" s="15" t="str">
        <f aca="false">IF(OR($S171="%",$R171=""),"",$R171*INDEX(Cambi!$J$2:$J$5,MATCH($S171,Cambi!$I$2:$I$5,0))/IF($T171="EUR",1,INDEX(Cambi!$D:$D,MATCH($T171&amp;"|"&amp;$U171,Cambi!$C:$C,0))))</f>
        <v/>
      </c>
      <c r="Y171" s="12" t="s">
        <v>109</v>
      </c>
      <c r="Z171" s="12" t="s">
        <v>109</v>
      </c>
      <c r="AA171" s="12" t="s">
        <v>1016</v>
      </c>
      <c r="AB171" s="16" t="s">
        <v>110</v>
      </c>
      <c r="AC171" s="16" t="s">
        <v>1017</v>
      </c>
      <c r="AD171" s="12" t="s">
        <v>112</v>
      </c>
      <c r="AE171" s="12" t="s">
        <v>1018</v>
      </c>
      <c r="AF171" s="12" t="s">
        <v>1023</v>
      </c>
      <c r="AG171" s="12" t="s">
        <v>284</v>
      </c>
      <c r="AH171" s="12" t="s">
        <v>116</v>
      </c>
      <c r="AI171" s="12" t="s">
        <v>117</v>
      </c>
      <c r="AJ171" s="12" t="s">
        <v>1028</v>
      </c>
      <c r="AK171" s="12" t="s">
        <v>4</v>
      </c>
    </row>
    <row r="172" customFormat="false" ht="15" hidden="false" customHeight="false" outlineLevel="0" collapsed="false">
      <c r="A172" s="11" t="n">
        <v>171</v>
      </c>
      <c r="B172" s="12" t="s">
        <v>1009</v>
      </c>
      <c r="C172" s="12" t="s">
        <v>948</v>
      </c>
      <c r="D172" s="12" t="s">
        <v>949</v>
      </c>
      <c r="E172" s="12" t="s">
        <v>759</v>
      </c>
      <c r="F172" s="12" t="s">
        <v>1010</v>
      </c>
      <c r="G172" s="12" t="s">
        <v>581</v>
      </c>
      <c r="H172" s="12" t="s">
        <v>1011</v>
      </c>
      <c r="I172" s="12" t="s">
        <v>1012</v>
      </c>
      <c r="J172" s="13" t="s">
        <v>1013</v>
      </c>
      <c r="K172" s="12"/>
      <c r="L172" s="12" t="s">
        <v>1014</v>
      </c>
      <c r="M172" s="12" t="s">
        <v>1029</v>
      </c>
      <c r="N172" s="12" t="s">
        <v>352</v>
      </c>
      <c r="O172" s="12" t="s">
        <v>102</v>
      </c>
      <c r="P172" s="12" t="s">
        <v>103</v>
      </c>
      <c r="Q172" s="12" t="s">
        <v>104</v>
      </c>
      <c r="R172" s="14" t="n">
        <v>0.6</v>
      </c>
      <c r="S172" s="14" t="s">
        <v>129</v>
      </c>
      <c r="T172" s="14" t="s">
        <v>106</v>
      </c>
      <c r="U172" s="14" t="n">
        <v>2024</v>
      </c>
      <c r="V172" s="12" t="s">
        <v>157</v>
      </c>
      <c r="W172" s="14"/>
      <c r="X172" s="15" t="n">
        <f aca="false">IF(OR($S172="%",$R172=""),"",$R172*INDEX(Cambi!$J$2:$J$5,MATCH($S172,Cambi!$I$2:$I$5,0))/IF($T172="EUR",1,INDEX(Cambi!$D:$D,MATCH($T172&amp;"|"&amp;$U172,Cambi!$C:$C,0))))</f>
        <v>600</v>
      </c>
      <c r="Y172" s="12" t="s">
        <v>109</v>
      </c>
      <c r="Z172" s="12" t="s">
        <v>109</v>
      </c>
      <c r="AA172" s="12" t="s">
        <v>1016</v>
      </c>
      <c r="AB172" s="16" t="s">
        <v>110</v>
      </c>
      <c r="AC172" s="16" t="s">
        <v>1017</v>
      </c>
      <c r="AD172" s="12" t="s">
        <v>112</v>
      </c>
      <c r="AE172" s="12" t="s">
        <v>1018</v>
      </c>
      <c r="AF172" s="12" t="s">
        <v>1019</v>
      </c>
      <c r="AG172" s="12" t="s">
        <v>284</v>
      </c>
      <c r="AH172" s="12" t="s">
        <v>116</v>
      </c>
      <c r="AI172" s="12" t="s">
        <v>117</v>
      </c>
      <c r="AJ172" s="12" t="s">
        <v>1030</v>
      </c>
      <c r="AK172" s="12" t="s">
        <v>4</v>
      </c>
    </row>
    <row r="173" customFormat="false" ht="15" hidden="false" customHeight="false" outlineLevel="0" collapsed="false">
      <c r="A173" s="11" t="n">
        <v>172</v>
      </c>
      <c r="B173" s="12" t="s">
        <v>1009</v>
      </c>
      <c r="C173" s="12" t="s">
        <v>948</v>
      </c>
      <c r="D173" s="12" t="s">
        <v>949</v>
      </c>
      <c r="E173" s="12" t="s">
        <v>759</v>
      </c>
      <c r="F173" s="12" t="s">
        <v>1010</v>
      </c>
      <c r="G173" s="12" t="s">
        <v>581</v>
      </c>
      <c r="H173" s="12" t="s">
        <v>1011</v>
      </c>
      <c r="I173" s="12" t="s">
        <v>1012</v>
      </c>
      <c r="J173" s="13" t="s">
        <v>1013</v>
      </c>
      <c r="K173" s="12"/>
      <c r="L173" s="12" t="s">
        <v>1014</v>
      </c>
      <c r="M173" s="12" t="s">
        <v>1031</v>
      </c>
      <c r="N173" s="12" t="s">
        <v>352</v>
      </c>
      <c r="O173" s="12" t="s">
        <v>102</v>
      </c>
      <c r="P173" s="12" t="s">
        <v>103</v>
      </c>
      <c r="Q173" s="12" t="s">
        <v>104</v>
      </c>
      <c r="R173" s="14" t="n">
        <v>0.7</v>
      </c>
      <c r="S173" s="14" t="s">
        <v>129</v>
      </c>
      <c r="T173" s="14" t="s">
        <v>106</v>
      </c>
      <c r="U173" s="14" t="n">
        <v>2025</v>
      </c>
      <c r="V173" s="12" t="s">
        <v>198</v>
      </c>
      <c r="W173" s="14"/>
      <c r="X173" s="15" t="n">
        <f aca="false">IF(OR($S173="%",$R173=""),"",$R173*INDEX(Cambi!$J$2:$J$5,MATCH($S173,Cambi!$I$2:$I$5,0))/IF($T173="EUR",1,INDEX(Cambi!$D:$D,MATCH($T173&amp;"|"&amp;$U173,Cambi!$C:$C,0))))</f>
        <v>700</v>
      </c>
      <c r="Y173" s="12" t="s">
        <v>109</v>
      </c>
      <c r="Z173" s="12" t="s">
        <v>109</v>
      </c>
      <c r="AA173" s="12" t="s">
        <v>1016</v>
      </c>
      <c r="AB173" s="16" t="s">
        <v>110</v>
      </c>
      <c r="AC173" s="16" t="s">
        <v>1017</v>
      </c>
      <c r="AD173" s="12" t="s">
        <v>112</v>
      </c>
      <c r="AE173" s="12" t="s">
        <v>1018</v>
      </c>
      <c r="AF173" s="12" t="s">
        <v>1019</v>
      </c>
      <c r="AG173" s="12" t="s">
        <v>284</v>
      </c>
      <c r="AH173" s="12" t="s">
        <v>116</v>
      </c>
      <c r="AI173" s="12" t="s">
        <v>117</v>
      </c>
      <c r="AJ173" s="12" t="s">
        <v>1032</v>
      </c>
      <c r="AK173" s="12" t="s">
        <v>4</v>
      </c>
    </row>
    <row r="174" customFormat="false" ht="15" hidden="false" customHeight="false" outlineLevel="0" collapsed="false">
      <c r="A174" s="11" t="n">
        <v>173</v>
      </c>
      <c r="B174" s="12" t="s">
        <v>1009</v>
      </c>
      <c r="C174" s="12" t="s">
        <v>948</v>
      </c>
      <c r="D174" s="12" t="s">
        <v>949</v>
      </c>
      <c r="E174" s="12" t="s">
        <v>759</v>
      </c>
      <c r="F174" s="12" t="s">
        <v>1010</v>
      </c>
      <c r="G174" s="12" t="s">
        <v>581</v>
      </c>
      <c r="H174" s="12" t="s">
        <v>1011</v>
      </c>
      <c r="I174" s="12" t="s">
        <v>1012</v>
      </c>
      <c r="J174" s="13" t="s">
        <v>1013</v>
      </c>
      <c r="K174" s="12"/>
      <c r="L174" s="12" t="s">
        <v>1014</v>
      </c>
      <c r="M174" s="12" t="s">
        <v>1033</v>
      </c>
      <c r="N174" s="12" t="s">
        <v>352</v>
      </c>
      <c r="O174" s="12" t="s">
        <v>102</v>
      </c>
      <c r="P174" s="12" t="s">
        <v>103</v>
      </c>
      <c r="Q174" s="12" t="s">
        <v>104</v>
      </c>
      <c r="R174" s="14" t="n">
        <v>0.7</v>
      </c>
      <c r="S174" s="14" t="s">
        <v>129</v>
      </c>
      <c r="T174" s="14" t="s">
        <v>106</v>
      </c>
      <c r="U174" s="14" t="n">
        <v>2026</v>
      </c>
      <c r="V174" s="12" t="s">
        <v>198</v>
      </c>
      <c r="W174" s="14"/>
      <c r="X174" s="15" t="n">
        <f aca="false">IF(OR($S174="%",$R174=""),"",$R174*INDEX(Cambi!$J$2:$J$5,MATCH($S174,Cambi!$I$2:$I$5,0))/IF($T174="EUR",1,INDEX(Cambi!$D:$D,MATCH($T174&amp;"|"&amp;$U174,Cambi!$C:$C,0))))</f>
        <v>700</v>
      </c>
      <c r="Y174" s="12" t="s">
        <v>109</v>
      </c>
      <c r="Z174" s="12" t="s">
        <v>109</v>
      </c>
      <c r="AA174" s="12" t="s">
        <v>1016</v>
      </c>
      <c r="AB174" s="16" t="s">
        <v>110</v>
      </c>
      <c r="AC174" s="16" t="s">
        <v>1017</v>
      </c>
      <c r="AD174" s="12" t="s">
        <v>112</v>
      </c>
      <c r="AE174" s="12" t="s">
        <v>1018</v>
      </c>
      <c r="AF174" s="12" t="s">
        <v>1019</v>
      </c>
      <c r="AG174" s="12" t="s">
        <v>284</v>
      </c>
      <c r="AH174" s="12" t="s">
        <v>116</v>
      </c>
      <c r="AI174" s="12" t="s">
        <v>117</v>
      </c>
      <c r="AJ174" s="12" t="s">
        <v>1034</v>
      </c>
      <c r="AK174" s="12" t="s">
        <v>4</v>
      </c>
    </row>
    <row r="175" customFormat="false" ht="15" hidden="false" customHeight="false" outlineLevel="0" collapsed="false">
      <c r="A175" s="11" t="n">
        <v>174</v>
      </c>
      <c r="B175" s="12" t="s">
        <v>1009</v>
      </c>
      <c r="C175" s="12" t="s">
        <v>948</v>
      </c>
      <c r="D175" s="12" t="s">
        <v>949</v>
      </c>
      <c r="E175" s="12" t="s">
        <v>759</v>
      </c>
      <c r="F175" s="12" t="s">
        <v>1010</v>
      </c>
      <c r="G175" s="12" t="s">
        <v>581</v>
      </c>
      <c r="H175" s="12" t="s">
        <v>1011</v>
      </c>
      <c r="I175" s="12" t="s">
        <v>1012</v>
      </c>
      <c r="J175" s="13" t="s">
        <v>1013</v>
      </c>
      <c r="K175" s="12"/>
      <c r="L175" s="12" t="s">
        <v>1014</v>
      </c>
      <c r="M175" s="12" t="s">
        <v>1035</v>
      </c>
      <c r="N175" s="12" t="s">
        <v>352</v>
      </c>
      <c r="O175" s="12" t="s">
        <v>102</v>
      </c>
      <c r="P175" s="12" t="s">
        <v>103</v>
      </c>
      <c r="Q175" s="12" t="s">
        <v>104</v>
      </c>
      <c r="R175" s="14" t="n">
        <v>0.8</v>
      </c>
      <c r="S175" s="14" t="s">
        <v>129</v>
      </c>
      <c r="T175" s="14" t="s">
        <v>106</v>
      </c>
      <c r="U175" s="14" t="n">
        <v>2027</v>
      </c>
      <c r="V175" s="12" t="s">
        <v>107</v>
      </c>
      <c r="W175" s="14"/>
      <c r="X175" s="15" t="n">
        <f aca="false">IF(OR($S175="%",$R175=""),"",$R175*INDEX(Cambi!$J$2:$J$5,MATCH($S175,Cambi!$I$2:$I$5,0))/IF($T175="EUR",1,INDEX(Cambi!$D:$D,MATCH($T175&amp;"|"&amp;$U175,Cambi!$C:$C,0))))</f>
        <v>800</v>
      </c>
      <c r="Y175" s="12" t="s">
        <v>109</v>
      </c>
      <c r="Z175" s="12" t="s">
        <v>109</v>
      </c>
      <c r="AA175" s="12" t="s">
        <v>1016</v>
      </c>
      <c r="AB175" s="16" t="s">
        <v>110</v>
      </c>
      <c r="AC175" s="16" t="s">
        <v>1017</v>
      </c>
      <c r="AD175" s="12" t="s">
        <v>112</v>
      </c>
      <c r="AE175" s="12" t="s">
        <v>1018</v>
      </c>
      <c r="AF175" s="12" t="s">
        <v>1019</v>
      </c>
      <c r="AG175" s="12" t="s">
        <v>284</v>
      </c>
      <c r="AH175" s="12" t="s">
        <v>116</v>
      </c>
      <c r="AI175" s="12" t="s">
        <v>117</v>
      </c>
      <c r="AJ175" s="12" t="s">
        <v>1020</v>
      </c>
      <c r="AK175" s="12" t="s">
        <v>4</v>
      </c>
    </row>
    <row r="176" customFormat="false" ht="15" hidden="false" customHeight="false" outlineLevel="0" collapsed="false">
      <c r="A176" s="11" t="n">
        <v>175</v>
      </c>
      <c r="B176" s="12" t="s">
        <v>1009</v>
      </c>
      <c r="C176" s="12" t="s">
        <v>948</v>
      </c>
      <c r="D176" s="12" t="s">
        <v>949</v>
      </c>
      <c r="E176" s="12" t="s">
        <v>759</v>
      </c>
      <c r="F176" s="12" t="s">
        <v>1010</v>
      </c>
      <c r="G176" s="12" t="s">
        <v>581</v>
      </c>
      <c r="H176" s="12" t="s">
        <v>1011</v>
      </c>
      <c r="I176" s="12" t="s">
        <v>1012</v>
      </c>
      <c r="J176" s="13" t="s">
        <v>1013</v>
      </c>
      <c r="K176" s="12"/>
      <c r="L176" s="12" t="s">
        <v>1014</v>
      </c>
      <c r="M176" s="12" t="s">
        <v>1036</v>
      </c>
      <c r="N176" s="12" t="s">
        <v>352</v>
      </c>
      <c r="O176" s="12" t="s">
        <v>102</v>
      </c>
      <c r="P176" s="12" t="s">
        <v>103</v>
      </c>
      <c r="Q176" s="12" t="s">
        <v>104</v>
      </c>
      <c r="R176" s="14" t="n">
        <v>0.8</v>
      </c>
      <c r="S176" s="14" t="s">
        <v>129</v>
      </c>
      <c r="T176" s="14" t="s">
        <v>106</v>
      </c>
      <c r="U176" s="14" t="n">
        <v>2028</v>
      </c>
      <c r="V176" s="12" t="s">
        <v>107</v>
      </c>
      <c r="W176" s="14"/>
      <c r="X176" s="15" t="n">
        <f aca="false">IF(OR($S176="%",$R176=""),"",$R176*INDEX(Cambi!$J$2:$J$5,MATCH($S176,Cambi!$I$2:$I$5,0))/IF($T176="EUR",1,INDEX(Cambi!$D:$D,MATCH($T176&amp;"|"&amp;$U176,Cambi!$C:$C,0))))</f>
        <v>800</v>
      </c>
      <c r="Y176" s="12" t="s">
        <v>109</v>
      </c>
      <c r="Z176" s="12" t="s">
        <v>109</v>
      </c>
      <c r="AA176" s="12" t="s">
        <v>1016</v>
      </c>
      <c r="AB176" s="16" t="s">
        <v>110</v>
      </c>
      <c r="AC176" s="16" t="s">
        <v>1017</v>
      </c>
      <c r="AD176" s="12" t="s">
        <v>112</v>
      </c>
      <c r="AE176" s="12" t="s">
        <v>1018</v>
      </c>
      <c r="AF176" s="12" t="s">
        <v>1019</v>
      </c>
      <c r="AG176" s="12" t="s">
        <v>284</v>
      </c>
      <c r="AH176" s="12" t="s">
        <v>116</v>
      </c>
      <c r="AI176" s="12" t="s">
        <v>117</v>
      </c>
      <c r="AJ176" s="12" t="s">
        <v>1020</v>
      </c>
      <c r="AK176" s="12" t="s">
        <v>4</v>
      </c>
    </row>
    <row r="177" customFormat="false" ht="15" hidden="false" customHeight="false" outlineLevel="0" collapsed="false">
      <c r="A177" s="11" t="n">
        <v>176</v>
      </c>
      <c r="B177" s="12" t="s">
        <v>1009</v>
      </c>
      <c r="C177" s="12" t="s">
        <v>948</v>
      </c>
      <c r="D177" s="12" t="s">
        <v>949</v>
      </c>
      <c r="E177" s="12" t="s">
        <v>759</v>
      </c>
      <c r="F177" s="12" t="s">
        <v>1010</v>
      </c>
      <c r="G177" s="12" t="s">
        <v>581</v>
      </c>
      <c r="H177" s="12" t="s">
        <v>1011</v>
      </c>
      <c r="I177" s="12" t="s">
        <v>1012</v>
      </c>
      <c r="J177" s="13" t="s">
        <v>1013</v>
      </c>
      <c r="K177" s="12"/>
      <c r="L177" s="12" t="s">
        <v>1021</v>
      </c>
      <c r="M177" s="12" t="s">
        <v>1037</v>
      </c>
      <c r="N177" s="12" t="s">
        <v>352</v>
      </c>
      <c r="O177" s="12" t="s">
        <v>196</v>
      </c>
      <c r="P177" s="12" t="s">
        <v>155</v>
      </c>
      <c r="Q177" s="12" t="s">
        <v>787</v>
      </c>
      <c r="R177" s="14" t="n">
        <v>42</v>
      </c>
      <c r="S177" s="14" t="s">
        <v>197</v>
      </c>
      <c r="T177" s="14"/>
      <c r="U177" s="14" t="n">
        <v>2028</v>
      </c>
      <c r="V177" s="12" t="s">
        <v>107</v>
      </c>
      <c r="W177" s="14"/>
      <c r="X177" s="15" t="str">
        <f aca="false">IF(OR($S177="%",$R177=""),"",$R177*INDEX(Cambi!$J$2:$J$5,MATCH($S177,Cambi!$I$2:$I$5,0))/IF($T177="EUR",1,INDEX(Cambi!$D:$D,MATCH($T177&amp;"|"&amp;$U177,Cambi!$C:$C,0))))</f>
        <v/>
      </c>
      <c r="Y177" s="12" t="s">
        <v>109</v>
      </c>
      <c r="Z177" s="12" t="s">
        <v>109</v>
      </c>
      <c r="AA177" s="12" t="s">
        <v>1016</v>
      </c>
      <c r="AB177" s="16" t="s">
        <v>110</v>
      </c>
      <c r="AC177" s="16" t="s">
        <v>1017</v>
      </c>
      <c r="AD177" s="12" t="s">
        <v>112</v>
      </c>
      <c r="AE177" s="12" t="s">
        <v>1018</v>
      </c>
      <c r="AF177" s="12" t="s">
        <v>1023</v>
      </c>
      <c r="AG177" s="12" t="s">
        <v>284</v>
      </c>
      <c r="AH177" s="12" t="s">
        <v>116</v>
      </c>
      <c r="AI177" s="12" t="s">
        <v>117</v>
      </c>
      <c r="AJ177" s="12" t="s">
        <v>1028</v>
      </c>
      <c r="AK177" s="12" t="s">
        <v>4</v>
      </c>
    </row>
    <row r="178" customFormat="false" ht="15" hidden="false" customHeight="false" outlineLevel="0" collapsed="false">
      <c r="A178" s="11" t="n">
        <v>177</v>
      </c>
      <c r="B178" s="12" t="s">
        <v>1009</v>
      </c>
      <c r="C178" s="12" t="s">
        <v>948</v>
      </c>
      <c r="D178" s="12" t="s">
        <v>949</v>
      </c>
      <c r="E178" s="12" t="s">
        <v>759</v>
      </c>
      <c r="F178" s="12" t="s">
        <v>1010</v>
      </c>
      <c r="G178" s="12" t="s">
        <v>581</v>
      </c>
      <c r="H178" s="12" t="s">
        <v>1011</v>
      </c>
      <c r="I178" s="12" t="s">
        <v>1012</v>
      </c>
      <c r="J178" s="13" t="s">
        <v>1013</v>
      </c>
      <c r="K178" s="12"/>
      <c r="L178" s="12" t="s">
        <v>1025</v>
      </c>
      <c r="M178" s="12" t="s">
        <v>1038</v>
      </c>
      <c r="N178" s="12" t="s">
        <v>352</v>
      </c>
      <c r="O178" s="12" t="s">
        <v>196</v>
      </c>
      <c r="P178" s="12" t="s">
        <v>155</v>
      </c>
      <c r="Q178" s="12" t="s">
        <v>1027</v>
      </c>
      <c r="R178" s="14" t="n">
        <v>58</v>
      </c>
      <c r="S178" s="14" t="s">
        <v>197</v>
      </c>
      <c r="T178" s="14"/>
      <c r="U178" s="14" t="n">
        <v>2028</v>
      </c>
      <c r="V178" s="12" t="s">
        <v>107</v>
      </c>
      <c r="W178" s="14"/>
      <c r="X178" s="15" t="str">
        <f aca="false">IF(OR($S178="%",$R178=""),"",$R178*INDEX(Cambi!$J$2:$J$5,MATCH($S178,Cambi!$I$2:$I$5,0))/IF($T178="EUR",1,INDEX(Cambi!$D:$D,MATCH($T178&amp;"|"&amp;$U178,Cambi!$C:$C,0))))</f>
        <v/>
      </c>
      <c r="Y178" s="12" t="s">
        <v>109</v>
      </c>
      <c r="Z178" s="12" t="s">
        <v>109</v>
      </c>
      <c r="AA178" s="12" t="s">
        <v>1016</v>
      </c>
      <c r="AB178" s="16" t="s">
        <v>110</v>
      </c>
      <c r="AC178" s="16" t="s">
        <v>1017</v>
      </c>
      <c r="AD178" s="12" t="s">
        <v>112</v>
      </c>
      <c r="AE178" s="12" t="s">
        <v>1018</v>
      </c>
      <c r="AF178" s="12" t="s">
        <v>1023</v>
      </c>
      <c r="AG178" s="12" t="s">
        <v>284</v>
      </c>
      <c r="AH178" s="12" t="s">
        <v>116</v>
      </c>
      <c r="AI178" s="12" t="s">
        <v>117</v>
      </c>
      <c r="AJ178" s="12" t="s">
        <v>1028</v>
      </c>
      <c r="AK178" s="12" t="s">
        <v>4</v>
      </c>
    </row>
    <row r="179" customFormat="false" ht="15" hidden="false" customHeight="false" outlineLevel="0" collapsed="false">
      <c r="A179" s="11" t="n">
        <v>178</v>
      </c>
      <c r="B179" s="12" t="s">
        <v>1039</v>
      </c>
      <c r="C179" s="12" t="s">
        <v>948</v>
      </c>
      <c r="D179" s="12" t="s">
        <v>949</v>
      </c>
      <c r="E179" s="12" t="s">
        <v>759</v>
      </c>
      <c r="F179" s="12" t="s">
        <v>1040</v>
      </c>
      <c r="G179" s="12" t="s">
        <v>771</v>
      </c>
      <c r="H179" s="12" t="s">
        <v>1041</v>
      </c>
      <c r="I179" s="12" t="s">
        <v>940</v>
      </c>
      <c r="J179" s="13" t="s">
        <v>1042</v>
      </c>
      <c r="K179" s="12"/>
      <c r="L179" s="12" t="s">
        <v>1043</v>
      </c>
      <c r="M179" s="12" t="s">
        <v>1044</v>
      </c>
      <c r="N179" s="12" t="s">
        <v>101</v>
      </c>
      <c r="O179" s="12" t="s">
        <v>102</v>
      </c>
      <c r="P179" s="12" t="s">
        <v>103</v>
      </c>
      <c r="Q179" s="12" t="s">
        <v>104</v>
      </c>
      <c r="R179" s="14" t="n">
        <v>15</v>
      </c>
      <c r="S179" s="14" t="s">
        <v>105</v>
      </c>
      <c r="T179" s="14" t="s">
        <v>106</v>
      </c>
      <c r="U179" s="14" t="n">
        <v>2020</v>
      </c>
      <c r="V179" s="12" t="s">
        <v>157</v>
      </c>
      <c r="W179" s="14"/>
      <c r="X179" s="15" t="n">
        <f aca="false">IF(OR($S179="%",$R179=""),"",$R179*INDEX(Cambi!$J$2:$J$5,MATCH($S179,Cambi!$I$2:$I$5,0))/IF($T179="EUR",1,INDEX(Cambi!$D:$D,MATCH($T179&amp;"|"&amp;$U179,Cambi!$C:$C,0))))</f>
        <v>15</v>
      </c>
      <c r="Y179" s="12" t="s">
        <v>108</v>
      </c>
      <c r="Z179" s="12" t="s">
        <v>109</v>
      </c>
      <c r="AA179" s="12" t="s">
        <v>109</v>
      </c>
      <c r="AB179" s="16" t="s">
        <v>394</v>
      </c>
      <c r="AC179" s="16" t="s">
        <v>1045</v>
      </c>
      <c r="AD179" s="12" t="s">
        <v>112</v>
      </c>
      <c r="AE179" s="12" t="s">
        <v>1046</v>
      </c>
      <c r="AF179" s="12" t="s">
        <v>1047</v>
      </c>
      <c r="AG179" s="12" t="s">
        <v>498</v>
      </c>
      <c r="AH179" s="12" t="s">
        <v>116</v>
      </c>
      <c r="AI179" s="12" t="s">
        <v>117</v>
      </c>
      <c r="AJ179" s="12" t="s">
        <v>1048</v>
      </c>
      <c r="AK179" s="12" t="s">
        <v>4</v>
      </c>
    </row>
    <row r="180" customFormat="false" ht="15" hidden="false" customHeight="false" outlineLevel="0" collapsed="false">
      <c r="A180" s="11" t="n">
        <v>179</v>
      </c>
      <c r="B180" s="12" t="s">
        <v>1039</v>
      </c>
      <c r="C180" s="12" t="s">
        <v>948</v>
      </c>
      <c r="D180" s="12" t="s">
        <v>949</v>
      </c>
      <c r="E180" s="12" t="s">
        <v>759</v>
      </c>
      <c r="F180" s="12" t="s">
        <v>1040</v>
      </c>
      <c r="G180" s="12" t="s">
        <v>771</v>
      </c>
      <c r="H180" s="12" t="s">
        <v>1041</v>
      </c>
      <c r="I180" s="12" t="s">
        <v>940</v>
      </c>
      <c r="J180" s="13" t="s">
        <v>1042</v>
      </c>
      <c r="K180" s="12"/>
      <c r="L180" s="12" t="s">
        <v>1049</v>
      </c>
      <c r="M180" s="12" t="s">
        <v>1050</v>
      </c>
      <c r="N180" s="12" t="s">
        <v>101</v>
      </c>
      <c r="O180" s="12" t="s">
        <v>102</v>
      </c>
      <c r="P180" s="12" t="s">
        <v>103</v>
      </c>
      <c r="Q180" s="12" t="s">
        <v>104</v>
      </c>
      <c r="R180" s="14" t="n">
        <v>36</v>
      </c>
      <c r="S180" s="14" t="s">
        <v>105</v>
      </c>
      <c r="T180" s="14" t="s">
        <v>106</v>
      </c>
      <c r="U180" s="14" t="n">
        <v>2021</v>
      </c>
      <c r="V180" s="12" t="s">
        <v>107</v>
      </c>
      <c r="W180" s="14"/>
      <c r="X180" s="15" t="n">
        <f aca="false">IF(OR($S180="%",$R180=""),"",$R180*INDEX(Cambi!$J$2:$J$5,MATCH($S180,Cambi!$I$2:$I$5,0))/IF($T180="EUR",1,INDEX(Cambi!$D:$D,MATCH($T180&amp;"|"&amp;$U180,Cambi!$C:$C,0))))</f>
        <v>36</v>
      </c>
      <c r="Y180" s="12" t="s">
        <v>108</v>
      </c>
      <c r="Z180" s="12" t="s">
        <v>109</v>
      </c>
      <c r="AA180" s="12" t="s">
        <v>109</v>
      </c>
      <c r="AB180" s="16" t="s">
        <v>394</v>
      </c>
      <c r="AC180" s="16" t="s">
        <v>1045</v>
      </c>
      <c r="AD180" s="12" t="s">
        <v>112</v>
      </c>
      <c r="AE180" s="12" t="s">
        <v>1046</v>
      </c>
      <c r="AF180" s="12" t="s">
        <v>1051</v>
      </c>
      <c r="AG180" s="12" t="s">
        <v>498</v>
      </c>
      <c r="AH180" s="12" t="s">
        <v>116</v>
      </c>
      <c r="AI180" s="12" t="s">
        <v>117</v>
      </c>
      <c r="AJ180" s="12" t="s">
        <v>1052</v>
      </c>
      <c r="AK180" s="12" t="s">
        <v>4</v>
      </c>
    </row>
    <row r="181" customFormat="false" ht="15" hidden="false" customHeight="false" outlineLevel="0" collapsed="false">
      <c r="A181" s="11" t="n">
        <v>180</v>
      </c>
      <c r="B181" s="12" t="s">
        <v>1053</v>
      </c>
      <c r="C181" s="12" t="s">
        <v>948</v>
      </c>
      <c r="D181" s="12" t="s">
        <v>949</v>
      </c>
      <c r="E181" s="12" t="s">
        <v>759</v>
      </c>
      <c r="F181" s="12" t="s">
        <v>1054</v>
      </c>
      <c r="G181" s="12" t="s">
        <v>1055</v>
      </c>
      <c r="H181" s="12" t="s">
        <v>1056</v>
      </c>
      <c r="I181" s="12" t="s">
        <v>1057</v>
      </c>
      <c r="J181" s="13" t="s">
        <v>1058</v>
      </c>
      <c r="K181" s="12" t="s">
        <v>1059</v>
      </c>
      <c r="L181" s="12" t="s">
        <v>1060</v>
      </c>
      <c r="M181" s="12" t="s">
        <v>1061</v>
      </c>
      <c r="N181" s="12" t="s">
        <v>352</v>
      </c>
      <c r="O181" s="12" t="s">
        <v>102</v>
      </c>
      <c r="P181" s="12" t="s">
        <v>103</v>
      </c>
      <c r="Q181" s="12" t="s">
        <v>104</v>
      </c>
      <c r="R181" s="14" t="n">
        <v>700</v>
      </c>
      <c r="S181" s="14" t="s">
        <v>105</v>
      </c>
      <c r="T181" s="14" t="s">
        <v>106</v>
      </c>
      <c r="U181" s="14" t="n">
        <v>2026</v>
      </c>
      <c r="V181" s="12" t="s">
        <v>198</v>
      </c>
      <c r="W181" s="14"/>
      <c r="X181" s="15" t="n">
        <f aca="false">IF(OR($S181="%",$R181=""),"",$R181*INDEX(Cambi!$J$2:$J$5,MATCH($S181,Cambi!$I$2:$I$5,0))/IF($T181="EUR",1,INDEX(Cambi!$D:$D,MATCH($T181&amp;"|"&amp;$U181,Cambi!$C:$C,0))))</f>
        <v>700</v>
      </c>
      <c r="Y181" s="12" t="s">
        <v>109</v>
      </c>
      <c r="Z181" s="12" t="s">
        <v>109</v>
      </c>
      <c r="AA181" s="12" t="s">
        <v>109</v>
      </c>
      <c r="AB181" s="16" t="s">
        <v>110</v>
      </c>
      <c r="AC181" s="16" t="s">
        <v>1062</v>
      </c>
      <c r="AD181" s="12" t="s">
        <v>281</v>
      </c>
      <c r="AE181" s="12" t="s">
        <v>282</v>
      </c>
      <c r="AF181" s="12" t="s">
        <v>1063</v>
      </c>
      <c r="AG181" s="12" t="s">
        <v>284</v>
      </c>
      <c r="AH181" s="12" t="s">
        <v>116</v>
      </c>
      <c r="AI181" s="12" t="s">
        <v>117</v>
      </c>
      <c r="AJ181" s="12" t="s">
        <v>1064</v>
      </c>
      <c r="AK181" s="12" t="s">
        <v>4</v>
      </c>
    </row>
    <row r="182" customFormat="false" ht="15" hidden="false" customHeight="false" outlineLevel="0" collapsed="false">
      <c r="A182" s="11" t="n">
        <v>181</v>
      </c>
      <c r="B182" s="12" t="s">
        <v>1065</v>
      </c>
      <c r="C182" s="12" t="s">
        <v>948</v>
      </c>
      <c r="D182" s="12" t="s">
        <v>949</v>
      </c>
      <c r="E182" s="12" t="s">
        <v>759</v>
      </c>
      <c r="F182" s="12" t="s">
        <v>1066</v>
      </c>
      <c r="G182" s="12" t="s">
        <v>1055</v>
      </c>
      <c r="H182" s="12" t="s">
        <v>1067</v>
      </c>
      <c r="I182" s="12" t="s">
        <v>1068</v>
      </c>
      <c r="J182" s="13" t="s">
        <v>1069</v>
      </c>
      <c r="K182" s="12" t="s">
        <v>1070</v>
      </c>
      <c r="L182" s="12" t="s">
        <v>1071</v>
      </c>
      <c r="M182" s="12" t="s">
        <v>1072</v>
      </c>
      <c r="N182" s="12" t="s">
        <v>212</v>
      </c>
      <c r="O182" s="12" t="s">
        <v>102</v>
      </c>
      <c r="P182" s="12" t="s">
        <v>103</v>
      </c>
      <c r="Q182" s="12" t="s">
        <v>104</v>
      </c>
      <c r="R182" s="14" t="n">
        <v>40.3</v>
      </c>
      <c r="S182" s="14" t="s">
        <v>105</v>
      </c>
      <c r="T182" s="14" t="s">
        <v>106</v>
      </c>
      <c r="U182" s="14" t="n">
        <v>2021</v>
      </c>
      <c r="V182" s="12" t="s">
        <v>157</v>
      </c>
      <c r="W182" s="14"/>
      <c r="X182" s="15" t="n">
        <f aca="false">IF(OR($S182="%",$R182=""),"",$R182*INDEX(Cambi!$J$2:$J$5,MATCH($S182,Cambi!$I$2:$I$5,0))/IF($T182="EUR",1,INDEX(Cambi!$D:$D,MATCH($T182&amp;"|"&amp;$U182,Cambi!$C:$C,0))))</f>
        <v>40.3</v>
      </c>
      <c r="Y182" s="12" t="s">
        <v>108</v>
      </c>
      <c r="Z182" s="12" t="s">
        <v>109</v>
      </c>
      <c r="AA182" s="12" t="s">
        <v>109</v>
      </c>
      <c r="AB182" s="12" t="s">
        <v>394</v>
      </c>
      <c r="AC182" s="12" t="s">
        <v>395</v>
      </c>
      <c r="AD182" s="12" t="s">
        <v>281</v>
      </c>
      <c r="AE182" s="12" t="s">
        <v>1073</v>
      </c>
      <c r="AF182" s="12" t="s">
        <v>1074</v>
      </c>
      <c r="AG182" s="12" t="s">
        <v>498</v>
      </c>
      <c r="AH182" s="12" t="s">
        <v>499</v>
      </c>
      <c r="AI182" s="12" t="s">
        <v>285</v>
      </c>
      <c r="AJ182" s="12" t="s">
        <v>1075</v>
      </c>
      <c r="AK182" s="12" t="s">
        <v>4</v>
      </c>
    </row>
    <row r="183" customFormat="false" ht="15" hidden="false" customHeight="false" outlineLevel="0" collapsed="false">
      <c r="A183" s="11" t="n">
        <v>182</v>
      </c>
      <c r="B183" s="12" t="s">
        <v>1065</v>
      </c>
      <c r="C183" s="12" t="s">
        <v>948</v>
      </c>
      <c r="D183" s="12" t="s">
        <v>949</v>
      </c>
      <c r="E183" s="12" t="s">
        <v>759</v>
      </c>
      <c r="F183" s="12" t="s">
        <v>1066</v>
      </c>
      <c r="G183" s="12" t="s">
        <v>1055</v>
      </c>
      <c r="H183" s="12" t="s">
        <v>1067</v>
      </c>
      <c r="I183" s="12" t="s">
        <v>1068</v>
      </c>
      <c r="J183" s="13" t="s">
        <v>1069</v>
      </c>
      <c r="K183" s="12" t="s">
        <v>1070</v>
      </c>
      <c r="L183" s="12" t="s">
        <v>1076</v>
      </c>
      <c r="M183" s="12" t="s">
        <v>1077</v>
      </c>
      <c r="N183" s="12" t="s">
        <v>212</v>
      </c>
      <c r="O183" s="12" t="s">
        <v>102</v>
      </c>
      <c r="P183" s="12" t="s">
        <v>103</v>
      </c>
      <c r="Q183" s="12" t="s">
        <v>104</v>
      </c>
      <c r="R183" s="14" t="n">
        <v>80.8</v>
      </c>
      <c r="S183" s="14" t="s">
        <v>105</v>
      </c>
      <c r="T183" s="14" t="s">
        <v>106</v>
      </c>
      <c r="U183" s="14" t="n">
        <v>2025</v>
      </c>
      <c r="V183" s="12" t="s">
        <v>107</v>
      </c>
      <c r="W183" s="14"/>
      <c r="X183" s="15" t="n">
        <f aca="false">IF(OR($S183="%",$R183=""),"",$R183*INDEX(Cambi!$J$2:$J$5,MATCH($S183,Cambi!$I$2:$I$5,0))/IF($T183="EUR",1,INDEX(Cambi!$D:$D,MATCH($T183&amp;"|"&amp;$U183,Cambi!$C:$C,0))))</f>
        <v>80.8</v>
      </c>
      <c r="Y183" s="12" t="s">
        <v>108</v>
      </c>
      <c r="Z183" s="12" t="s">
        <v>109</v>
      </c>
      <c r="AA183" s="12" t="s">
        <v>109</v>
      </c>
      <c r="AB183" s="12" t="s">
        <v>394</v>
      </c>
      <c r="AC183" s="12" t="s">
        <v>395</v>
      </c>
      <c r="AD183" s="12" t="s">
        <v>281</v>
      </c>
      <c r="AE183" s="12" t="s">
        <v>1073</v>
      </c>
      <c r="AF183" s="12" t="s">
        <v>1078</v>
      </c>
      <c r="AG183" s="12" t="s">
        <v>498</v>
      </c>
      <c r="AH183" s="12" t="s">
        <v>499</v>
      </c>
      <c r="AI183" s="12" t="s">
        <v>285</v>
      </c>
      <c r="AJ183" s="12" t="s">
        <v>266</v>
      </c>
      <c r="AK183" s="12" t="s">
        <v>4</v>
      </c>
    </row>
    <row r="184" customFormat="false" ht="15" hidden="false" customHeight="false" outlineLevel="0" collapsed="false">
      <c r="A184" s="11" t="n">
        <v>183</v>
      </c>
      <c r="B184" s="12" t="s">
        <v>1079</v>
      </c>
      <c r="C184" s="12" t="s">
        <v>948</v>
      </c>
      <c r="D184" s="12" t="s">
        <v>949</v>
      </c>
      <c r="E184" s="12" t="s">
        <v>759</v>
      </c>
      <c r="F184" s="12" t="s">
        <v>1080</v>
      </c>
      <c r="G184" s="12" t="s">
        <v>771</v>
      </c>
      <c r="H184" s="12" t="s">
        <v>1081</v>
      </c>
      <c r="I184" s="12" t="s">
        <v>181</v>
      </c>
      <c r="J184" s="13" t="s">
        <v>1082</v>
      </c>
      <c r="K184" s="12" t="s">
        <v>1083</v>
      </c>
      <c r="L184" s="12" t="s">
        <v>1084</v>
      </c>
      <c r="M184" s="12" t="s">
        <v>1085</v>
      </c>
      <c r="N184" s="12" t="s">
        <v>352</v>
      </c>
      <c r="O184" s="12" t="s">
        <v>102</v>
      </c>
      <c r="P184" s="12" t="s">
        <v>155</v>
      </c>
      <c r="Q184" s="12" t="s">
        <v>1027</v>
      </c>
      <c r="R184" s="14" t="n">
        <v>334</v>
      </c>
      <c r="S184" s="14" t="s">
        <v>105</v>
      </c>
      <c r="T184" s="14" t="s">
        <v>106</v>
      </c>
      <c r="U184" s="14" t="n">
        <v>2024</v>
      </c>
      <c r="V184" s="12" t="s">
        <v>157</v>
      </c>
      <c r="W184" s="14"/>
      <c r="X184" s="15" t="n">
        <f aca="false">IF(OR($S184="%",$R184=""),"",$R184*INDEX(Cambi!$J$2:$J$5,MATCH($S184,Cambi!$I$2:$I$5,0))/IF($T184="EUR",1,INDEX(Cambi!$D:$D,MATCH($T184&amp;"|"&amp;$U184,Cambi!$C:$C,0))))</f>
        <v>334</v>
      </c>
      <c r="Y184" s="12" t="s">
        <v>109</v>
      </c>
      <c r="Z184" s="12" t="s">
        <v>109</v>
      </c>
      <c r="AA184" s="12" t="s">
        <v>109</v>
      </c>
      <c r="AB184" s="16" t="s">
        <v>110</v>
      </c>
      <c r="AC184" s="16" t="s">
        <v>1086</v>
      </c>
      <c r="AD184" s="12" t="s">
        <v>281</v>
      </c>
      <c r="AE184" s="12" t="s">
        <v>282</v>
      </c>
      <c r="AF184" s="12" t="s">
        <v>1087</v>
      </c>
      <c r="AG184" s="12" t="s">
        <v>284</v>
      </c>
      <c r="AH184" s="12" t="s">
        <v>116</v>
      </c>
      <c r="AI184" s="12" t="s">
        <v>285</v>
      </c>
      <c r="AJ184" s="12" t="s">
        <v>266</v>
      </c>
      <c r="AK184" s="12" t="s">
        <v>4</v>
      </c>
    </row>
    <row r="185" customFormat="false" ht="15" hidden="false" customHeight="false" outlineLevel="0" collapsed="false">
      <c r="A185" s="11" t="n">
        <v>184</v>
      </c>
      <c r="B185" s="12" t="s">
        <v>1079</v>
      </c>
      <c r="C185" s="12" t="s">
        <v>948</v>
      </c>
      <c r="D185" s="12" t="s">
        <v>949</v>
      </c>
      <c r="E185" s="12" t="s">
        <v>759</v>
      </c>
      <c r="F185" s="12" t="s">
        <v>1080</v>
      </c>
      <c r="G185" s="12" t="s">
        <v>771</v>
      </c>
      <c r="H185" s="12" t="s">
        <v>1081</v>
      </c>
      <c r="I185" s="12" t="s">
        <v>181</v>
      </c>
      <c r="J185" s="13" t="s">
        <v>1082</v>
      </c>
      <c r="K185" s="12" t="s">
        <v>1083</v>
      </c>
      <c r="L185" s="12" t="s">
        <v>1088</v>
      </c>
      <c r="M185" s="12" t="s">
        <v>1089</v>
      </c>
      <c r="N185" s="12" t="s">
        <v>352</v>
      </c>
      <c r="O185" s="12" t="s">
        <v>102</v>
      </c>
      <c r="P185" s="12" t="s">
        <v>103</v>
      </c>
      <c r="Q185" s="12" t="s">
        <v>104</v>
      </c>
      <c r="R185" s="14" t="n">
        <v>648</v>
      </c>
      <c r="S185" s="14" t="s">
        <v>105</v>
      </c>
      <c r="T185" s="14" t="s">
        <v>106</v>
      </c>
      <c r="U185" s="14" t="n">
        <v>2025</v>
      </c>
      <c r="V185" s="12" t="s">
        <v>198</v>
      </c>
      <c r="W185" s="14" t="s">
        <v>1090</v>
      </c>
      <c r="X185" s="15" t="n">
        <f aca="false">IF(OR($S185="%",$R185=""),"",$R185*INDEX(Cambi!$J$2:$J$5,MATCH($S185,Cambi!$I$2:$I$5,0))/IF($T185="EUR",1,INDEX(Cambi!$D:$D,MATCH($T185&amp;"|"&amp;$U185,Cambi!$C:$C,0))))</f>
        <v>648</v>
      </c>
      <c r="Y185" s="12" t="s">
        <v>109</v>
      </c>
      <c r="Z185" s="12" t="s">
        <v>109</v>
      </c>
      <c r="AA185" s="12" t="s">
        <v>1091</v>
      </c>
      <c r="AB185" s="16" t="s">
        <v>110</v>
      </c>
      <c r="AC185" s="16" t="s">
        <v>1086</v>
      </c>
      <c r="AD185" s="12" t="s">
        <v>281</v>
      </c>
      <c r="AE185" s="12" t="s">
        <v>282</v>
      </c>
      <c r="AF185" s="12" t="s">
        <v>1092</v>
      </c>
      <c r="AG185" s="12" t="s">
        <v>284</v>
      </c>
      <c r="AH185" s="12" t="s">
        <v>116</v>
      </c>
      <c r="AI185" s="12" t="s">
        <v>285</v>
      </c>
      <c r="AJ185" s="12" t="s">
        <v>1093</v>
      </c>
      <c r="AK185" s="12" t="s">
        <v>4</v>
      </c>
    </row>
    <row r="186" customFormat="false" ht="15" hidden="false" customHeight="false" outlineLevel="0" collapsed="false">
      <c r="A186" s="11" t="n">
        <v>185</v>
      </c>
      <c r="B186" s="12" t="s">
        <v>1079</v>
      </c>
      <c r="C186" s="12" t="s">
        <v>948</v>
      </c>
      <c r="D186" s="12" t="s">
        <v>949</v>
      </c>
      <c r="E186" s="12" t="s">
        <v>759</v>
      </c>
      <c r="F186" s="12" t="s">
        <v>1080</v>
      </c>
      <c r="G186" s="12" t="s">
        <v>771</v>
      </c>
      <c r="H186" s="12" t="s">
        <v>1081</v>
      </c>
      <c r="I186" s="12" t="s">
        <v>181</v>
      </c>
      <c r="J186" s="13" t="s">
        <v>1082</v>
      </c>
      <c r="K186" s="12" t="s">
        <v>1083</v>
      </c>
      <c r="L186" s="12" t="s">
        <v>1094</v>
      </c>
      <c r="M186" s="12" t="s">
        <v>1095</v>
      </c>
      <c r="N186" s="12" t="s">
        <v>352</v>
      </c>
      <c r="O186" s="12" t="s">
        <v>102</v>
      </c>
      <c r="P186" s="12" t="s">
        <v>103</v>
      </c>
      <c r="Q186" s="12" t="s">
        <v>104</v>
      </c>
      <c r="R186" s="14" t="n">
        <v>834</v>
      </c>
      <c r="S186" s="14" t="s">
        <v>105</v>
      </c>
      <c r="T186" s="14" t="s">
        <v>106</v>
      </c>
      <c r="U186" s="14" t="n">
        <v>2029</v>
      </c>
      <c r="V186" s="12" t="s">
        <v>107</v>
      </c>
      <c r="W186" s="14" t="s">
        <v>1090</v>
      </c>
      <c r="X186" s="15" t="n">
        <f aca="false">IF(OR($S186="%",$R186=""),"",$R186*INDEX(Cambi!$J$2:$J$5,MATCH($S186,Cambi!$I$2:$I$5,0))/IF($T186="EUR",1,INDEX(Cambi!$D:$D,MATCH($T186&amp;"|"&amp;$U186,Cambi!$C:$C,0))))</f>
        <v>834</v>
      </c>
      <c r="Y186" s="12" t="s">
        <v>109</v>
      </c>
      <c r="Z186" s="12" t="s">
        <v>109</v>
      </c>
      <c r="AA186" s="12" t="s">
        <v>109</v>
      </c>
      <c r="AB186" s="16" t="s">
        <v>110</v>
      </c>
      <c r="AC186" s="16" t="s">
        <v>1086</v>
      </c>
      <c r="AD186" s="12" t="s">
        <v>281</v>
      </c>
      <c r="AE186" s="12" t="s">
        <v>282</v>
      </c>
      <c r="AF186" s="12" t="s">
        <v>1096</v>
      </c>
      <c r="AG186" s="12" t="s">
        <v>284</v>
      </c>
      <c r="AH186" s="12" t="s">
        <v>116</v>
      </c>
      <c r="AI186" s="12" t="s">
        <v>285</v>
      </c>
      <c r="AJ186" s="12" t="s">
        <v>266</v>
      </c>
      <c r="AK186" s="12" t="s">
        <v>4</v>
      </c>
    </row>
    <row r="187" customFormat="false" ht="15" hidden="false" customHeight="false" outlineLevel="0" collapsed="false">
      <c r="A187" s="11" t="n">
        <v>186</v>
      </c>
      <c r="B187" s="12" t="s">
        <v>1097</v>
      </c>
      <c r="C187" s="12" t="s">
        <v>948</v>
      </c>
      <c r="D187" s="12" t="s">
        <v>949</v>
      </c>
      <c r="E187" s="12" t="s">
        <v>759</v>
      </c>
      <c r="F187" s="12" t="s">
        <v>845</v>
      </c>
      <c r="G187" s="12" t="s">
        <v>830</v>
      </c>
      <c r="H187" s="12" t="s">
        <v>1098</v>
      </c>
      <c r="I187" s="12" t="s">
        <v>847</v>
      </c>
      <c r="J187" s="13" t="s">
        <v>1099</v>
      </c>
      <c r="K187" s="12"/>
      <c r="L187" s="12" t="s">
        <v>1100</v>
      </c>
      <c r="M187" s="12" t="s">
        <v>1101</v>
      </c>
      <c r="N187" s="12" t="s">
        <v>352</v>
      </c>
      <c r="O187" s="12" t="s">
        <v>102</v>
      </c>
      <c r="P187" s="12" t="s">
        <v>103</v>
      </c>
      <c r="Q187" s="12" t="s">
        <v>104</v>
      </c>
      <c r="R187" s="14" t="n">
        <v>453</v>
      </c>
      <c r="S187" s="14" t="s">
        <v>105</v>
      </c>
      <c r="T187" s="14" t="s">
        <v>653</v>
      </c>
      <c r="U187" s="14" t="n">
        <v>2025</v>
      </c>
      <c r="V187" s="12" t="s">
        <v>157</v>
      </c>
      <c r="W187" s="14"/>
      <c r="X187" s="15" t="n">
        <f aca="false">IF(OR($S187="%",$R187=""),"",$R187*INDEX(Cambi!$J$2:$J$5,MATCH($S187,Cambi!$I$2:$I$5,0))/IF($T187="EUR",1,INDEX(Cambi!$D:$D,MATCH($T187&amp;"|"&amp;$U187,Cambi!$C:$C,0))))</f>
        <v>400.884955752212</v>
      </c>
      <c r="Y187" s="12" t="s">
        <v>109</v>
      </c>
      <c r="Z187" s="12" t="s">
        <v>109</v>
      </c>
      <c r="AA187" s="12" t="s">
        <v>109</v>
      </c>
      <c r="AB187" s="16" t="s">
        <v>110</v>
      </c>
      <c r="AC187" s="16" t="s">
        <v>836</v>
      </c>
      <c r="AD187" s="12" t="s">
        <v>112</v>
      </c>
      <c r="AE187" s="12" t="s">
        <v>282</v>
      </c>
      <c r="AF187" s="12" t="s">
        <v>1102</v>
      </c>
      <c r="AG187" s="12" t="s">
        <v>284</v>
      </c>
      <c r="AH187" s="12" t="s">
        <v>838</v>
      </c>
      <c r="AI187" s="12" t="s">
        <v>117</v>
      </c>
      <c r="AJ187" s="12" t="s">
        <v>1103</v>
      </c>
      <c r="AK187" s="12" t="s">
        <v>4</v>
      </c>
    </row>
    <row r="188" customFormat="false" ht="15" hidden="false" customHeight="false" outlineLevel="0" collapsed="false">
      <c r="A188" s="11" t="n">
        <v>187</v>
      </c>
      <c r="B188" s="12" t="s">
        <v>1097</v>
      </c>
      <c r="C188" s="12" t="s">
        <v>948</v>
      </c>
      <c r="D188" s="12" t="s">
        <v>949</v>
      </c>
      <c r="E188" s="12" t="s">
        <v>759</v>
      </c>
      <c r="F188" s="12" t="s">
        <v>845</v>
      </c>
      <c r="G188" s="12" t="s">
        <v>830</v>
      </c>
      <c r="H188" s="12" t="s">
        <v>1098</v>
      </c>
      <c r="I188" s="12" t="s">
        <v>847</v>
      </c>
      <c r="J188" s="13" t="s">
        <v>1099</v>
      </c>
      <c r="K188" s="12"/>
      <c r="L188" s="12" t="s">
        <v>1104</v>
      </c>
      <c r="M188" s="12" t="s">
        <v>1105</v>
      </c>
      <c r="N188" s="12" t="s">
        <v>352</v>
      </c>
      <c r="O188" s="12" t="s">
        <v>102</v>
      </c>
      <c r="P188" s="12" t="s">
        <v>103</v>
      </c>
      <c r="Q188" s="12" t="s">
        <v>104</v>
      </c>
      <c r="R188" s="14" t="n">
        <v>492.6</v>
      </c>
      <c r="S188" s="14" t="s">
        <v>105</v>
      </c>
      <c r="T188" s="14" t="s">
        <v>653</v>
      </c>
      <c r="U188" s="14" t="n">
        <v>2026</v>
      </c>
      <c r="V188" s="12" t="s">
        <v>198</v>
      </c>
      <c r="W188" s="14"/>
      <c r="X188" s="15" t="n">
        <f aca="false">IF(OR($S188="%",$R188=""),"",$R188*INDEX(Cambi!$J$2:$J$5,MATCH($S188,Cambi!$I$2:$I$5,0))/IF($T188="EUR",1,INDEX(Cambi!$D:$D,MATCH($T188&amp;"|"&amp;$U188,Cambi!$C:$C,0))))</f>
        <v>435.929203539823</v>
      </c>
      <c r="Y188" s="12" t="s">
        <v>109</v>
      </c>
      <c r="Z188" s="12" t="s">
        <v>109</v>
      </c>
      <c r="AA188" s="12" t="s">
        <v>109</v>
      </c>
      <c r="AB188" s="16" t="s">
        <v>110</v>
      </c>
      <c r="AC188" s="16" t="s">
        <v>836</v>
      </c>
      <c r="AD188" s="12" t="s">
        <v>112</v>
      </c>
      <c r="AE188" s="12" t="s">
        <v>282</v>
      </c>
      <c r="AF188" s="12" t="s">
        <v>1102</v>
      </c>
      <c r="AG188" s="12" t="s">
        <v>284</v>
      </c>
      <c r="AH188" s="12" t="s">
        <v>838</v>
      </c>
      <c r="AI188" s="12" t="s">
        <v>117</v>
      </c>
      <c r="AJ188" s="12" t="s">
        <v>859</v>
      </c>
      <c r="AK188" s="12" t="s">
        <v>4</v>
      </c>
    </row>
    <row r="189" customFormat="false" ht="15" hidden="false" customHeight="false" outlineLevel="0" collapsed="false">
      <c r="A189" s="11" t="n">
        <v>188</v>
      </c>
      <c r="B189" s="12" t="s">
        <v>1097</v>
      </c>
      <c r="C189" s="12" t="s">
        <v>948</v>
      </c>
      <c r="D189" s="12" t="s">
        <v>949</v>
      </c>
      <c r="E189" s="12" t="s">
        <v>759</v>
      </c>
      <c r="F189" s="12" t="s">
        <v>845</v>
      </c>
      <c r="G189" s="12" t="s">
        <v>830</v>
      </c>
      <c r="H189" s="12" t="s">
        <v>1098</v>
      </c>
      <c r="I189" s="12" t="s">
        <v>847</v>
      </c>
      <c r="J189" s="13" t="s">
        <v>1099</v>
      </c>
      <c r="K189" s="12"/>
      <c r="L189" s="12" t="s">
        <v>1106</v>
      </c>
      <c r="M189" s="12" t="s">
        <v>1107</v>
      </c>
      <c r="N189" s="12" t="s">
        <v>352</v>
      </c>
      <c r="O189" s="12" t="s">
        <v>102</v>
      </c>
      <c r="P189" s="12" t="s">
        <v>103</v>
      </c>
      <c r="Q189" s="12" t="s">
        <v>104</v>
      </c>
      <c r="R189" s="14" t="n">
        <v>748.83</v>
      </c>
      <c r="S189" s="14" t="s">
        <v>105</v>
      </c>
      <c r="T189" s="14" t="s">
        <v>653</v>
      </c>
      <c r="U189" s="14" t="n">
        <v>2031</v>
      </c>
      <c r="V189" s="12" t="s">
        <v>107</v>
      </c>
      <c r="W189" s="14" t="s">
        <v>1108</v>
      </c>
      <c r="X189" s="15" t="n">
        <f aca="false">IF(OR($S189="%",$R189=""),"",$R189*INDEX(Cambi!$J$2:$J$5,MATCH($S189,Cambi!$I$2:$I$5,0))/IF($T189="EUR",1,INDEX(Cambi!$D:$D,MATCH($T189&amp;"|"&amp;$U189,Cambi!$C:$C,0))))</f>
        <v>662.681415929204</v>
      </c>
      <c r="Y189" s="12" t="s">
        <v>109</v>
      </c>
      <c r="Z189" s="12" t="s">
        <v>109</v>
      </c>
      <c r="AA189" s="12" t="s">
        <v>109</v>
      </c>
      <c r="AB189" s="16" t="s">
        <v>110</v>
      </c>
      <c r="AC189" s="16" t="s">
        <v>836</v>
      </c>
      <c r="AD189" s="12" t="s">
        <v>112</v>
      </c>
      <c r="AE189" s="12" t="s">
        <v>282</v>
      </c>
      <c r="AF189" s="12" t="s">
        <v>1109</v>
      </c>
      <c r="AG189" s="12" t="s">
        <v>284</v>
      </c>
      <c r="AH189" s="12" t="s">
        <v>838</v>
      </c>
      <c r="AI189" s="12" t="s">
        <v>117</v>
      </c>
      <c r="AJ189" s="12" t="s">
        <v>859</v>
      </c>
      <c r="AK189" s="12" t="s">
        <v>4</v>
      </c>
    </row>
    <row r="190" customFormat="false" ht="15" hidden="false" customHeight="false" outlineLevel="0" collapsed="false">
      <c r="A190" s="11" t="n">
        <v>189</v>
      </c>
      <c r="B190" s="12" t="s">
        <v>625</v>
      </c>
      <c r="C190" s="12" t="s">
        <v>948</v>
      </c>
      <c r="D190" s="12" t="s">
        <v>949</v>
      </c>
      <c r="E190" s="12" t="s">
        <v>759</v>
      </c>
      <c r="F190" s="12" t="s">
        <v>626</v>
      </c>
      <c r="G190" s="12" t="s">
        <v>95</v>
      </c>
      <c r="H190" s="12" t="s">
        <v>627</v>
      </c>
      <c r="I190" s="12" t="s">
        <v>628</v>
      </c>
      <c r="J190" s="13" t="s">
        <v>629</v>
      </c>
      <c r="K190" s="12" t="s">
        <v>630</v>
      </c>
      <c r="L190" s="12" t="s">
        <v>1110</v>
      </c>
      <c r="M190" s="12" t="s">
        <v>1111</v>
      </c>
      <c r="N190" s="12" t="s">
        <v>101</v>
      </c>
      <c r="O190" s="12" t="s">
        <v>102</v>
      </c>
      <c r="P190" s="12" t="s">
        <v>103</v>
      </c>
      <c r="Q190" s="12" t="s">
        <v>104</v>
      </c>
      <c r="R190" s="14" t="n">
        <v>78.7</v>
      </c>
      <c r="S190" s="14" t="s">
        <v>105</v>
      </c>
      <c r="T190" s="14" t="s">
        <v>106</v>
      </c>
      <c r="U190" s="14" t="n">
        <v>2026</v>
      </c>
      <c r="V190" s="12" t="s">
        <v>107</v>
      </c>
      <c r="W190" s="14"/>
      <c r="X190" s="15" t="n">
        <f aca="false">IF(OR($S190="%",$R190=""),"",$R190*INDEX(Cambi!$J$2:$J$5,MATCH($S190,Cambi!$I$2:$I$5,0))/IF($T190="EUR",1,INDEX(Cambi!$D:$D,MATCH($T190&amp;"|"&amp;$U190,Cambi!$C:$C,0))))</f>
        <v>78.7</v>
      </c>
      <c r="Y190" s="12" t="s">
        <v>130</v>
      </c>
      <c r="Z190" s="12" t="s">
        <v>109</v>
      </c>
      <c r="AA190" s="12" t="s">
        <v>633</v>
      </c>
      <c r="AB190" s="16" t="s">
        <v>110</v>
      </c>
      <c r="AC190" s="16" t="s">
        <v>634</v>
      </c>
      <c r="AD190" s="12" t="s">
        <v>281</v>
      </c>
      <c r="AE190" s="12" t="s">
        <v>635</v>
      </c>
      <c r="AF190" s="12" t="s">
        <v>1112</v>
      </c>
      <c r="AG190" s="12" t="s">
        <v>115</v>
      </c>
      <c r="AH190" s="12" t="s">
        <v>116</v>
      </c>
      <c r="AI190" s="12" t="s">
        <v>285</v>
      </c>
      <c r="AJ190" s="12" t="s">
        <v>1113</v>
      </c>
      <c r="AK190" s="12" t="s">
        <v>4</v>
      </c>
    </row>
    <row r="191" customFormat="false" ht="15" hidden="false" customHeight="false" outlineLevel="0" collapsed="false">
      <c r="A191" s="11" t="n">
        <v>190</v>
      </c>
      <c r="B191" s="12" t="s">
        <v>1114</v>
      </c>
      <c r="C191" s="12" t="s">
        <v>948</v>
      </c>
      <c r="D191" s="12" t="s">
        <v>949</v>
      </c>
      <c r="E191" s="12" t="s">
        <v>759</v>
      </c>
      <c r="F191" s="12" t="s">
        <v>1115</v>
      </c>
      <c r="G191" s="12" t="s">
        <v>771</v>
      </c>
      <c r="H191" s="12" t="s">
        <v>1116</v>
      </c>
      <c r="I191" s="12" t="s">
        <v>181</v>
      </c>
      <c r="J191" s="13" t="s">
        <v>1117</v>
      </c>
      <c r="K191" s="12"/>
      <c r="L191" s="12" t="s">
        <v>1118</v>
      </c>
      <c r="M191" s="12" t="s">
        <v>1119</v>
      </c>
      <c r="N191" s="12" t="s">
        <v>212</v>
      </c>
      <c r="O191" s="12" t="s">
        <v>102</v>
      </c>
      <c r="P191" s="12" t="s">
        <v>103</v>
      </c>
      <c r="Q191" s="12" t="s">
        <v>104</v>
      </c>
      <c r="R191" s="14" t="n">
        <v>100000</v>
      </c>
      <c r="S191" s="14" t="s">
        <v>392</v>
      </c>
      <c r="T191" s="14" t="s">
        <v>106</v>
      </c>
      <c r="U191" s="14" t="n">
        <v>2023</v>
      </c>
      <c r="V191" s="12" t="s">
        <v>107</v>
      </c>
      <c r="W191" s="14"/>
      <c r="X191" s="15" t="n">
        <f aca="false">IF(OR($S191="%",$R191=""),"",$R191*INDEX(Cambi!$J$2:$J$5,MATCH($S191,Cambi!$I$2:$I$5,0))/IF($T191="EUR",1,INDEX(Cambi!$D:$D,MATCH($T191&amp;"|"&amp;$U191,Cambi!$C:$C,0))))</f>
        <v>100</v>
      </c>
      <c r="Y191" s="12" t="s">
        <v>108</v>
      </c>
      <c r="Z191" s="12" t="s">
        <v>117</v>
      </c>
      <c r="AA191" s="12" t="s">
        <v>109</v>
      </c>
      <c r="AB191" s="12" t="s">
        <v>394</v>
      </c>
      <c r="AC191" s="12" t="s">
        <v>395</v>
      </c>
      <c r="AD191" s="12" t="s">
        <v>201</v>
      </c>
      <c r="AE191" s="12" t="s">
        <v>1120</v>
      </c>
      <c r="AF191" s="12" t="s">
        <v>1121</v>
      </c>
      <c r="AG191" s="12" t="s">
        <v>115</v>
      </c>
      <c r="AH191" s="12" t="s">
        <v>116</v>
      </c>
      <c r="AI191" s="12" t="s">
        <v>117</v>
      </c>
      <c r="AJ191" s="12" t="s">
        <v>1122</v>
      </c>
      <c r="AK191" s="12" t="s">
        <v>4</v>
      </c>
    </row>
    <row r="192" customFormat="false" ht="15" hidden="false" customHeight="false" outlineLevel="0" collapsed="false">
      <c r="A192" s="11" t="n">
        <v>191</v>
      </c>
      <c r="B192" s="12" t="s">
        <v>1114</v>
      </c>
      <c r="C192" s="12" t="s">
        <v>948</v>
      </c>
      <c r="D192" s="12" t="s">
        <v>949</v>
      </c>
      <c r="E192" s="12" t="s">
        <v>759</v>
      </c>
      <c r="F192" s="12" t="s">
        <v>1115</v>
      </c>
      <c r="G192" s="12" t="s">
        <v>771</v>
      </c>
      <c r="H192" s="12" t="s">
        <v>1116</v>
      </c>
      <c r="I192" s="12" t="s">
        <v>181</v>
      </c>
      <c r="J192" s="13" t="s">
        <v>1117</v>
      </c>
      <c r="K192" s="12"/>
      <c r="L192" s="12" t="s">
        <v>1118</v>
      </c>
      <c r="M192" s="12" t="s">
        <v>1123</v>
      </c>
      <c r="N192" s="12" t="s">
        <v>212</v>
      </c>
      <c r="O192" s="12" t="s">
        <v>102</v>
      </c>
      <c r="P192" s="12" t="s">
        <v>103</v>
      </c>
      <c r="Q192" s="12" t="s">
        <v>104</v>
      </c>
      <c r="R192" s="14" t="n">
        <v>128000</v>
      </c>
      <c r="S192" s="14" t="s">
        <v>392</v>
      </c>
      <c r="T192" s="14" t="s">
        <v>106</v>
      </c>
      <c r="U192" s="14" t="n">
        <v>2024</v>
      </c>
      <c r="V192" s="12" t="s">
        <v>107</v>
      </c>
      <c r="W192" s="14"/>
      <c r="X192" s="15" t="n">
        <f aca="false">IF(OR($S192="%",$R192=""),"",$R192*INDEX(Cambi!$J$2:$J$5,MATCH($S192,Cambi!$I$2:$I$5,0))/IF($T192="EUR",1,INDEX(Cambi!$D:$D,MATCH($T192&amp;"|"&amp;$U192,Cambi!$C:$C,0))))</f>
        <v>128</v>
      </c>
      <c r="Y192" s="12" t="s">
        <v>108</v>
      </c>
      <c r="Z192" s="12" t="s">
        <v>117</v>
      </c>
      <c r="AA192" s="12" t="s">
        <v>109</v>
      </c>
      <c r="AB192" s="12" t="s">
        <v>394</v>
      </c>
      <c r="AC192" s="12" t="s">
        <v>395</v>
      </c>
      <c r="AD192" s="12" t="s">
        <v>201</v>
      </c>
      <c r="AE192" s="12" t="s">
        <v>1120</v>
      </c>
      <c r="AF192" s="12" t="s">
        <v>1121</v>
      </c>
      <c r="AG192" s="12" t="s">
        <v>115</v>
      </c>
      <c r="AH192" s="12" t="s">
        <v>116</v>
      </c>
      <c r="AI192" s="12" t="s">
        <v>117</v>
      </c>
      <c r="AJ192" s="12" t="s">
        <v>1124</v>
      </c>
      <c r="AK192" s="12" t="s">
        <v>4</v>
      </c>
    </row>
    <row r="193" customFormat="false" ht="15" hidden="false" customHeight="false" outlineLevel="0" collapsed="false">
      <c r="A193" s="11" t="n">
        <v>192</v>
      </c>
      <c r="B193" s="12" t="s">
        <v>1114</v>
      </c>
      <c r="C193" s="12" t="s">
        <v>948</v>
      </c>
      <c r="D193" s="12" t="s">
        <v>949</v>
      </c>
      <c r="E193" s="12" t="s">
        <v>759</v>
      </c>
      <c r="F193" s="12" t="s">
        <v>1115</v>
      </c>
      <c r="G193" s="12" t="s">
        <v>771</v>
      </c>
      <c r="H193" s="12" t="s">
        <v>1116</v>
      </c>
      <c r="I193" s="12" t="s">
        <v>181</v>
      </c>
      <c r="J193" s="13" t="s">
        <v>1117</v>
      </c>
      <c r="K193" s="12"/>
      <c r="L193" s="12" t="s">
        <v>1118</v>
      </c>
      <c r="M193" s="12" t="s">
        <v>1125</v>
      </c>
      <c r="N193" s="12" t="s">
        <v>212</v>
      </c>
      <c r="O193" s="12" t="s">
        <v>102</v>
      </c>
      <c r="P193" s="12" t="s">
        <v>103</v>
      </c>
      <c r="Q193" s="12" t="s">
        <v>104</v>
      </c>
      <c r="R193" s="14" t="n">
        <v>160000</v>
      </c>
      <c r="S193" s="14" t="s">
        <v>392</v>
      </c>
      <c r="T193" s="14" t="s">
        <v>106</v>
      </c>
      <c r="U193" s="14" t="n">
        <v>2025</v>
      </c>
      <c r="V193" s="12" t="s">
        <v>107</v>
      </c>
      <c r="W193" s="14"/>
      <c r="X193" s="15" t="n">
        <f aca="false">IF(OR($S193="%",$R193=""),"",$R193*INDEX(Cambi!$J$2:$J$5,MATCH($S193,Cambi!$I$2:$I$5,0))/IF($T193="EUR",1,INDEX(Cambi!$D:$D,MATCH($T193&amp;"|"&amp;$U193,Cambi!$C:$C,0))))</f>
        <v>160</v>
      </c>
      <c r="Y193" s="12" t="s">
        <v>108</v>
      </c>
      <c r="Z193" s="12" t="s">
        <v>117</v>
      </c>
      <c r="AA193" s="12" t="s">
        <v>109</v>
      </c>
      <c r="AB193" s="12" t="s">
        <v>394</v>
      </c>
      <c r="AC193" s="12" t="s">
        <v>395</v>
      </c>
      <c r="AD193" s="12" t="s">
        <v>201</v>
      </c>
      <c r="AE193" s="12" t="s">
        <v>1120</v>
      </c>
      <c r="AF193" s="12" t="s">
        <v>1121</v>
      </c>
      <c r="AG193" s="12" t="s">
        <v>115</v>
      </c>
      <c r="AH193" s="12" t="s">
        <v>116</v>
      </c>
      <c r="AI193" s="12" t="s">
        <v>117</v>
      </c>
      <c r="AJ193" s="12" t="s">
        <v>1124</v>
      </c>
      <c r="AK193" s="12" t="s">
        <v>4</v>
      </c>
    </row>
    <row r="194" customFormat="false" ht="15" hidden="false" customHeight="false" outlineLevel="0" collapsed="false">
      <c r="A194" s="11" t="n">
        <v>193</v>
      </c>
      <c r="B194" s="12" t="s">
        <v>1114</v>
      </c>
      <c r="C194" s="12" t="s">
        <v>948</v>
      </c>
      <c r="D194" s="12" t="s">
        <v>949</v>
      </c>
      <c r="E194" s="12" t="s">
        <v>759</v>
      </c>
      <c r="F194" s="12" t="s">
        <v>1115</v>
      </c>
      <c r="G194" s="12" t="s">
        <v>771</v>
      </c>
      <c r="H194" s="12" t="s">
        <v>1116</v>
      </c>
      <c r="I194" s="12" t="s">
        <v>181</v>
      </c>
      <c r="J194" s="13" t="s">
        <v>1117</v>
      </c>
      <c r="K194" s="12"/>
      <c r="L194" s="12" t="s">
        <v>1118</v>
      </c>
      <c r="M194" s="12" t="s">
        <v>1126</v>
      </c>
      <c r="N194" s="12" t="s">
        <v>212</v>
      </c>
      <c r="O194" s="12" t="s">
        <v>102</v>
      </c>
      <c r="P194" s="12" t="s">
        <v>103</v>
      </c>
      <c r="Q194" s="12" t="s">
        <v>104</v>
      </c>
      <c r="R194" s="14" t="n">
        <v>192000</v>
      </c>
      <c r="S194" s="14" t="s">
        <v>392</v>
      </c>
      <c r="T194" s="14" t="s">
        <v>106</v>
      </c>
      <c r="U194" s="14" t="n">
        <v>2026</v>
      </c>
      <c r="V194" s="12" t="s">
        <v>198</v>
      </c>
      <c r="W194" s="14"/>
      <c r="X194" s="15" t="n">
        <f aca="false">IF(OR($S194="%",$R194=""),"",$R194*INDEX(Cambi!$J$2:$J$5,MATCH($S194,Cambi!$I$2:$I$5,0))/IF($T194="EUR",1,INDEX(Cambi!$D:$D,MATCH($T194&amp;"|"&amp;$U194,Cambi!$C:$C,0))))</f>
        <v>192</v>
      </c>
      <c r="Y194" s="12" t="s">
        <v>108</v>
      </c>
      <c r="Z194" s="12" t="s">
        <v>117</v>
      </c>
      <c r="AA194" s="12" t="s">
        <v>109</v>
      </c>
      <c r="AB194" s="12" t="s">
        <v>394</v>
      </c>
      <c r="AC194" s="12" t="s">
        <v>395</v>
      </c>
      <c r="AD194" s="12" t="s">
        <v>201</v>
      </c>
      <c r="AE194" s="12" t="s">
        <v>1120</v>
      </c>
      <c r="AF194" s="12" t="s">
        <v>1121</v>
      </c>
      <c r="AG194" s="12" t="s">
        <v>115</v>
      </c>
      <c r="AH194" s="12" t="s">
        <v>116</v>
      </c>
      <c r="AI194" s="12" t="s">
        <v>117</v>
      </c>
      <c r="AJ194" s="12" t="s">
        <v>1124</v>
      </c>
      <c r="AK194" s="12" t="s">
        <v>4</v>
      </c>
    </row>
    <row r="195" customFormat="false" ht="15" hidden="false" customHeight="false" outlineLevel="0" collapsed="false">
      <c r="A195" s="11" t="n">
        <v>194</v>
      </c>
      <c r="B195" s="12" t="s">
        <v>1114</v>
      </c>
      <c r="C195" s="12" t="s">
        <v>948</v>
      </c>
      <c r="D195" s="12" t="s">
        <v>949</v>
      </c>
      <c r="E195" s="12" t="s">
        <v>759</v>
      </c>
      <c r="F195" s="12" t="s">
        <v>1115</v>
      </c>
      <c r="G195" s="12" t="s">
        <v>771</v>
      </c>
      <c r="H195" s="12" t="s">
        <v>1116</v>
      </c>
      <c r="I195" s="12" t="s">
        <v>181</v>
      </c>
      <c r="J195" s="13" t="s">
        <v>1117</v>
      </c>
      <c r="K195" s="12"/>
      <c r="L195" s="12" t="s">
        <v>1118</v>
      </c>
      <c r="M195" s="12" t="s">
        <v>1127</v>
      </c>
      <c r="N195" s="12" t="s">
        <v>212</v>
      </c>
      <c r="O195" s="12" t="s">
        <v>102</v>
      </c>
      <c r="P195" s="12" t="s">
        <v>103</v>
      </c>
      <c r="Q195" s="12" t="s">
        <v>104</v>
      </c>
      <c r="R195" s="14" t="n">
        <v>230000</v>
      </c>
      <c r="S195" s="14" t="s">
        <v>392</v>
      </c>
      <c r="T195" s="14" t="s">
        <v>106</v>
      </c>
      <c r="U195" s="14" t="n">
        <v>2027</v>
      </c>
      <c r="V195" s="12" t="s">
        <v>107</v>
      </c>
      <c r="W195" s="14"/>
      <c r="X195" s="15" t="n">
        <f aca="false">IF(OR($S195="%",$R195=""),"",$R195*INDEX(Cambi!$J$2:$J$5,MATCH($S195,Cambi!$I$2:$I$5,0))/IF($T195="EUR",1,INDEX(Cambi!$D:$D,MATCH($T195&amp;"|"&amp;$U195,Cambi!$C:$C,0))))</f>
        <v>230</v>
      </c>
      <c r="Y195" s="12" t="s">
        <v>108</v>
      </c>
      <c r="Z195" s="12" t="s">
        <v>117</v>
      </c>
      <c r="AA195" s="12" t="s">
        <v>109</v>
      </c>
      <c r="AB195" s="12" t="s">
        <v>394</v>
      </c>
      <c r="AC195" s="12" t="s">
        <v>395</v>
      </c>
      <c r="AD195" s="12" t="s">
        <v>201</v>
      </c>
      <c r="AE195" s="12" t="s">
        <v>1120</v>
      </c>
      <c r="AF195" s="12" t="s">
        <v>1121</v>
      </c>
      <c r="AG195" s="12" t="s">
        <v>115</v>
      </c>
      <c r="AH195" s="12" t="s">
        <v>116</v>
      </c>
      <c r="AI195" s="12" t="s">
        <v>117</v>
      </c>
      <c r="AJ195" s="12" t="s">
        <v>1124</v>
      </c>
      <c r="AK195" s="12" t="s">
        <v>4</v>
      </c>
    </row>
    <row r="196" customFormat="false" ht="15" hidden="false" customHeight="false" outlineLevel="0" collapsed="false">
      <c r="A196" s="11" t="n">
        <v>195</v>
      </c>
      <c r="B196" s="12" t="s">
        <v>1128</v>
      </c>
      <c r="C196" s="12" t="s">
        <v>948</v>
      </c>
      <c r="D196" s="12" t="s">
        <v>949</v>
      </c>
      <c r="E196" s="12" t="s">
        <v>759</v>
      </c>
      <c r="F196" s="12" t="s">
        <v>1129</v>
      </c>
      <c r="G196" s="12" t="s">
        <v>771</v>
      </c>
      <c r="H196" s="12" t="s">
        <v>1130</v>
      </c>
      <c r="I196" s="12" t="s">
        <v>1131</v>
      </c>
      <c r="J196" s="13" t="s">
        <v>1132</v>
      </c>
      <c r="K196" s="12"/>
      <c r="L196" s="12" t="s">
        <v>1133</v>
      </c>
      <c r="M196" s="12" t="s">
        <v>1134</v>
      </c>
      <c r="N196" s="12" t="s">
        <v>212</v>
      </c>
      <c r="O196" s="12" t="s">
        <v>102</v>
      </c>
      <c r="P196" s="12" t="s">
        <v>103</v>
      </c>
      <c r="Q196" s="12" t="s">
        <v>104</v>
      </c>
      <c r="R196" s="14" t="n">
        <v>81947</v>
      </c>
      <c r="S196" s="14" t="s">
        <v>392</v>
      </c>
      <c r="T196" s="14" t="s">
        <v>106</v>
      </c>
      <c r="U196" s="14" t="n">
        <v>2022</v>
      </c>
      <c r="V196" s="12" t="s">
        <v>157</v>
      </c>
      <c r="W196" s="14"/>
      <c r="X196" s="15" t="n">
        <f aca="false">IF(OR($S196="%",$R196=""),"",$R196*INDEX(Cambi!$J$2:$J$5,MATCH($S196,Cambi!$I$2:$I$5,0))/IF($T196="EUR",1,INDEX(Cambi!$D:$D,MATCH($T196&amp;"|"&amp;$U196,Cambi!$C:$C,0))))</f>
        <v>81.947</v>
      </c>
      <c r="Y196" s="12" t="s">
        <v>108</v>
      </c>
      <c r="Z196" s="12" t="s">
        <v>109</v>
      </c>
      <c r="AA196" s="12" t="s">
        <v>1135</v>
      </c>
      <c r="AB196" s="12" t="s">
        <v>394</v>
      </c>
      <c r="AC196" s="12" t="s">
        <v>395</v>
      </c>
      <c r="AD196" s="12" t="s">
        <v>166</v>
      </c>
      <c r="AE196" s="12" t="s">
        <v>1136</v>
      </c>
      <c r="AF196" s="12" t="s">
        <v>1137</v>
      </c>
      <c r="AG196" s="12" t="s">
        <v>115</v>
      </c>
      <c r="AH196" s="12" t="s">
        <v>116</v>
      </c>
      <c r="AI196" s="12" t="s">
        <v>117</v>
      </c>
      <c r="AJ196" s="12" t="s">
        <v>1138</v>
      </c>
      <c r="AK196" s="12" t="s">
        <v>4</v>
      </c>
    </row>
    <row r="197" customFormat="false" ht="15" hidden="false" customHeight="false" outlineLevel="0" collapsed="false">
      <c r="A197" s="11" t="n">
        <v>196</v>
      </c>
      <c r="B197" s="12" t="s">
        <v>1139</v>
      </c>
      <c r="C197" s="12" t="s">
        <v>948</v>
      </c>
      <c r="D197" s="12" t="s">
        <v>949</v>
      </c>
      <c r="E197" s="12" t="s">
        <v>759</v>
      </c>
      <c r="F197" s="12" t="s">
        <v>1140</v>
      </c>
      <c r="G197" s="12" t="s">
        <v>1055</v>
      </c>
      <c r="H197" s="12" t="s">
        <v>1141</v>
      </c>
      <c r="I197" s="12" t="s">
        <v>1142</v>
      </c>
      <c r="J197" s="13" t="s">
        <v>1143</v>
      </c>
      <c r="K197" s="12" t="s">
        <v>1144</v>
      </c>
      <c r="L197" s="12" t="s">
        <v>1145</v>
      </c>
      <c r="M197" s="12" t="s">
        <v>1146</v>
      </c>
      <c r="N197" s="12" t="s">
        <v>101</v>
      </c>
      <c r="O197" s="12" t="s">
        <v>102</v>
      </c>
      <c r="P197" s="12" t="s">
        <v>103</v>
      </c>
      <c r="Q197" s="12" t="s">
        <v>104</v>
      </c>
      <c r="R197" s="14" t="n">
        <v>55</v>
      </c>
      <c r="S197" s="14" t="s">
        <v>105</v>
      </c>
      <c r="T197" s="14" t="s">
        <v>106</v>
      </c>
      <c r="U197" s="14" t="n">
        <v>2025</v>
      </c>
      <c r="V197" s="12" t="s">
        <v>157</v>
      </c>
      <c r="W197" s="14"/>
      <c r="X197" s="15" t="n">
        <f aca="false">IF(OR($S197="%",$R197=""),"",$R197*INDEX(Cambi!$J$2:$J$5,MATCH($S197,Cambi!$I$2:$I$5,0))/IF($T197="EUR",1,INDEX(Cambi!$D:$D,MATCH($T197&amp;"|"&amp;$U197,Cambi!$C:$C,0))))</f>
        <v>55</v>
      </c>
      <c r="Y197" s="12" t="s">
        <v>108</v>
      </c>
      <c r="Z197" s="12" t="s">
        <v>109</v>
      </c>
      <c r="AA197" s="12" t="s">
        <v>109</v>
      </c>
      <c r="AB197" s="16" t="s">
        <v>394</v>
      </c>
      <c r="AC197" s="16" t="s">
        <v>1147</v>
      </c>
      <c r="AD197" s="12" t="s">
        <v>112</v>
      </c>
      <c r="AE197" s="12" t="s">
        <v>1148</v>
      </c>
      <c r="AF197" s="12" t="s">
        <v>1149</v>
      </c>
      <c r="AG197" s="12" t="s">
        <v>284</v>
      </c>
      <c r="AH197" s="12" t="s">
        <v>499</v>
      </c>
      <c r="AI197" s="12" t="s">
        <v>285</v>
      </c>
      <c r="AJ197" s="12" t="s">
        <v>1150</v>
      </c>
      <c r="AK197" s="12" t="s">
        <v>4</v>
      </c>
    </row>
    <row r="198" customFormat="false" ht="15" hidden="false" customHeight="false" outlineLevel="0" collapsed="false">
      <c r="A198" s="11" t="n">
        <v>197</v>
      </c>
      <c r="B198" s="12" t="s">
        <v>1151</v>
      </c>
      <c r="C198" s="12" t="s">
        <v>1152</v>
      </c>
      <c r="D198" s="12" t="s">
        <v>1153</v>
      </c>
      <c r="E198" s="12" t="s">
        <v>759</v>
      </c>
      <c r="F198" s="12" t="s">
        <v>1154</v>
      </c>
      <c r="G198" s="12" t="s">
        <v>1055</v>
      </c>
      <c r="H198" s="12" t="s">
        <v>1155</v>
      </c>
      <c r="I198" s="12" t="s">
        <v>1156</v>
      </c>
      <c r="J198" s="13" t="s">
        <v>1157</v>
      </c>
      <c r="K198" s="12" t="s">
        <v>1158</v>
      </c>
      <c r="L198" s="12" t="s">
        <v>1159</v>
      </c>
      <c r="M198" s="12" t="s">
        <v>1160</v>
      </c>
      <c r="N198" s="12" t="s">
        <v>212</v>
      </c>
      <c r="O198" s="12" t="s">
        <v>102</v>
      </c>
      <c r="P198" s="12" t="s">
        <v>366</v>
      </c>
      <c r="Q198" s="12" t="s">
        <v>1161</v>
      </c>
      <c r="R198" s="14" t="n">
        <v>13.3</v>
      </c>
      <c r="S198" s="14" t="s">
        <v>105</v>
      </c>
      <c r="T198" s="14" t="s">
        <v>1162</v>
      </c>
      <c r="U198" s="14" t="n">
        <v>2024</v>
      </c>
      <c r="V198" s="12" t="s">
        <v>157</v>
      </c>
      <c r="W198" s="14"/>
      <c r="X198" s="15" t="n">
        <f aca="false">IF(OR($S198="%",$R198=""),"",$R198*INDEX(Cambi!$J$2:$J$5,MATCH($S198,Cambi!$I$2:$I$5,0))/IF($T198="EUR",1,INDEX(Cambi!$D:$D,MATCH($T198&amp;"|"&amp;$U198,Cambi!$C:$C,0))))</f>
        <v>6.80028632784538</v>
      </c>
      <c r="Y198" s="12" t="s">
        <v>108</v>
      </c>
      <c r="Z198" s="12" t="s">
        <v>285</v>
      </c>
      <c r="AA198" s="12" t="s">
        <v>1163</v>
      </c>
      <c r="AB198" s="16" t="s">
        <v>394</v>
      </c>
      <c r="AC198" s="16" t="s">
        <v>1164</v>
      </c>
      <c r="AD198" s="12" t="s">
        <v>166</v>
      </c>
      <c r="AE198" s="12" t="s">
        <v>1165</v>
      </c>
      <c r="AF198" s="12" t="s">
        <v>1166</v>
      </c>
      <c r="AG198" s="12" t="s">
        <v>115</v>
      </c>
      <c r="AH198" s="12" t="s">
        <v>499</v>
      </c>
      <c r="AI198" s="12" t="s">
        <v>285</v>
      </c>
      <c r="AJ198" s="12" t="s">
        <v>1167</v>
      </c>
      <c r="AK198" s="12" t="s">
        <v>4</v>
      </c>
    </row>
    <row r="199" customFormat="false" ht="15" hidden="false" customHeight="false" outlineLevel="0" collapsed="false">
      <c r="A199" s="11" t="n">
        <v>198</v>
      </c>
      <c r="B199" s="12" t="s">
        <v>1151</v>
      </c>
      <c r="C199" s="12" t="s">
        <v>1152</v>
      </c>
      <c r="D199" s="12" t="s">
        <v>1153</v>
      </c>
      <c r="E199" s="12" t="s">
        <v>759</v>
      </c>
      <c r="F199" s="12" t="s">
        <v>1154</v>
      </c>
      <c r="G199" s="12" t="s">
        <v>1055</v>
      </c>
      <c r="H199" s="12" t="s">
        <v>1155</v>
      </c>
      <c r="I199" s="12" t="s">
        <v>1156</v>
      </c>
      <c r="J199" s="13" t="s">
        <v>1157</v>
      </c>
      <c r="K199" s="12" t="s">
        <v>1158</v>
      </c>
      <c r="L199" s="12" t="s">
        <v>1159</v>
      </c>
      <c r="M199" s="12" t="s">
        <v>1168</v>
      </c>
      <c r="N199" s="12" t="s">
        <v>212</v>
      </c>
      <c r="O199" s="12" t="s">
        <v>102</v>
      </c>
      <c r="P199" s="12" t="s">
        <v>366</v>
      </c>
      <c r="Q199" s="12" t="s">
        <v>1169</v>
      </c>
      <c r="R199" s="14" t="n">
        <v>1.4</v>
      </c>
      <c r="S199" s="14" t="s">
        <v>105</v>
      </c>
      <c r="T199" s="14" t="s">
        <v>1162</v>
      </c>
      <c r="U199" s="14" t="n">
        <v>2024</v>
      </c>
      <c r="V199" s="12" t="s">
        <v>157</v>
      </c>
      <c r="W199" s="14"/>
      <c r="X199" s="15" t="n">
        <f aca="false">IF(OR($S199="%",$R199=""),"",$R199*INDEX(Cambi!$J$2:$J$5,MATCH($S199,Cambi!$I$2:$I$5,0))/IF($T199="EUR",1,INDEX(Cambi!$D:$D,MATCH($T199&amp;"|"&amp;$U199,Cambi!$C:$C,0))))</f>
        <v>0.715819613457409</v>
      </c>
      <c r="Y199" s="12" t="s">
        <v>108</v>
      </c>
      <c r="Z199" s="12" t="s">
        <v>285</v>
      </c>
      <c r="AA199" s="12" t="s">
        <v>1163</v>
      </c>
      <c r="AB199" s="16" t="s">
        <v>394</v>
      </c>
      <c r="AC199" s="16" t="s">
        <v>1164</v>
      </c>
      <c r="AD199" s="12" t="s">
        <v>166</v>
      </c>
      <c r="AE199" s="12" t="s">
        <v>1165</v>
      </c>
      <c r="AF199" s="12" t="s">
        <v>1170</v>
      </c>
      <c r="AG199" s="12" t="s">
        <v>115</v>
      </c>
      <c r="AH199" s="12" t="s">
        <v>499</v>
      </c>
      <c r="AI199" s="12" t="s">
        <v>285</v>
      </c>
      <c r="AJ199" s="12" t="s">
        <v>1171</v>
      </c>
      <c r="AK199" s="12" t="s">
        <v>4</v>
      </c>
    </row>
    <row r="200" customFormat="false" ht="15" hidden="false" customHeight="false" outlineLevel="0" collapsed="false">
      <c r="A200" s="11" t="n">
        <v>199</v>
      </c>
      <c r="B200" s="12" t="s">
        <v>1151</v>
      </c>
      <c r="C200" s="12" t="s">
        <v>1152</v>
      </c>
      <c r="D200" s="12" t="s">
        <v>1153</v>
      </c>
      <c r="E200" s="12" t="s">
        <v>759</v>
      </c>
      <c r="F200" s="12" t="s">
        <v>1154</v>
      </c>
      <c r="G200" s="12" t="s">
        <v>1055</v>
      </c>
      <c r="H200" s="12" t="s">
        <v>1155</v>
      </c>
      <c r="I200" s="12" t="s">
        <v>1156</v>
      </c>
      <c r="J200" s="13" t="s">
        <v>1157</v>
      </c>
      <c r="K200" s="12" t="s">
        <v>1158</v>
      </c>
      <c r="L200" s="12" t="s">
        <v>1159</v>
      </c>
      <c r="M200" s="12" t="s">
        <v>1172</v>
      </c>
      <c r="N200" s="12" t="s">
        <v>212</v>
      </c>
      <c r="O200" s="12" t="s">
        <v>102</v>
      </c>
      <c r="P200" s="12" t="s">
        <v>103</v>
      </c>
      <c r="Q200" s="12" t="s">
        <v>104</v>
      </c>
      <c r="R200" s="14" t="n">
        <v>22.3</v>
      </c>
      <c r="S200" s="14" t="s">
        <v>105</v>
      </c>
      <c r="T200" s="14" t="s">
        <v>1162</v>
      </c>
      <c r="U200" s="14" t="n">
        <v>2024</v>
      </c>
      <c r="V200" s="12" t="s">
        <v>157</v>
      </c>
      <c r="W200" s="14"/>
      <c r="X200" s="15" t="n">
        <f aca="false">IF(OR($S200="%",$R200=""),"",$R200*INDEX(Cambi!$J$2:$J$5,MATCH($S200,Cambi!$I$2:$I$5,0))/IF($T200="EUR",1,INDEX(Cambi!$D:$D,MATCH($T200&amp;"|"&amp;$U200,Cambi!$C:$C,0))))</f>
        <v>11.4019838429287</v>
      </c>
      <c r="Y200" s="12" t="s">
        <v>108</v>
      </c>
      <c r="Z200" s="12" t="s">
        <v>285</v>
      </c>
      <c r="AA200" s="12" t="s">
        <v>1163</v>
      </c>
      <c r="AB200" s="16" t="s">
        <v>394</v>
      </c>
      <c r="AC200" s="16" t="s">
        <v>1164</v>
      </c>
      <c r="AD200" s="12" t="s">
        <v>166</v>
      </c>
      <c r="AE200" s="12" t="s">
        <v>1165</v>
      </c>
      <c r="AF200" s="12" t="s">
        <v>1173</v>
      </c>
      <c r="AG200" s="12" t="s">
        <v>115</v>
      </c>
      <c r="AH200" s="12" t="s">
        <v>499</v>
      </c>
      <c r="AI200" s="12" t="s">
        <v>285</v>
      </c>
      <c r="AJ200" s="12" t="s">
        <v>1174</v>
      </c>
      <c r="AK200" s="12" t="s">
        <v>4</v>
      </c>
    </row>
    <row r="201" customFormat="false" ht="15" hidden="false" customHeight="false" outlineLevel="0" collapsed="false">
      <c r="A201" s="11" t="n">
        <v>200</v>
      </c>
      <c r="B201" s="12" t="s">
        <v>1175</v>
      </c>
      <c r="C201" s="12" t="s">
        <v>1152</v>
      </c>
      <c r="D201" s="12" t="s">
        <v>1153</v>
      </c>
      <c r="E201" s="12" t="s">
        <v>759</v>
      </c>
      <c r="F201" s="12" t="s">
        <v>1176</v>
      </c>
      <c r="G201" s="12" t="s">
        <v>95</v>
      </c>
      <c r="H201" s="12" t="s">
        <v>1177</v>
      </c>
      <c r="I201" s="12" t="s">
        <v>808</v>
      </c>
      <c r="J201" s="13" t="s">
        <v>1178</v>
      </c>
      <c r="K201" s="12"/>
      <c r="L201" s="12" t="s">
        <v>1179</v>
      </c>
      <c r="M201" s="12" t="s">
        <v>1180</v>
      </c>
      <c r="N201" s="12" t="s">
        <v>101</v>
      </c>
      <c r="O201" s="12" t="s">
        <v>102</v>
      </c>
      <c r="P201" s="12" t="s">
        <v>103</v>
      </c>
      <c r="Q201" s="12" t="s">
        <v>104</v>
      </c>
      <c r="R201" s="14" t="n">
        <v>37</v>
      </c>
      <c r="S201" s="14" t="s">
        <v>105</v>
      </c>
      <c r="T201" s="14" t="s">
        <v>1162</v>
      </c>
      <c r="U201" s="14" t="n">
        <v>2024</v>
      </c>
      <c r="V201" s="12" t="s">
        <v>157</v>
      </c>
      <c r="W201" s="14"/>
      <c r="X201" s="15" t="n">
        <f aca="false">IF(OR($S201="%",$R201=""),"",$R201*INDEX(Cambi!$J$2:$J$5,MATCH($S201,Cambi!$I$2:$I$5,0))/IF($T201="EUR",1,INDEX(Cambi!$D:$D,MATCH($T201&amp;"|"&amp;$U201,Cambi!$C:$C,0))))</f>
        <v>18.9180897842315</v>
      </c>
      <c r="Y201" s="12" t="s">
        <v>108</v>
      </c>
      <c r="Z201" s="12" t="s">
        <v>109</v>
      </c>
      <c r="AA201" s="12" t="s">
        <v>109</v>
      </c>
      <c r="AB201" s="16" t="s">
        <v>394</v>
      </c>
      <c r="AC201" s="16" t="s">
        <v>1181</v>
      </c>
      <c r="AD201" s="12" t="s">
        <v>281</v>
      </c>
      <c r="AE201" s="12" t="s">
        <v>1182</v>
      </c>
      <c r="AF201" s="12" t="s">
        <v>1183</v>
      </c>
      <c r="AG201" s="12" t="s">
        <v>115</v>
      </c>
      <c r="AH201" s="12" t="s">
        <v>116</v>
      </c>
      <c r="AI201" s="12" t="s">
        <v>285</v>
      </c>
      <c r="AJ201" s="12" t="s">
        <v>1184</v>
      </c>
      <c r="AK201" s="12" t="s">
        <v>4</v>
      </c>
    </row>
    <row r="202" customFormat="false" ht="15" hidden="false" customHeight="false" outlineLevel="0" collapsed="false">
      <c r="A202" s="11" t="n">
        <v>201</v>
      </c>
      <c r="B202" s="12" t="s">
        <v>1185</v>
      </c>
      <c r="C202" s="12" t="s">
        <v>1152</v>
      </c>
      <c r="D202" s="12" t="s">
        <v>1153</v>
      </c>
      <c r="E202" s="12" t="s">
        <v>759</v>
      </c>
      <c r="F202" s="12" t="s">
        <v>1186</v>
      </c>
      <c r="G202" s="12" t="s">
        <v>1055</v>
      </c>
      <c r="H202" s="12" t="s">
        <v>1187</v>
      </c>
      <c r="I202" s="12" t="s">
        <v>1188</v>
      </c>
      <c r="J202" s="13" t="s">
        <v>1189</v>
      </c>
      <c r="K202" s="12" t="s">
        <v>1190</v>
      </c>
      <c r="L202" s="12" t="s">
        <v>1191</v>
      </c>
      <c r="M202" s="12" t="s">
        <v>1192</v>
      </c>
      <c r="N202" s="12" t="s">
        <v>352</v>
      </c>
      <c r="O202" s="12" t="s">
        <v>102</v>
      </c>
      <c r="P202" s="12" t="s">
        <v>155</v>
      </c>
      <c r="Q202" s="12" t="s">
        <v>1193</v>
      </c>
      <c r="R202" s="14" t="n">
        <v>51.45</v>
      </c>
      <c r="S202" s="14" t="s">
        <v>105</v>
      </c>
      <c r="T202" s="14" t="s">
        <v>653</v>
      </c>
      <c r="U202" s="14" t="n">
        <v>2025</v>
      </c>
      <c r="V202" s="12" t="s">
        <v>198</v>
      </c>
      <c r="W202" s="14"/>
      <c r="X202" s="15" t="n">
        <f aca="false">IF(OR($S202="%",$R202=""),"",$R202*INDEX(Cambi!$J$2:$J$5,MATCH($S202,Cambi!$I$2:$I$5,0))/IF($T202="EUR",1,INDEX(Cambi!$D:$D,MATCH($T202&amp;"|"&amp;$U202,Cambi!$C:$C,0))))</f>
        <v>45.5309734513274</v>
      </c>
      <c r="Y202" s="12" t="s">
        <v>109</v>
      </c>
      <c r="Z202" s="12" t="s">
        <v>109</v>
      </c>
      <c r="AA202" s="12" t="s">
        <v>1194</v>
      </c>
      <c r="AB202" s="16" t="s">
        <v>110</v>
      </c>
      <c r="AC202" s="16" t="s">
        <v>1195</v>
      </c>
      <c r="AD202" s="12" t="s">
        <v>281</v>
      </c>
      <c r="AE202" s="12" t="s">
        <v>1196</v>
      </c>
      <c r="AF202" s="12" t="s">
        <v>1197</v>
      </c>
      <c r="AG202" s="12" t="s">
        <v>284</v>
      </c>
      <c r="AH202" s="12" t="s">
        <v>499</v>
      </c>
      <c r="AI202" s="12" t="s">
        <v>285</v>
      </c>
      <c r="AJ202" s="12" t="s">
        <v>1198</v>
      </c>
      <c r="AK202" s="12" t="s">
        <v>4</v>
      </c>
    </row>
    <row r="203" customFormat="false" ht="15" hidden="false" customHeight="false" outlineLevel="0" collapsed="false">
      <c r="A203" s="11" t="n">
        <v>202</v>
      </c>
      <c r="B203" s="12" t="s">
        <v>1185</v>
      </c>
      <c r="C203" s="12" t="s">
        <v>1152</v>
      </c>
      <c r="D203" s="12" t="s">
        <v>1153</v>
      </c>
      <c r="E203" s="12" t="s">
        <v>759</v>
      </c>
      <c r="F203" s="12" t="s">
        <v>1186</v>
      </c>
      <c r="G203" s="12" t="s">
        <v>1055</v>
      </c>
      <c r="H203" s="12" t="s">
        <v>1187</v>
      </c>
      <c r="I203" s="12" t="s">
        <v>1188</v>
      </c>
      <c r="J203" s="13" t="s">
        <v>1189</v>
      </c>
      <c r="K203" s="12" t="s">
        <v>1190</v>
      </c>
      <c r="L203" s="12" t="s">
        <v>1199</v>
      </c>
      <c r="M203" s="12" t="s">
        <v>1200</v>
      </c>
      <c r="N203" s="12" t="s">
        <v>352</v>
      </c>
      <c r="O203" s="12" t="s">
        <v>102</v>
      </c>
      <c r="P203" s="12" t="s">
        <v>103</v>
      </c>
      <c r="Q203" s="12" t="s">
        <v>104</v>
      </c>
      <c r="R203" s="14" t="n">
        <v>82.64</v>
      </c>
      <c r="S203" s="14" t="s">
        <v>105</v>
      </c>
      <c r="T203" s="14" t="s">
        <v>653</v>
      </c>
      <c r="U203" s="14" t="n">
        <v>2025</v>
      </c>
      <c r="V203" s="12" t="s">
        <v>198</v>
      </c>
      <c r="W203" s="14" t="s">
        <v>1201</v>
      </c>
      <c r="X203" s="15" t="n">
        <f aca="false">IF(OR($S203="%",$R203=""),"",$R203*INDEX(Cambi!$J$2:$J$5,MATCH($S203,Cambi!$I$2:$I$5,0))/IF($T203="EUR",1,INDEX(Cambi!$D:$D,MATCH($T203&amp;"|"&amp;$U203,Cambi!$C:$C,0))))</f>
        <v>73.1327433628319</v>
      </c>
      <c r="Y203" s="12" t="s">
        <v>109</v>
      </c>
      <c r="Z203" s="12" t="s">
        <v>109</v>
      </c>
      <c r="AA203" s="12" t="s">
        <v>1194</v>
      </c>
      <c r="AB203" s="16" t="s">
        <v>110</v>
      </c>
      <c r="AC203" s="16" t="s">
        <v>1195</v>
      </c>
      <c r="AD203" s="12" t="s">
        <v>281</v>
      </c>
      <c r="AE203" s="12" t="s">
        <v>1196</v>
      </c>
      <c r="AF203" s="12" t="s">
        <v>1202</v>
      </c>
      <c r="AG203" s="12" t="s">
        <v>284</v>
      </c>
      <c r="AH203" s="12" t="s">
        <v>499</v>
      </c>
      <c r="AI203" s="12" t="s">
        <v>285</v>
      </c>
      <c r="AJ203" s="12" t="s">
        <v>1203</v>
      </c>
      <c r="AK203" s="12" t="s">
        <v>4</v>
      </c>
    </row>
    <row r="204" customFormat="false" ht="15" hidden="false" customHeight="false" outlineLevel="0" collapsed="false">
      <c r="A204" s="11" t="n">
        <v>203</v>
      </c>
      <c r="B204" s="12" t="s">
        <v>1185</v>
      </c>
      <c r="C204" s="12" t="s">
        <v>1152</v>
      </c>
      <c r="D204" s="12" t="s">
        <v>1153</v>
      </c>
      <c r="E204" s="12" t="s">
        <v>759</v>
      </c>
      <c r="F204" s="12" t="s">
        <v>1186</v>
      </c>
      <c r="G204" s="12" t="s">
        <v>1055</v>
      </c>
      <c r="H204" s="12" t="s">
        <v>1187</v>
      </c>
      <c r="I204" s="12" t="s">
        <v>1188</v>
      </c>
      <c r="J204" s="13" t="s">
        <v>1189</v>
      </c>
      <c r="K204" s="12" t="s">
        <v>1190</v>
      </c>
      <c r="L204" s="12" t="s">
        <v>1204</v>
      </c>
      <c r="M204" s="12" t="s">
        <v>1205</v>
      </c>
      <c r="N204" s="12" t="s">
        <v>195</v>
      </c>
      <c r="O204" s="12" t="s">
        <v>102</v>
      </c>
      <c r="P204" s="12" t="s">
        <v>103</v>
      </c>
      <c r="Q204" s="12" t="s">
        <v>104</v>
      </c>
      <c r="R204" s="14" t="n">
        <v>27.05</v>
      </c>
      <c r="S204" s="14" t="s">
        <v>432</v>
      </c>
      <c r="T204" s="14" t="s">
        <v>653</v>
      </c>
      <c r="U204" s="14" t="n">
        <v>2025</v>
      </c>
      <c r="V204" s="12" t="s">
        <v>198</v>
      </c>
      <c r="W204" s="14"/>
      <c r="X204" s="15" t="n">
        <f aca="false">IF(OR($S204="%",$R204=""),"",$R204*INDEX(Cambi!$J$2:$J$5,MATCH($S204,Cambi!$I$2:$I$5,0))/IF($T204="EUR",1,INDEX(Cambi!$D:$D,MATCH($T204&amp;"|"&amp;$U204,Cambi!$C:$C,0))))</f>
        <v>2.39380530973451E-005</v>
      </c>
      <c r="Y204" s="12" t="s">
        <v>109</v>
      </c>
      <c r="Z204" s="12" t="s">
        <v>109</v>
      </c>
      <c r="AA204" s="12" t="s">
        <v>1194</v>
      </c>
      <c r="AB204" s="16" t="s">
        <v>110</v>
      </c>
      <c r="AC204" s="16" t="s">
        <v>1195</v>
      </c>
      <c r="AD204" s="12" t="s">
        <v>281</v>
      </c>
      <c r="AE204" s="12" t="s">
        <v>1196</v>
      </c>
      <c r="AF204" s="12" t="s">
        <v>1206</v>
      </c>
      <c r="AG204" s="12" t="s">
        <v>284</v>
      </c>
      <c r="AH204" s="12" t="s">
        <v>499</v>
      </c>
      <c r="AI204" s="12" t="s">
        <v>285</v>
      </c>
      <c r="AJ204" s="12" t="s">
        <v>1207</v>
      </c>
      <c r="AK204" s="12" t="s">
        <v>4</v>
      </c>
    </row>
    <row r="205" customFormat="false" ht="15" hidden="false" customHeight="false" outlineLevel="0" collapsed="false">
      <c r="A205" s="11" t="n">
        <v>204</v>
      </c>
      <c r="B205" s="12" t="s">
        <v>1185</v>
      </c>
      <c r="C205" s="12" t="s">
        <v>1152</v>
      </c>
      <c r="D205" s="12" t="s">
        <v>1153</v>
      </c>
      <c r="E205" s="12" t="s">
        <v>759</v>
      </c>
      <c r="F205" s="12" t="s">
        <v>1186</v>
      </c>
      <c r="G205" s="12" t="s">
        <v>1055</v>
      </c>
      <c r="H205" s="12" t="s">
        <v>1187</v>
      </c>
      <c r="I205" s="12" t="s">
        <v>1188</v>
      </c>
      <c r="J205" s="13" t="s">
        <v>1189</v>
      </c>
      <c r="K205" s="12" t="s">
        <v>1190</v>
      </c>
      <c r="L205" s="12" t="s">
        <v>1199</v>
      </c>
      <c r="M205" s="12" t="s">
        <v>1208</v>
      </c>
      <c r="N205" s="12" t="s">
        <v>352</v>
      </c>
      <c r="O205" s="12" t="s">
        <v>102</v>
      </c>
      <c r="P205" s="12" t="s">
        <v>103</v>
      </c>
      <c r="Q205" s="12" t="s">
        <v>104</v>
      </c>
      <c r="R205" s="14" t="n">
        <v>117.81</v>
      </c>
      <c r="S205" s="14" t="s">
        <v>105</v>
      </c>
      <c r="T205" s="14" t="s">
        <v>653</v>
      </c>
      <c r="U205" s="14" t="n">
        <v>2030</v>
      </c>
      <c r="V205" s="12" t="s">
        <v>107</v>
      </c>
      <c r="W205" s="14" t="s">
        <v>1201</v>
      </c>
      <c r="X205" s="15" t="n">
        <f aca="false">IF(OR($S205="%",$R205=""),"",$R205*INDEX(Cambi!$J$2:$J$5,MATCH($S205,Cambi!$I$2:$I$5,0))/IF($T205="EUR",1,INDEX(Cambi!$D:$D,MATCH($T205&amp;"|"&amp;$U205,Cambi!$C:$C,0))))</f>
        <v>104.256637168142</v>
      </c>
      <c r="Y205" s="12" t="s">
        <v>109</v>
      </c>
      <c r="Z205" s="12" t="s">
        <v>109</v>
      </c>
      <c r="AA205" s="12" t="s">
        <v>1194</v>
      </c>
      <c r="AB205" s="16" t="s">
        <v>110</v>
      </c>
      <c r="AC205" s="16" t="s">
        <v>1195</v>
      </c>
      <c r="AD205" s="12" t="s">
        <v>281</v>
      </c>
      <c r="AE205" s="12" t="s">
        <v>1196</v>
      </c>
      <c r="AF205" s="12" t="s">
        <v>1209</v>
      </c>
      <c r="AG205" s="12" t="s">
        <v>284</v>
      </c>
      <c r="AH205" s="12" t="s">
        <v>499</v>
      </c>
      <c r="AI205" s="12" t="s">
        <v>285</v>
      </c>
      <c r="AJ205" s="12" t="s">
        <v>266</v>
      </c>
      <c r="AK205" s="12" t="s">
        <v>4</v>
      </c>
    </row>
    <row r="206" customFormat="false" ht="15" hidden="false" customHeight="false" outlineLevel="0" collapsed="false">
      <c r="A206" s="11" t="n">
        <v>205</v>
      </c>
      <c r="B206" s="12" t="s">
        <v>1210</v>
      </c>
      <c r="C206" s="12" t="s">
        <v>1152</v>
      </c>
      <c r="D206" s="12" t="s">
        <v>1153</v>
      </c>
      <c r="E206" s="12" t="s">
        <v>759</v>
      </c>
      <c r="F206" s="12" t="s">
        <v>1211</v>
      </c>
      <c r="G206" s="12" t="s">
        <v>1055</v>
      </c>
      <c r="H206" s="12" t="s">
        <v>1212</v>
      </c>
      <c r="I206" s="12" t="s">
        <v>1213</v>
      </c>
      <c r="J206" s="13" t="s">
        <v>1214</v>
      </c>
      <c r="K206" s="12" t="s">
        <v>1215</v>
      </c>
      <c r="L206" s="12" t="s">
        <v>1216</v>
      </c>
      <c r="M206" s="12" t="s">
        <v>1217</v>
      </c>
      <c r="N206" s="12" t="s">
        <v>352</v>
      </c>
      <c r="O206" s="12" t="s">
        <v>102</v>
      </c>
      <c r="P206" s="12" t="s">
        <v>103</v>
      </c>
      <c r="Q206" s="12" t="s">
        <v>104</v>
      </c>
      <c r="R206" s="14" t="n">
        <v>74</v>
      </c>
      <c r="S206" s="14" t="s">
        <v>105</v>
      </c>
      <c r="T206" s="14" t="s">
        <v>653</v>
      </c>
      <c r="U206" s="14" t="n">
        <v>2024</v>
      </c>
      <c r="V206" s="12" t="s">
        <v>157</v>
      </c>
      <c r="W206" s="14" t="s">
        <v>1218</v>
      </c>
      <c r="X206" s="15" t="n">
        <f aca="false">IF(OR($S206="%",$R206=""),"",$R206*INDEX(Cambi!$J$2:$J$5,MATCH($S206,Cambi!$I$2:$I$5,0))/IF($T206="EUR",1,INDEX(Cambi!$D:$D,MATCH($T206&amp;"|"&amp;$U206,Cambi!$C:$C,0))))</f>
        <v>68.3665927568367</v>
      </c>
      <c r="Y206" s="12" t="s">
        <v>109</v>
      </c>
      <c r="Z206" s="12" t="s">
        <v>109</v>
      </c>
      <c r="AA206" s="12" t="s">
        <v>109</v>
      </c>
      <c r="AB206" s="16" t="s">
        <v>110</v>
      </c>
      <c r="AC206" s="16" t="s">
        <v>1219</v>
      </c>
      <c r="AD206" s="12" t="s">
        <v>281</v>
      </c>
      <c r="AE206" s="12" t="s">
        <v>1196</v>
      </c>
      <c r="AF206" s="12" t="s">
        <v>1220</v>
      </c>
      <c r="AG206" s="12" t="s">
        <v>284</v>
      </c>
      <c r="AH206" s="12" t="s">
        <v>499</v>
      </c>
      <c r="AI206" s="12" t="s">
        <v>285</v>
      </c>
      <c r="AJ206" s="12" t="s">
        <v>1221</v>
      </c>
      <c r="AK206" s="12" t="s">
        <v>4</v>
      </c>
    </row>
    <row r="207" customFormat="false" ht="15" hidden="false" customHeight="false" outlineLevel="0" collapsed="false">
      <c r="A207" s="11" t="n">
        <v>206</v>
      </c>
      <c r="B207" s="12" t="s">
        <v>1210</v>
      </c>
      <c r="C207" s="12" t="s">
        <v>1152</v>
      </c>
      <c r="D207" s="12" t="s">
        <v>1153</v>
      </c>
      <c r="E207" s="12" t="s">
        <v>759</v>
      </c>
      <c r="F207" s="12" t="s">
        <v>1211</v>
      </c>
      <c r="G207" s="12" t="s">
        <v>1055</v>
      </c>
      <c r="H207" s="12" t="s">
        <v>1212</v>
      </c>
      <c r="I207" s="12" t="s">
        <v>1213</v>
      </c>
      <c r="J207" s="13" t="s">
        <v>1214</v>
      </c>
      <c r="K207" s="12" t="s">
        <v>1215</v>
      </c>
      <c r="L207" s="12" t="s">
        <v>1216</v>
      </c>
      <c r="M207" s="12" t="s">
        <v>1222</v>
      </c>
      <c r="N207" s="12" t="s">
        <v>352</v>
      </c>
      <c r="O207" s="12" t="s">
        <v>102</v>
      </c>
      <c r="P207" s="12" t="s">
        <v>103</v>
      </c>
      <c r="Q207" s="12" t="s">
        <v>104</v>
      </c>
      <c r="R207" s="14" t="n">
        <v>115</v>
      </c>
      <c r="S207" s="14" t="s">
        <v>105</v>
      </c>
      <c r="T207" s="14" t="s">
        <v>653</v>
      </c>
      <c r="U207" s="14" t="n">
        <v>2029</v>
      </c>
      <c r="V207" s="12" t="s">
        <v>107</v>
      </c>
      <c r="W207" s="14" t="s">
        <v>1218</v>
      </c>
      <c r="X207" s="15" t="n">
        <f aca="false">IF(OR($S207="%",$R207=""),"",$R207*INDEX(Cambi!$J$2:$J$5,MATCH($S207,Cambi!$I$2:$I$5,0))/IF($T207="EUR",1,INDEX(Cambi!$D:$D,MATCH($T207&amp;"|"&amp;$U207,Cambi!$C:$C,0))))</f>
        <v>101.769911504425</v>
      </c>
      <c r="Y207" s="12" t="s">
        <v>109</v>
      </c>
      <c r="Z207" s="12" t="s">
        <v>109</v>
      </c>
      <c r="AA207" s="12" t="s">
        <v>109</v>
      </c>
      <c r="AB207" s="16" t="s">
        <v>110</v>
      </c>
      <c r="AC207" s="16" t="s">
        <v>1219</v>
      </c>
      <c r="AD207" s="12" t="s">
        <v>281</v>
      </c>
      <c r="AE207" s="12" t="s">
        <v>1196</v>
      </c>
      <c r="AF207" s="12" t="s">
        <v>1220</v>
      </c>
      <c r="AG207" s="12" t="s">
        <v>284</v>
      </c>
      <c r="AH207" s="12" t="s">
        <v>499</v>
      </c>
      <c r="AI207" s="12" t="s">
        <v>285</v>
      </c>
      <c r="AJ207" s="12" t="s">
        <v>1223</v>
      </c>
      <c r="AK207" s="12" t="s">
        <v>4</v>
      </c>
    </row>
    <row r="208" customFormat="false" ht="15" hidden="false" customHeight="false" outlineLevel="0" collapsed="false">
      <c r="A208" s="11" t="n">
        <v>207</v>
      </c>
      <c r="B208" s="12" t="s">
        <v>625</v>
      </c>
      <c r="C208" s="12" t="s">
        <v>1152</v>
      </c>
      <c r="D208" s="12" t="s">
        <v>1153</v>
      </c>
      <c r="E208" s="12" t="s">
        <v>759</v>
      </c>
      <c r="F208" s="12" t="s">
        <v>626</v>
      </c>
      <c r="G208" s="12" t="s">
        <v>95</v>
      </c>
      <c r="H208" s="12" t="s">
        <v>627</v>
      </c>
      <c r="I208" s="12" t="s">
        <v>628</v>
      </c>
      <c r="J208" s="13" t="s">
        <v>629</v>
      </c>
      <c r="K208" s="12" t="s">
        <v>630</v>
      </c>
      <c r="L208" s="12" t="s">
        <v>1110</v>
      </c>
      <c r="M208" s="12" t="s">
        <v>1111</v>
      </c>
      <c r="N208" s="12" t="s">
        <v>101</v>
      </c>
      <c r="O208" s="12" t="s">
        <v>102</v>
      </c>
      <c r="P208" s="12" t="s">
        <v>103</v>
      </c>
      <c r="Q208" s="12" t="s">
        <v>104</v>
      </c>
      <c r="R208" s="14" t="n">
        <v>30.4</v>
      </c>
      <c r="S208" s="14" t="s">
        <v>105</v>
      </c>
      <c r="T208" s="14" t="s">
        <v>106</v>
      </c>
      <c r="U208" s="14" t="n">
        <v>2026</v>
      </c>
      <c r="V208" s="12" t="s">
        <v>107</v>
      </c>
      <c r="W208" s="14"/>
      <c r="X208" s="15" t="n">
        <f aca="false">IF(OR($S208="%",$R208=""),"",$R208*INDEX(Cambi!$J$2:$J$5,MATCH($S208,Cambi!$I$2:$I$5,0))/IF($T208="EUR",1,INDEX(Cambi!$D:$D,MATCH($T208&amp;"|"&amp;$U208,Cambi!$C:$C,0))))</f>
        <v>30.4</v>
      </c>
      <c r="Y208" s="12" t="s">
        <v>130</v>
      </c>
      <c r="Z208" s="12" t="s">
        <v>109</v>
      </c>
      <c r="AA208" s="12" t="s">
        <v>633</v>
      </c>
      <c r="AB208" s="16" t="s">
        <v>110</v>
      </c>
      <c r="AC208" s="16" t="s">
        <v>634</v>
      </c>
      <c r="AD208" s="12" t="s">
        <v>281</v>
      </c>
      <c r="AE208" s="12" t="s">
        <v>635</v>
      </c>
      <c r="AF208" s="12" t="s">
        <v>1224</v>
      </c>
      <c r="AG208" s="12" t="s">
        <v>115</v>
      </c>
      <c r="AH208" s="12" t="s">
        <v>116</v>
      </c>
      <c r="AI208" s="12" t="s">
        <v>285</v>
      </c>
      <c r="AJ208" s="12" t="s">
        <v>1225</v>
      </c>
      <c r="AK208" s="12" t="s">
        <v>4</v>
      </c>
    </row>
    <row r="209" customFormat="false" ht="15" hidden="false" customHeight="false" outlineLevel="0" collapsed="false">
      <c r="A209" s="11" t="n">
        <v>208</v>
      </c>
      <c r="B209" s="12" t="s">
        <v>1226</v>
      </c>
      <c r="C209" s="12" t="s">
        <v>1152</v>
      </c>
      <c r="D209" s="12" t="s">
        <v>1153</v>
      </c>
      <c r="E209" s="12" t="s">
        <v>759</v>
      </c>
      <c r="F209" s="12" t="s">
        <v>1227</v>
      </c>
      <c r="G209" s="12" t="s">
        <v>771</v>
      </c>
      <c r="H209" s="12" t="s">
        <v>1228</v>
      </c>
      <c r="I209" s="12" t="s">
        <v>1229</v>
      </c>
      <c r="J209" s="13" t="s">
        <v>1230</v>
      </c>
      <c r="K209" s="12"/>
      <c r="L209" s="12" t="s">
        <v>1231</v>
      </c>
      <c r="M209" s="12" t="s">
        <v>1232</v>
      </c>
      <c r="N209" s="12" t="s">
        <v>101</v>
      </c>
      <c r="O209" s="12" t="s">
        <v>102</v>
      </c>
      <c r="P209" s="12" t="s">
        <v>103</v>
      </c>
      <c r="Q209" s="12" t="s">
        <v>104</v>
      </c>
      <c r="R209" s="14" t="n">
        <v>10630098.57</v>
      </c>
      <c r="S209" s="14" t="s">
        <v>432</v>
      </c>
      <c r="T209" s="14" t="s">
        <v>1162</v>
      </c>
      <c r="U209" s="14" t="n">
        <v>2019</v>
      </c>
      <c r="V209" s="12" t="s">
        <v>157</v>
      </c>
      <c r="W209" s="14"/>
      <c r="X209" s="15" t="n">
        <f aca="false">IF(OR($S209="%",$R209=""),"",$R209*INDEX(Cambi!$J$2:$J$5,MATCH($S209,Cambi!$I$2:$I$5,0))/IF($T209="EUR",1,INDEX(Cambi!$D:$D,MATCH($T209&amp;"|"&amp;$U209,Cambi!$C:$C,0))))</f>
        <v>5.43516646385111</v>
      </c>
      <c r="Y209" s="12" t="s">
        <v>108</v>
      </c>
      <c r="Z209" s="12" t="s">
        <v>109</v>
      </c>
      <c r="AA209" s="12" t="s">
        <v>109</v>
      </c>
      <c r="AB209" s="16" t="s">
        <v>394</v>
      </c>
      <c r="AC209" s="16" t="s">
        <v>1233</v>
      </c>
      <c r="AD209" s="12" t="s">
        <v>112</v>
      </c>
      <c r="AE209" s="12" t="s">
        <v>1234</v>
      </c>
      <c r="AF209" s="12" t="s">
        <v>1235</v>
      </c>
      <c r="AG209" s="12" t="s">
        <v>115</v>
      </c>
      <c r="AH209" s="12" t="s">
        <v>116</v>
      </c>
      <c r="AI209" s="12" t="s">
        <v>117</v>
      </c>
      <c r="AJ209" s="12" t="s">
        <v>1236</v>
      </c>
      <c r="AK209" s="12" t="s">
        <v>4</v>
      </c>
    </row>
    <row r="210" customFormat="false" ht="15" hidden="false" customHeight="false" outlineLevel="0" collapsed="false">
      <c r="A210" s="11" t="n">
        <v>209</v>
      </c>
      <c r="B210" s="12" t="s">
        <v>1237</v>
      </c>
      <c r="C210" s="12" t="s">
        <v>1152</v>
      </c>
      <c r="D210" s="12" t="s">
        <v>1153</v>
      </c>
      <c r="E210" s="12" t="s">
        <v>759</v>
      </c>
      <c r="F210" s="12" t="s">
        <v>1227</v>
      </c>
      <c r="G210" s="12" t="s">
        <v>771</v>
      </c>
      <c r="H210" s="12" t="s">
        <v>1238</v>
      </c>
      <c r="I210" s="12" t="s">
        <v>1239</v>
      </c>
      <c r="J210" s="13" t="s">
        <v>1240</v>
      </c>
      <c r="K210" s="12"/>
      <c r="L210" s="12" t="s">
        <v>1241</v>
      </c>
      <c r="M210" s="12" t="s">
        <v>1242</v>
      </c>
      <c r="N210" s="12" t="s">
        <v>101</v>
      </c>
      <c r="O210" s="12" t="s">
        <v>102</v>
      </c>
      <c r="P210" s="12" t="s">
        <v>103</v>
      </c>
      <c r="Q210" s="12" t="s">
        <v>104</v>
      </c>
      <c r="R210" s="14" t="n">
        <v>246020000</v>
      </c>
      <c r="S210" s="14" t="s">
        <v>432</v>
      </c>
      <c r="T210" s="14" t="s">
        <v>1162</v>
      </c>
      <c r="U210" s="14" t="n">
        <v>2021</v>
      </c>
      <c r="V210" s="12" t="s">
        <v>107</v>
      </c>
      <c r="W210" s="14"/>
      <c r="X210" s="15" t="n">
        <f aca="false">IF(OR($S210="%",$R210=""),"",$R210*INDEX(Cambi!$J$2:$J$5,MATCH($S210,Cambi!$I$2:$I$5,0))/IF($T210="EUR",1,INDEX(Cambi!$D:$D,MATCH($T210&amp;"|"&amp;$U210,Cambi!$C:$C,0))))</f>
        <v>125.789958073423</v>
      </c>
      <c r="Y210" s="12" t="s">
        <v>108</v>
      </c>
      <c r="Z210" s="12" t="s">
        <v>109</v>
      </c>
      <c r="AA210" s="12" t="s">
        <v>109</v>
      </c>
      <c r="AB210" s="16" t="s">
        <v>394</v>
      </c>
      <c r="AC210" s="16" t="s">
        <v>1233</v>
      </c>
      <c r="AD210" s="12" t="s">
        <v>166</v>
      </c>
      <c r="AE210" s="12" t="s">
        <v>1243</v>
      </c>
      <c r="AF210" s="12" t="s">
        <v>1244</v>
      </c>
      <c r="AG210" s="12" t="s">
        <v>115</v>
      </c>
      <c r="AH210" s="12" t="s">
        <v>116</v>
      </c>
      <c r="AI210" s="12" t="s">
        <v>117</v>
      </c>
      <c r="AJ210" s="12" t="s">
        <v>1245</v>
      </c>
      <c r="AK210" s="12" t="s">
        <v>4</v>
      </c>
    </row>
    <row r="211" customFormat="false" ht="15" hidden="false" customHeight="false" outlineLevel="0" collapsed="false">
      <c r="A211" s="11" t="n">
        <v>210</v>
      </c>
      <c r="B211" s="12" t="s">
        <v>1237</v>
      </c>
      <c r="C211" s="12" t="s">
        <v>1152</v>
      </c>
      <c r="D211" s="12" t="s">
        <v>1153</v>
      </c>
      <c r="E211" s="12" t="s">
        <v>759</v>
      </c>
      <c r="F211" s="12" t="s">
        <v>1227</v>
      </c>
      <c r="G211" s="12" t="s">
        <v>771</v>
      </c>
      <c r="H211" s="12" t="s">
        <v>1238</v>
      </c>
      <c r="I211" s="12" t="s">
        <v>1239</v>
      </c>
      <c r="J211" s="13" t="s">
        <v>1240</v>
      </c>
      <c r="K211" s="12"/>
      <c r="L211" s="12" t="s">
        <v>1246</v>
      </c>
      <c r="M211" s="12" t="s">
        <v>1247</v>
      </c>
      <c r="N211" s="12" t="s">
        <v>101</v>
      </c>
      <c r="O211" s="12" t="s">
        <v>102</v>
      </c>
      <c r="P211" s="12" t="s">
        <v>103</v>
      </c>
      <c r="Q211" s="12" t="s">
        <v>104</v>
      </c>
      <c r="R211" s="14" t="n">
        <v>178537000</v>
      </c>
      <c r="S211" s="14" t="s">
        <v>432</v>
      </c>
      <c r="T211" s="14" t="s">
        <v>1162</v>
      </c>
      <c r="U211" s="14" t="n">
        <v>2021</v>
      </c>
      <c r="V211" s="12" t="s">
        <v>107</v>
      </c>
      <c r="W211" s="14"/>
      <c r="X211" s="15" t="n">
        <f aca="false">IF(OR($S211="%",$R211=""),"",$R211*INDEX(Cambi!$J$2:$J$5,MATCH($S211,Cambi!$I$2:$I$5,0))/IF($T211="EUR",1,INDEX(Cambi!$D:$D,MATCH($T211&amp;"|"&amp;$U211,Cambi!$C:$C,0))))</f>
        <v>91.2859188056038</v>
      </c>
      <c r="Y211" s="12" t="s">
        <v>108</v>
      </c>
      <c r="Z211" s="12" t="s">
        <v>109</v>
      </c>
      <c r="AA211" s="12" t="s">
        <v>109</v>
      </c>
      <c r="AB211" s="16" t="s">
        <v>394</v>
      </c>
      <c r="AC211" s="16" t="s">
        <v>1233</v>
      </c>
      <c r="AD211" s="12" t="s">
        <v>166</v>
      </c>
      <c r="AE211" s="12" t="s">
        <v>1243</v>
      </c>
      <c r="AF211" s="12" t="s">
        <v>1248</v>
      </c>
      <c r="AG211" s="12" t="s">
        <v>115</v>
      </c>
      <c r="AH211" s="12" t="s">
        <v>116</v>
      </c>
      <c r="AI211" s="12" t="s">
        <v>117</v>
      </c>
      <c r="AJ211" s="12" t="s">
        <v>1245</v>
      </c>
      <c r="AK211" s="12" t="s">
        <v>4</v>
      </c>
    </row>
    <row r="212" customFormat="false" ht="15" hidden="false" customHeight="false" outlineLevel="0" collapsed="false">
      <c r="A212" s="11" t="n">
        <v>211</v>
      </c>
      <c r="B212" s="12" t="s">
        <v>1249</v>
      </c>
      <c r="C212" s="12" t="s">
        <v>1152</v>
      </c>
      <c r="D212" s="12" t="s">
        <v>1153</v>
      </c>
      <c r="E212" s="12" t="s">
        <v>759</v>
      </c>
      <c r="F212" s="12" t="s">
        <v>1250</v>
      </c>
      <c r="G212" s="12" t="s">
        <v>771</v>
      </c>
      <c r="H212" s="12" t="s">
        <v>1251</v>
      </c>
      <c r="I212" s="12" t="s">
        <v>1252</v>
      </c>
      <c r="J212" s="13" t="s">
        <v>1253</v>
      </c>
      <c r="K212" s="12"/>
      <c r="L212" s="12" t="s">
        <v>1254</v>
      </c>
      <c r="M212" s="12" t="s">
        <v>1255</v>
      </c>
      <c r="N212" s="12" t="s">
        <v>101</v>
      </c>
      <c r="O212" s="12" t="s">
        <v>102</v>
      </c>
      <c r="P212" s="12" t="s">
        <v>103</v>
      </c>
      <c r="Q212" s="12" t="s">
        <v>104</v>
      </c>
      <c r="R212" s="14" t="n">
        <v>7823320</v>
      </c>
      <c r="S212" s="14" t="s">
        <v>432</v>
      </c>
      <c r="T212" s="14" t="s">
        <v>1162</v>
      </c>
      <c r="U212" s="14" t="n">
        <v>2023</v>
      </c>
      <c r="V212" s="12" t="s">
        <v>157</v>
      </c>
      <c r="W212" s="14"/>
      <c r="X212" s="15" t="n">
        <f aca="false">IF(OR($S212="%",$R212=""),"",$R212*INDEX(Cambi!$J$2:$J$5,MATCH($S212,Cambi!$I$2:$I$5,0))/IF($T212="EUR",1,INDEX(Cambi!$D:$D,MATCH($T212&amp;"|"&amp;$U212,Cambi!$C:$C,0))))</f>
        <v>4.00006135596687</v>
      </c>
      <c r="Y212" s="12" t="s">
        <v>108</v>
      </c>
      <c r="Z212" s="12" t="s">
        <v>109</v>
      </c>
      <c r="AA212" s="12" t="s">
        <v>109</v>
      </c>
      <c r="AB212" s="16" t="s">
        <v>394</v>
      </c>
      <c r="AC212" s="16" t="s">
        <v>1233</v>
      </c>
      <c r="AD212" s="12" t="s">
        <v>112</v>
      </c>
      <c r="AE212" s="12" t="s">
        <v>1256</v>
      </c>
      <c r="AF212" s="12" t="s">
        <v>1257</v>
      </c>
      <c r="AG212" s="12" t="s">
        <v>115</v>
      </c>
      <c r="AH212" s="12" t="s">
        <v>116</v>
      </c>
      <c r="AI212" s="12" t="s">
        <v>117</v>
      </c>
      <c r="AJ212" s="12" t="s">
        <v>1258</v>
      </c>
      <c r="AK212" s="12" t="s">
        <v>4</v>
      </c>
    </row>
    <row r="213" customFormat="false" ht="15" hidden="false" customHeight="false" outlineLevel="0" collapsed="false">
      <c r="A213" s="11" t="n">
        <v>212</v>
      </c>
      <c r="B213" s="12" t="s">
        <v>1259</v>
      </c>
      <c r="C213" s="12" t="s">
        <v>1260</v>
      </c>
      <c r="D213" s="12" t="s">
        <v>1261</v>
      </c>
      <c r="E213" s="12" t="s">
        <v>759</v>
      </c>
      <c r="F213" s="12" t="s">
        <v>1262</v>
      </c>
      <c r="G213" s="12" t="s">
        <v>95</v>
      </c>
      <c r="H213" s="12" t="s">
        <v>1263</v>
      </c>
      <c r="I213" s="12" t="s">
        <v>847</v>
      </c>
      <c r="J213" s="13" t="s">
        <v>1264</v>
      </c>
      <c r="K213" s="12"/>
      <c r="L213" s="12" t="s">
        <v>1265</v>
      </c>
      <c r="M213" s="12" t="s">
        <v>1266</v>
      </c>
      <c r="N213" s="12" t="s">
        <v>101</v>
      </c>
      <c r="O213" s="12" t="s">
        <v>102</v>
      </c>
      <c r="P213" s="12" t="s">
        <v>366</v>
      </c>
      <c r="Q213" s="12" t="s">
        <v>1267</v>
      </c>
      <c r="R213" s="14" t="n">
        <v>1.5</v>
      </c>
      <c r="S213" s="14" t="s">
        <v>105</v>
      </c>
      <c r="T213" s="14" t="s">
        <v>106</v>
      </c>
      <c r="U213" s="14" t="n">
        <v>2025</v>
      </c>
      <c r="V213" s="12" t="s">
        <v>157</v>
      </c>
      <c r="W213" s="14"/>
      <c r="X213" s="15" t="n">
        <f aca="false">IF(OR($S213="%",$R213=""),"",$R213*INDEX(Cambi!$J$2:$J$5,MATCH($S213,Cambi!$I$2:$I$5,0))/IF($T213="EUR",1,INDEX(Cambi!$D:$D,MATCH($T213&amp;"|"&amp;$U213,Cambi!$C:$C,0))))</f>
        <v>1.5</v>
      </c>
      <c r="Y213" s="12" t="s">
        <v>239</v>
      </c>
      <c r="Z213" s="12" t="s">
        <v>109</v>
      </c>
      <c r="AA213" s="12" t="s">
        <v>109</v>
      </c>
      <c r="AB213" s="16" t="s">
        <v>394</v>
      </c>
      <c r="AC213" s="16" t="s">
        <v>1268</v>
      </c>
      <c r="AD213" s="12" t="s">
        <v>112</v>
      </c>
      <c r="AE213" s="12" t="s">
        <v>1269</v>
      </c>
      <c r="AF213" s="12" t="s">
        <v>1270</v>
      </c>
      <c r="AG213" s="12" t="s">
        <v>498</v>
      </c>
      <c r="AH213" s="12" t="s">
        <v>116</v>
      </c>
      <c r="AI213" s="12" t="s">
        <v>117</v>
      </c>
      <c r="AJ213" s="12" t="s">
        <v>266</v>
      </c>
      <c r="AK213" s="12" t="s">
        <v>4</v>
      </c>
    </row>
    <row r="214" customFormat="false" ht="15" hidden="false" customHeight="false" outlineLevel="0" collapsed="false">
      <c r="A214" s="11" t="n">
        <v>213</v>
      </c>
      <c r="B214" s="12" t="s">
        <v>1259</v>
      </c>
      <c r="C214" s="12" t="s">
        <v>1260</v>
      </c>
      <c r="D214" s="12" t="s">
        <v>1261</v>
      </c>
      <c r="E214" s="12" t="s">
        <v>759</v>
      </c>
      <c r="F214" s="12" t="s">
        <v>1262</v>
      </c>
      <c r="G214" s="12" t="s">
        <v>95</v>
      </c>
      <c r="H214" s="12" t="s">
        <v>1263</v>
      </c>
      <c r="I214" s="12" t="s">
        <v>847</v>
      </c>
      <c r="J214" s="13" t="s">
        <v>1264</v>
      </c>
      <c r="K214" s="12"/>
      <c r="L214" s="12" t="s">
        <v>1271</v>
      </c>
      <c r="M214" s="12" t="s">
        <v>1272</v>
      </c>
      <c r="N214" s="12" t="s">
        <v>101</v>
      </c>
      <c r="O214" s="12" t="s">
        <v>102</v>
      </c>
      <c r="P214" s="12" t="s">
        <v>214</v>
      </c>
      <c r="Q214" s="12" t="s">
        <v>1273</v>
      </c>
      <c r="R214" s="14" t="n">
        <v>1</v>
      </c>
      <c r="S214" s="14" t="s">
        <v>105</v>
      </c>
      <c r="T214" s="14" t="s">
        <v>106</v>
      </c>
      <c r="U214" s="14" t="n">
        <v>2025</v>
      </c>
      <c r="V214" s="12" t="s">
        <v>157</v>
      </c>
      <c r="W214" s="14"/>
      <c r="X214" s="15" t="n">
        <f aca="false">IF(OR($S214="%",$R214=""),"",$R214*INDEX(Cambi!$J$2:$J$5,MATCH($S214,Cambi!$I$2:$I$5,0))/IF($T214="EUR",1,INDEX(Cambi!$D:$D,MATCH($T214&amp;"|"&amp;$U214,Cambi!$C:$C,0))))</f>
        <v>1</v>
      </c>
      <c r="Y214" s="12" t="s">
        <v>239</v>
      </c>
      <c r="Z214" s="12" t="s">
        <v>109</v>
      </c>
      <c r="AA214" s="12" t="s">
        <v>109</v>
      </c>
      <c r="AB214" s="16" t="s">
        <v>394</v>
      </c>
      <c r="AC214" s="16" t="s">
        <v>1268</v>
      </c>
      <c r="AD214" s="12" t="s">
        <v>112</v>
      </c>
      <c r="AE214" s="12" t="s">
        <v>1269</v>
      </c>
      <c r="AF214" s="12" t="s">
        <v>1270</v>
      </c>
      <c r="AG214" s="12" t="s">
        <v>498</v>
      </c>
      <c r="AH214" s="12" t="s">
        <v>116</v>
      </c>
      <c r="AI214" s="12" t="s">
        <v>117</v>
      </c>
      <c r="AJ214" s="12" t="s">
        <v>266</v>
      </c>
      <c r="AK214" s="12" t="s">
        <v>4</v>
      </c>
    </row>
    <row r="215" customFormat="false" ht="15" hidden="false" customHeight="false" outlineLevel="0" collapsed="false">
      <c r="A215" s="11" t="n">
        <v>214</v>
      </c>
      <c r="B215" s="12" t="s">
        <v>1259</v>
      </c>
      <c r="C215" s="12" t="s">
        <v>1260</v>
      </c>
      <c r="D215" s="12" t="s">
        <v>1261</v>
      </c>
      <c r="E215" s="12" t="s">
        <v>759</v>
      </c>
      <c r="F215" s="12" t="s">
        <v>1262</v>
      </c>
      <c r="G215" s="12" t="s">
        <v>95</v>
      </c>
      <c r="H215" s="12" t="s">
        <v>1263</v>
      </c>
      <c r="I215" s="12" t="s">
        <v>847</v>
      </c>
      <c r="J215" s="13" t="s">
        <v>1264</v>
      </c>
      <c r="K215" s="12"/>
      <c r="L215" s="12" t="s">
        <v>1274</v>
      </c>
      <c r="M215" s="12" t="s">
        <v>1275</v>
      </c>
      <c r="N215" s="12" t="s">
        <v>101</v>
      </c>
      <c r="O215" s="12" t="s">
        <v>102</v>
      </c>
      <c r="P215" s="12" t="s">
        <v>103</v>
      </c>
      <c r="Q215" s="12" t="s">
        <v>104</v>
      </c>
      <c r="R215" s="14" t="n">
        <v>2.5</v>
      </c>
      <c r="S215" s="14" t="s">
        <v>105</v>
      </c>
      <c r="T215" s="14" t="s">
        <v>106</v>
      </c>
      <c r="U215" s="14" t="n">
        <v>2025</v>
      </c>
      <c r="V215" s="12" t="s">
        <v>157</v>
      </c>
      <c r="W215" s="14"/>
      <c r="X215" s="15" t="n">
        <f aca="false">IF(OR($S215="%",$R215=""),"",$R215*INDEX(Cambi!$J$2:$J$5,MATCH($S215,Cambi!$I$2:$I$5,0))/IF($T215="EUR",1,INDEX(Cambi!$D:$D,MATCH($T215&amp;"|"&amp;$U215,Cambi!$C:$C,0))))</f>
        <v>2.5</v>
      </c>
      <c r="Y215" s="12" t="s">
        <v>239</v>
      </c>
      <c r="Z215" s="12" t="s">
        <v>109</v>
      </c>
      <c r="AA215" s="12" t="s">
        <v>109</v>
      </c>
      <c r="AB215" s="16" t="s">
        <v>394</v>
      </c>
      <c r="AC215" s="16" t="s">
        <v>1268</v>
      </c>
      <c r="AD215" s="12" t="s">
        <v>112</v>
      </c>
      <c r="AE215" s="12" t="s">
        <v>1269</v>
      </c>
      <c r="AF215" s="12" t="s">
        <v>1276</v>
      </c>
      <c r="AG215" s="12" t="s">
        <v>498</v>
      </c>
      <c r="AH215" s="12" t="s">
        <v>116</v>
      </c>
      <c r="AI215" s="12" t="s">
        <v>117</v>
      </c>
      <c r="AJ215" s="12" t="s">
        <v>1277</v>
      </c>
      <c r="AK215" s="12" t="s">
        <v>4</v>
      </c>
    </row>
    <row r="216" customFormat="false" ht="15" hidden="false" customHeight="false" outlineLevel="0" collapsed="false">
      <c r="A216" s="11" t="n">
        <v>215</v>
      </c>
      <c r="B216" s="12" t="s">
        <v>1259</v>
      </c>
      <c r="C216" s="12" t="s">
        <v>1260</v>
      </c>
      <c r="D216" s="12" t="s">
        <v>1261</v>
      </c>
      <c r="E216" s="12" t="s">
        <v>759</v>
      </c>
      <c r="F216" s="12" t="s">
        <v>1262</v>
      </c>
      <c r="G216" s="12" t="s">
        <v>95</v>
      </c>
      <c r="H216" s="12" t="s">
        <v>1263</v>
      </c>
      <c r="I216" s="12" t="s">
        <v>847</v>
      </c>
      <c r="J216" s="13" t="s">
        <v>1264</v>
      </c>
      <c r="K216" s="12"/>
      <c r="L216" s="12" t="s">
        <v>1278</v>
      </c>
      <c r="M216" s="12" t="s">
        <v>1279</v>
      </c>
      <c r="N216" s="12" t="s">
        <v>101</v>
      </c>
      <c r="O216" s="12" t="s">
        <v>102</v>
      </c>
      <c r="P216" s="12" t="s">
        <v>366</v>
      </c>
      <c r="Q216" s="12" t="s">
        <v>1280</v>
      </c>
      <c r="R216" s="14" t="n">
        <v>1</v>
      </c>
      <c r="S216" s="14" t="s">
        <v>105</v>
      </c>
      <c r="T216" s="14" t="s">
        <v>106</v>
      </c>
      <c r="U216" s="14" t="n">
        <v>2026</v>
      </c>
      <c r="V216" s="12" t="s">
        <v>198</v>
      </c>
      <c r="W216" s="14"/>
      <c r="X216" s="15" t="n">
        <f aca="false">IF(OR($S216="%",$R216=""),"",$R216*INDEX(Cambi!$J$2:$J$5,MATCH($S216,Cambi!$I$2:$I$5,0))/IF($T216="EUR",1,INDEX(Cambi!$D:$D,MATCH($T216&amp;"|"&amp;$U216,Cambi!$C:$C,0))))</f>
        <v>1</v>
      </c>
      <c r="Y216" s="12" t="s">
        <v>239</v>
      </c>
      <c r="Z216" s="12" t="s">
        <v>109</v>
      </c>
      <c r="AA216" s="12" t="s">
        <v>109</v>
      </c>
      <c r="AB216" s="16" t="s">
        <v>394</v>
      </c>
      <c r="AC216" s="16" t="s">
        <v>1268</v>
      </c>
      <c r="AD216" s="12" t="s">
        <v>112</v>
      </c>
      <c r="AE216" s="12" t="s">
        <v>1269</v>
      </c>
      <c r="AF216" s="12" t="s">
        <v>1281</v>
      </c>
      <c r="AG216" s="12" t="s">
        <v>498</v>
      </c>
      <c r="AH216" s="12" t="s">
        <v>116</v>
      </c>
      <c r="AI216" s="12" t="s">
        <v>117</v>
      </c>
      <c r="AJ216" s="12" t="s">
        <v>266</v>
      </c>
      <c r="AK216" s="12" t="s">
        <v>4</v>
      </c>
    </row>
    <row r="217" customFormat="false" ht="15" hidden="false" customHeight="false" outlineLevel="0" collapsed="false">
      <c r="A217" s="11" t="n">
        <v>216</v>
      </c>
      <c r="B217" s="12" t="s">
        <v>1282</v>
      </c>
      <c r="C217" s="12" t="s">
        <v>1260</v>
      </c>
      <c r="D217" s="12" t="s">
        <v>1261</v>
      </c>
      <c r="E217" s="12" t="s">
        <v>759</v>
      </c>
      <c r="F217" s="12" t="s">
        <v>1283</v>
      </c>
      <c r="G217" s="12" t="s">
        <v>95</v>
      </c>
      <c r="H217" s="12" t="s">
        <v>1284</v>
      </c>
      <c r="I217" s="12" t="s">
        <v>583</v>
      </c>
      <c r="J217" s="13" t="s">
        <v>1285</v>
      </c>
      <c r="K217" s="12"/>
      <c r="L217" s="12" t="s">
        <v>1286</v>
      </c>
      <c r="M217" s="12" t="s">
        <v>1287</v>
      </c>
      <c r="N217" s="12" t="s">
        <v>101</v>
      </c>
      <c r="O217" s="12" t="s">
        <v>102</v>
      </c>
      <c r="P217" s="12" t="s">
        <v>103</v>
      </c>
      <c r="Q217" s="12" t="s">
        <v>104</v>
      </c>
      <c r="R217" s="14" t="n">
        <v>6.5</v>
      </c>
      <c r="S217" s="14" t="s">
        <v>105</v>
      </c>
      <c r="T217" s="14" t="s">
        <v>106</v>
      </c>
      <c r="U217" s="14" t="n">
        <v>2022</v>
      </c>
      <c r="V217" s="12" t="s">
        <v>157</v>
      </c>
      <c r="W217" s="14"/>
      <c r="X217" s="15" t="n">
        <f aca="false">IF(OR($S217="%",$R217=""),"",$R217*INDEX(Cambi!$J$2:$J$5,MATCH($S217,Cambi!$I$2:$I$5,0))/IF($T217="EUR",1,INDEX(Cambi!$D:$D,MATCH($T217&amp;"|"&amp;$U217,Cambi!$C:$C,0))))</f>
        <v>6.5</v>
      </c>
      <c r="Y217" s="12" t="s">
        <v>130</v>
      </c>
      <c r="Z217" s="12" t="s">
        <v>109</v>
      </c>
      <c r="AA217" s="12" t="s">
        <v>109</v>
      </c>
      <c r="AB217" s="16" t="s">
        <v>394</v>
      </c>
      <c r="AC217" s="16" t="s">
        <v>1288</v>
      </c>
      <c r="AD217" s="12" t="s">
        <v>112</v>
      </c>
      <c r="AE217" s="12" t="s">
        <v>1289</v>
      </c>
      <c r="AF217" s="12" t="s">
        <v>1290</v>
      </c>
      <c r="AG217" s="12" t="s">
        <v>498</v>
      </c>
      <c r="AH217" s="12" t="s">
        <v>116</v>
      </c>
      <c r="AI217" s="12" t="s">
        <v>117</v>
      </c>
      <c r="AJ217" s="12" t="s">
        <v>1291</v>
      </c>
      <c r="AK217" s="12" t="s">
        <v>4</v>
      </c>
    </row>
    <row r="218" customFormat="false" ht="15" hidden="false" customHeight="false" outlineLevel="0" collapsed="false">
      <c r="A218" s="11" t="n">
        <v>217</v>
      </c>
      <c r="B218" s="12" t="s">
        <v>1292</v>
      </c>
      <c r="C218" s="12" t="s">
        <v>1293</v>
      </c>
      <c r="D218" s="12" t="s">
        <v>1294</v>
      </c>
      <c r="E218" s="12" t="s">
        <v>759</v>
      </c>
      <c r="F218" s="12" t="s">
        <v>1295</v>
      </c>
      <c r="G218" s="12" t="s">
        <v>771</v>
      </c>
      <c r="H218" s="12" t="s">
        <v>1296</v>
      </c>
      <c r="I218" s="12" t="s">
        <v>181</v>
      </c>
      <c r="J218" s="13" t="s">
        <v>1297</v>
      </c>
      <c r="K218" s="12" t="s">
        <v>1298</v>
      </c>
      <c r="L218" s="12" t="s">
        <v>1299</v>
      </c>
      <c r="M218" s="12" t="s">
        <v>1300</v>
      </c>
      <c r="N218" s="12" t="s">
        <v>352</v>
      </c>
      <c r="O218" s="12" t="s">
        <v>102</v>
      </c>
      <c r="P218" s="12" t="s">
        <v>103</v>
      </c>
      <c r="Q218" s="12" t="s">
        <v>104</v>
      </c>
      <c r="R218" s="14" t="n">
        <v>106.79</v>
      </c>
      <c r="S218" s="14" t="s">
        <v>105</v>
      </c>
      <c r="T218" s="14" t="s">
        <v>653</v>
      </c>
      <c r="U218" s="14" t="n">
        <v>2025</v>
      </c>
      <c r="V218" s="12" t="s">
        <v>107</v>
      </c>
      <c r="W218" s="14"/>
      <c r="X218" s="15" t="n">
        <f aca="false">IF(OR($S218="%",$R218=""),"",$R218*INDEX(Cambi!$J$2:$J$5,MATCH($S218,Cambi!$I$2:$I$5,0))/IF($T218="EUR",1,INDEX(Cambi!$D:$D,MATCH($T218&amp;"|"&amp;$U218,Cambi!$C:$C,0))))</f>
        <v>94.5044247787611</v>
      </c>
      <c r="Y218" s="12" t="s">
        <v>654</v>
      </c>
      <c r="Z218" s="12" t="s">
        <v>285</v>
      </c>
      <c r="AA218" s="12" t="s">
        <v>1301</v>
      </c>
      <c r="AB218" s="12" t="s">
        <v>679</v>
      </c>
      <c r="AC218" s="12" t="s">
        <v>395</v>
      </c>
      <c r="AD218" s="12" t="s">
        <v>281</v>
      </c>
      <c r="AE218" s="12" t="s">
        <v>1302</v>
      </c>
      <c r="AF218" s="12" t="s">
        <v>1303</v>
      </c>
      <c r="AG218" s="12" t="s">
        <v>498</v>
      </c>
      <c r="AH218" s="12" t="s">
        <v>499</v>
      </c>
      <c r="AI218" s="12" t="s">
        <v>285</v>
      </c>
      <c r="AJ218" s="12" t="s">
        <v>1304</v>
      </c>
      <c r="AK218" s="12" t="s">
        <v>4</v>
      </c>
    </row>
    <row r="219" customFormat="false" ht="15" hidden="false" customHeight="false" outlineLevel="0" collapsed="false">
      <c r="A219" s="11" t="n">
        <v>218</v>
      </c>
      <c r="B219" s="12" t="s">
        <v>1305</v>
      </c>
      <c r="C219" s="12" t="s">
        <v>1293</v>
      </c>
      <c r="D219" s="12" t="s">
        <v>1294</v>
      </c>
      <c r="E219" s="12" t="s">
        <v>759</v>
      </c>
      <c r="F219" s="12" t="s">
        <v>1306</v>
      </c>
      <c r="G219" s="12" t="s">
        <v>771</v>
      </c>
      <c r="H219" s="12" t="s">
        <v>1307</v>
      </c>
      <c r="I219" s="12" t="s">
        <v>1308</v>
      </c>
      <c r="J219" s="13" t="s">
        <v>1309</v>
      </c>
      <c r="K219" s="12"/>
      <c r="L219" s="12" t="s">
        <v>1310</v>
      </c>
      <c r="M219" s="12" t="s">
        <v>1311</v>
      </c>
      <c r="N219" s="12" t="s">
        <v>101</v>
      </c>
      <c r="O219" s="12" t="s">
        <v>102</v>
      </c>
      <c r="P219" s="12" t="s">
        <v>103</v>
      </c>
      <c r="Q219" s="12" t="s">
        <v>104</v>
      </c>
      <c r="R219" s="14" t="n">
        <v>7.87</v>
      </c>
      <c r="S219" s="14" t="s">
        <v>105</v>
      </c>
      <c r="T219" s="14" t="s">
        <v>106</v>
      </c>
      <c r="U219" s="14" t="n">
        <v>2025</v>
      </c>
      <c r="V219" s="12" t="s">
        <v>157</v>
      </c>
      <c r="W219" s="14"/>
      <c r="X219" s="15" t="n">
        <f aca="false">IF(OR($S219="%",$R219=""),"",$R219*INDEX(Cambi!$J$2:$J$5,MATCH($S219,Cambi!$I$2:$I$5,0))/IF($T219="EUR",1,INDEX(Cambi!$D:$D,MATCH($T219&amp;"|"&amp;$U219,Cambi!$C:$C,0))))</f>
        <v>7.87</v>
      </c>
      <c r="Y219" s="12" t="s">
        <v>130</v>
      </c>
      <c r="Z219" s="12" t="s">
        <v>109</v>
      </c>
      <c r="AA219" s="12" t="s">
        <v>109</v>
      </c>
      <c r="AB219" s="16" t="s">
        <v>394</v>
      </c>
      <c r="AC219" s="16" t="s">
        <v>1312</v>
      </c>
      <c r="AD219" s="12" t="s">
        <v>112</v>
      </c>
      <c r="AE219" s="12" t="s">
        <v>1313</v>
      </c>
      <c r="AF219" s="12" t="s">
        <v>1314</v>
      </c>
      <c r="AG219" s="12" t="s">
        <v>115</v>
      </c>
      <c r="AH219" s="12" t="s">
        <v>116</v>
      </c>
      <c r="AI219" s="12" t="s">
        <v>117</v>
      </c>
      <c r="AJ219" s="12" t="s">
        <v>1315</v>
      </c>
      <c r="AK219" s="12" t="s">
        <v>4</v>
      </c>
    </row>
    <row r="220" customFormat="false" ht="15" hidden="false" customHeight="false" outlineLevel="0" collapsed="false">
      <c r="A220" s="11" t="n">
        <v>219</v>
      </c>
      <c r="B220" s="12" t="s">
        <v>1316</v>
      </c>
      <c r="C220" s="12" t="s">
        <v>1293</v>
      </c>
      <c r="D220" s="12" t="s">
        <v>1294</v>
      </c>
      <c r="E220" s="12" t="s">
        <v>759</v>
      </c>
      <c r="F220" s="12" t="s">
        <v>1317</v>
      </c>
      <c r="G220" s="12" t="s">
        <v>771</v>
      </c>
      <c r="H220" s="12" t="s">
        <v>1318</v>
      </c>
      <c r="I220" s="12" t="s">
        <v>1319</v>
      </c>
      <c r="J220" s="13" t="s">
        <v>1320</v>
      </c>
      <c r="K220" s="12"/>
      <c r="L220" s="12" t="s">
        <v>1321</v>
      </c>
      <c r="M220" s="12" t="s">
        <v>1322</v>
      </c>
      <c r="N220" s="12" t="s">
        <v>101</v>
      </c>
      <c r="O220" s="12" t="s">
        <v>102</v>
      </c>
      <c r="P220" s="12" t="s">
        <v>103</v>
      </c>
      <c r="Q220" s="12" t="s">
        <v>104</v>
      </c>
      <c r="R220" s="14" t="n">
        <v>1.58</v>
      </c>
      <c r="S220" s="14" t="s">
        <v>105</v>
      </c>
      <c r="T220" s="14" t="s">
        <v>106</v>
      </c>
      <c r="U220" s="14" t="n">
        <v>2024</v>
      </c>
      <c r="V220" s="12" t="s">
        <v>157</v>
      </c>
      <c r="W220" s="14"/>
      <c r="X220" s="15" t="n">
        <f aca="false">IF(OR($S220="%",$R220=""),"",$R220*INDEX(Cambi!$J$2:$J$5,MATCH($S220,Cambi!$I$2:$I$5,0))/IF($T220="EUR",1,INDEX(Cambi!$D:$D,MATCH($T220&amp;"|"&amp;$U220,Cambi!$C:$C,0))))</f>
        <v>1.58</v>
      </c>
      <c r="Y220" s="12" t="s">
        <v>108</v>
      </c>
      <c r="Z220" s="12" t="s">
        <v>109</v>
      </c>
      <c r="AA220" s="12" t="s">
        <v>109</v>
      </c>
      <c r="AB220" s="16" t="s">
        <v>394</v>
      </c>
      <c r="AC220" s="16" t="s">
        <v>1323</v>
      </c>
      <c r="AD220" s="12" t="s">
        <v>112</v>
      </c>
      <c r="AE220" s="12" t="s">
        <v>1324</v>
      </c>
      <c r="AF220" s="12" t="s">
        <v>1325</v>
      </c>
      <c r="AG220" s="12" t="s">
        <v>115</v>
      </c>
      <c r="AH220" s="12" t="s">
        <v>116</v>
      </c>
      <c r="AI220" s="12" t="s">
        <v>117</v>
      </c>
      <c r="AJ220" s="12" t="s">
        <v>1326</v>
      </c>
      <c r="AK220" s="12" t="s">
        <v>4</v>
      </c>
    </row>
    <row r="221" customFormat="false" ht="15" hidden="false" customHeight="false" outlineLevel="0" collapsed="false">
      <c r="A221" s="11" t="n">
        <v>220</v>
      </c>
      <c r="B221" s="12" t="s">
        <v>625</v>
      </c>
      <c r="C221" s="12" t="s">
        <v>1293</v>
      </c>
      <c r="D221" s="12" t="s">
        <v>1294</v>
      </c>
      <c r="E221" s="12" t="s">
        <v>759</v>
      </c>
      <c r="F221" s="12" t="s">
        <v>626</v>
      </c>
      <c r="G221" s="12" t="s">
        <v>95</v>
      </c>
      <c r="H221" s="12" t="s">
        <v>627</v>
      </c>
      <c r="I221" s="12" t="s">
        <v>628</v>
      </c>
      <c r="J221" s="13" t="s">
        <v>629</v>
      </c>
      <c r="K221" s="12" t="s">
        <v>630</v>
      </c>
      <c r="L221" s="12" t="s">
        <v>1110</v>
      </c>
      <c r="M221" s="12" t="s">
        <v>1111</v>
      </c>
      <c r="N221" s="12" t="s">
        <v>101</v>
      </c>
      <c r="O221" s="12" t="s">
        <v>102</v>
      </c>
      <c r="P221" s="12" t="s">
        <v>103</v>
      </c>
      <c r="Q221" s="12" t="s">
        <v>104</v>
      </c>
      <c r="R221" s="14" t="n">
        <v>1.8</v>
      </c>
      <c r="S221" s="14" t="s">
        <v>105</v>
      </c>
      <c r="T221" s="14" t="s">
        <v>106</v>
      </c>
      <c r="U221" s="14" t="n">
        <v>2026</v>
      </c>
      <c r="V221" s="12" t="s">
        <v>107</v>
      </c>
      <c r="W221" s="14"/>
      <c r="X221" s="15" t="n">
        <f aca="false">IF(OR($S221="%",$R221=""),"",$R221*INDEX(Cambi!$J$2:$J$5,MATCH($S221,Cambi!$I$2:$I$5,0))/IF($T221="EUR",1,INDEX(Cambi!$D:$D,MATCH($T221&amp;"|"&amp;$U221,Cambi!$C:$C,0))))</f>
        <v>1.8</v>
      </c>
      <c r="Y221" s="12" t="s">
        <v>130</v>
      </c>
      <c r="Z221" s="12" t="s">
        <v>109</v>
      </c>
      <c r="AA221" s="12" t="s">
        <v>633</v>
      </c>
      <c r="AB221" s="16" t="s">
        <v>110</v>
      </c>
      <c r="AC221" s="16" t="s">
        <v>634</v>
      </c>
      <c r="AD221" s="12" t="s">
        <v>281</v>
      </c>
      <c r="AE221" s="12" t="s">
        <v>635</v>
      </c>
      <c r="AF221" s="12" t="s">
        <v>1327</v>
      </c>
      <c r="AG221" s="12" t="s">
        <v>115</v>
      </c>
      <c r="AH221" s="12" t="s">
        <v>116</v>
      </c>
      <c r="AI221" s="12" t="s">
        <v>285</v>
      </c>
      <c r="AJ221" s="12" t="s">
        <v>1113</v>
      </c>
      <c r="AK221" s="12" t="s">
        <v>4</v>
      </c>
    </row>
    <row r="222" customFormat="false" ht="15" hidden="false" customHeight="false" outlineLevel="0" collapsed="false">
      <c r="A222" s="11" t="n">
        <v>221</v>
      </c>
      <c r="B222" s="12" t="s">
        <v>1328</v>
      </c>
      <c r="C222" s="12" t="s">
        <v>1293</v>
      </c>
      <c r="D222" s="12" t="s">
        <v>1294</v>
      </c>
      <c r="E222" s="12" t="s">
        <v>759</v>
      </c>
      <c r="F222" s="12" t="s">
        <v>1329</v>
      </c>
      <c r="G222" s="12" t="s">
        <v>1055</v>
      </c>
      <c r="H222" s="12" t="s">
        <v>1330</v>
      </c>
      <c r="I222" s="12" t="s">
        <v>1331</v>
      </c>
      <c r="J222" s="13" t="s">
        <v>1332</v>
      </c>
      <c r="K222" s="12" t="s">
        <v>1333</v>
      </c>
      <c r="L222" s="12" t="s">
        <v>1334</v>
      </c>
      <c r="M222" s="12" t="s">
        <v>1335</v>
      </c>
      <c r="N222" s="12" t="s">
        <v>101</v>
      </c>
      <c r="O222" s="12" t="s">
        <v>102</v>
      </c>
      <c r="P222" s="12" t="s">
        <v>103</v>
      </c>
      <c r="Q222" s="12" t="s">
        <v>104</v>
      </c>
      <c r="R222" s="14" t="n">
        <v>1.97</v>
      </c>
      <c r="S222" s="14" t="s">
        <v>105</v>
      </c>
      <c r="T222" s="14" t="s">
        <v>106</v>
      </c>
      <c r="U222" s="14" t="n">
        <v>2025</v>
      </c>
      <c r="V222" s="12" t="s">
        <v>157</v>
      </c>
      <c r="W222" s="14"/>
      <c r="X222" s="15" t="n">
        <f aca="false">IF(OR($S222="%",$R222=""),"",$R222*INDEX(Cambi!$J$2:$J$5,MATCH($S222,Cambi!$I$2:$I$5,0))/IF($T222="EUR",1,INDEX(Cambi!$D:$D,MATCH($T222&amp;"|"&amp;$U222,Cambi!$C:$C,0))))</f>
        <v>1.97</v>
      </c>
      <c r="Y222" s="12" t="s">
        <v>239</v>
      </c>
      <c r="Z222" s="12" t="s">
        <v>109</v>
      </c>
      <c r="AA222" s="12" t="s">
        <v>109</v>
      </c>
      <c r="AB222" s="16" t="s">
        <v>394</v>
      </c>
      <c r="AC222" s="16" t="s">
        <v>1336</v>
      </c>
      <c r="AD222" s="12" t="s">
        <v>112</v>
      </c>
      <c r="AE222" s="12" t="s">
        <v>1337</v>
      </c>
      <c r="AF222" s="12" t="s">
        <v>1338</v>
      </c>
      <c r="AG222" s="12" t="s">
        <v>115</v>
      </c>
      <c r="AH222" s="12" t="s">
        <v>499</v>
      </c>
      <c r="AI222" s="12" t="s">
        <v>285</v>
      </c>
      <c r="AJ222" s="12" t="s">
        <v>1339</v>
      </c>
      <c r="AK222" s="12" t="s">
        <v>4</v>
      </c>
    </row>
    <row r="223" customFormat="false" ht="15" hidden="false" customHeight="false" outlineLevel="0" collapsed="false">
      <c r="A223" s="11" t="n">
        <v>222</v>
      </c>
      <c r="B223" s="12" t="s">
        <v>1340</v>
      </c>
      <c r="C223" s="12" t="s">
        <v>1293</v>
      </c>
      <c r="D223" s="12" t="s">
        <v>1294</v>
      </c>
      <c r="E223" s="12" t="s">
        <v>759</v>
      </c>
      <c r="F223" s="12" t="s">
        <v>1341</v>
      </c>
      <c r="G223" s="12" t="s">
        <v>771</v>
      </c>
      <c r="H223" s="12" t="s">
        <v>1342</v>
      </c>
      <c r="I223" s="12" t="s">
        <v>940</v>
      </c>
      <c r="J223" s="13" t="s">
        <v>1343</v>
      </c>
      <c r="K223" s="12"/>
      <c r="L223" s="12" t="s">
        <v>1344</v>
      </c>
      <c r="M223" s="12" t="s">
        <v>1345</v>
      </c>
      <c r="N223" s="12" t="s">
        <v>101</v>
      </c>
      <c r="O223" s="12" t="s">
        <v>102</v>
      </c>
      <c r="P223" s="12" t="s">
        <v>103</v>
      </c>
      <c r="Q223" s="12" t="s">
        <v>104</v>
      </c>
      <c r="R223" s="14" t="n">
        <v>4439167</v>
      </c>
      <c r="S223" s="14" t="s">
        <v>432</v>
      </c>
      <c r="T223" s="14" t="s">
        <v>106</v>
      </c>
      <c r="U223" s="14" t="n">
        <v>2025</v>
      </c>
      <c r="V223" s="12" t="s">
        <v>157</v>
      </c>
      <c r="W223" s="14"/>
      <c r="X223" s="15" t="n">
        <f aca="false">IF(OR($S223="%",$R223=""),"",$R223*INDEX(Cambi!$J$2:$J$5,MATCH($S223,Cambi!$I$2:$I$5,0))/IF($T223="EUR",1,INDEX(Cambi!$D:$D,MATCH($T223&amp;"|"&amp;$U223,Cambi!$C:$C,0))))</f>
        <v>4.439167</v>
      </c>
      <c r="Y223" s="12" t="s">
        <v>108</v>
      </c>
      <c r="Z223" s="12" t="s">
        <v>117</v>
      </c>
      <c r="AA223" s="12" t="s">
        <v>109</v>
      </c>
      <c r="AB223" s="16" t="s">
        <v>394</v>
      </c>
      <c r="AC223" s="16" t="s">
        <v>1346</v>
      </c>
      <c r="AD223" s="12" t="s">
        <v>112</v>
      </c>
      <c r="AE223" s="12" t="s">
        <v>1347</v>
      </c>
      <c r="AF223" s="12" t="s">
        <v>1348</v>
      </c>
      <c r="AG223" s="12" t="s">
        <v>115</v>
      </c>
      <c r="AH223" s="12" t="s">
        <v>116</v>
      </c>
      <c r="AI223" s="12" t="s">
        <v>117</v>
      </c>
      <c r="AJ223" s="12" t="s">
        <v>1349</v>
      </c>
      <c r="AK223" s="12" t="s">
        <v>4</v>
      </c>
    </row>
    <row r="224" customFormat="false" ht="15" hidden="false" customHeight="false" outlineLevel="0" collapsed="false">
      <c r="A224" s="11" t="n">
        <v>223</v>
      </c>
      <c r="B224" s="12" t="s">
        <v>1350</v>
      </c>
      <c r="C224" s="12" t="s">
        <v>1293</v>
      </c>
      <c r="D224" s="12" t="s">
        <v>1294</v>
      </c>
      <c r="E224" s="12" t="s">
        <v>759</v>
      </c>
      <c r="F224" s="12" t="s">
        <v>1351</v>
      </c>
      <c r="G224" s="12" t="s">
        <v>771</v>
      </c>
      <c r="H224" s="12" t="s">
        <v>1352</v>
      </c>
      <c r="I224" s="12" t="s">
        <v>1353</v>
      </c>
      <c r="J224" s="13" t="s">
        <v>1354</v>
      </c>
      <c r="K224" s="12"/>
      <c r="L224" s="12" t="s">
        <v>1355</v>
      </c>
      <c r="M224" s="12" t="s">
        <v>1356</v>
      </c>
      <c r="N224" s="12" t="s">
        <v>101</v>
      </c>
      <c r="O224" s="12" t="s">
        <v>102</v>
      </c>
      <c r="P224" s="12" t="s">
        <v>103</v>
      </c>
      <c r="Q224" s="12" t="s">
        <v>104</v>
      </c>
      <c r="R224" s="14" t="n">
        <v>4896367</v>
      </c>
      <c r="S224" s="14" t="s">
        <v>432</v>
      </c>
      <c r="T224" s="14" t="s">
        <v>106</v>
      </c>
      <c r="U224" s="14" t="n">
        <v>2025</v>
      </c>
      <c r="V224" s="12" t="s">
        <v>157</v>
      </c>
      <c r="W224" s="14"/>
      <c r="X224" s="15" t="n">
        <f aca="false">IF(OR($S224="%",$R224=""),"",$R224*INDEX(Cambi!$J$2:$J$5,MATCH($S224,Cambi!$I$2:$I$5,0))/IF($T224="EUR",1,INDEX(Cambi!$D:$D,MATCH($T224&amp;"|"&amp;$U224,Cambi!$C:$C,0))))</f>
        <v>4.896367</v>
      </c>
      <c r="Y224" s="12" t="s">
        <v>108</v>
      </c>
      <c r="Z224" s="12" t="s">
        <v>117</v>
      </c>
      <c r="AA224" s="12" t="s">
        <v>109</v>
      </c>
      <c r="AB224" s="16" t="s">
        <v>394</v>
      </c>
      <c r="AC224" s="16" t="s">
        <v>1346</v>
      </c>
      <c r="AD224" s="12" t="s">
        <v>112</v>
      </c>
      <c r="AE224" s="12" t="s">
        <v>1347</v>
      </c>
      <c r="AF224" s="12" t="s">
        <v>1357</v>
      </c>
      <c r="AG224" s="12" t="s">
        <v>115</v>
      </c>
      <c r="AH224" s="12" t="s">
        <v>116</v>
      </c>
      <c r="AI224" s="12" t="s">
        <v>117</v>
      </c>
      <c r="AJ224" s="12" t="s">
        <v>1358</v>
      </c>
      <c r="AK224" s="12" t="s">
        <v>4</v>
      </c>
    </row>
    <row r="225" customFormat="false" ht="15" hidden="false" customHeight="false" outlineLevel="0" collapsed="false">
      <c r="A225" s="11" t="n">
        <v>224</v>
      </c>
      <c r="B225" s="12" t="s">
        <v>1359</v>
      </c>
      <c r="C225" s="12" t="s">
        <v>1293</v>
      </c>
      <c r="D225" s="12" t="s">
        <v>1294</v>
      </c>
      <c r="E225" s="12" t="s">
        <v>759</v>
      </c>
      <c r="F225" s="12" t="s">
        <v>1351</v>
      </c>
      <c r="G225" s="12" t="s">
        <v>771</v>
      </c>
      <c r="H225" s="12" t="s">
        <v>1360</v>
      </c>
      <c r="I225" s="12" t="s">
        <v>940</v>
      </c>
      <c r="J225" s="13" t="s">
        <v>1361</v>
      </c>
      <c r="K225" s="12"/>
      <c r="L225" s="12" t="s">
        <v>1355</v>
      </c>
      <c r="M225" s="12" t="s">
        <v>1362</v>
      </c>
      <c r="N225" s="12" t="s">
        <v>101</v>
      </c>
      <c r="O225" s="12" t="s">
        <v>102</v>
      </c>
      <c r="P225" s="12" t="s">
        <v>103</v>
      </c>
      <c r="Q225" s="12" t="s">
        <v>104</v>
      </c>
      <c r="R225" s="14" t="n">
        <v>4957309</v>
      </c>
      <c r="S225" s="14" t="s">
        <v>432</v>
      </c>
      <c r="T225" s="14" t="s">
        <v>106</v>
      </c>
      <c r="U225" s="14" t="n">
        <v>2026</v>
      </c>
      <c r="V225" s="12" t="s">
        <v>198</v>
      </c>
      <c r="W225" s="14"/>
      <c r="X225" s="15" t="n">
        <f aca="false">IF(OR($S225="%",$R225=""),"",$R225*INDEX(Cambi!$J$2:$J$5,MATCH($S225,Cambi!$I$2:$I$5,0))/IF($T225="EUR",1,INDEX(Cambi!$D:$D,MATCH($T225&amp;"|"&amp;$U225,Cambi!$C:$C,0))))</f>
        <v>4.957309</v>
      </c>
      <c r="Y225" s="12" t="s">
        <v>108</v>
      </c>
      <c r="Z225" s="12" t="s">
        <v>117</v>
      </c>
      <c r="AA225" s="12" t="s">
        <v>109</v>
      </c>
      <c r="AB225" s="16" t="s">
        <v>394</v>
      </c>
      <c r="AC225" s="16" t="s">
        <v>1346</v>
      </c>
      <c r="AD225" s="12" t="s">
        <v>112</v>
      </c>
      <c r="AE225" s="12" t="s">
        <v>1347</v>
      </c>
      <c r="AF225" s="12" t="s">
        <v>1363</v>
      </c>
      <c r="AG225" s="12" t="s">
        <v>115</v>
      </c>
      <c r="AH225" s="12" t="s">
        <v>116</v>
      </c>
      <c r="AI225" s="12" t="s">
        <v>117</v>
      </c>
      <c r="AJ225" s="12" t="s">
        <v>1364</v>
      </c>
      <c r="AK225" s="12" t="s">
        <v>4</v>
      </c>
    </row>
    <row r="226" customFormat="false" ht="15" hidden="false" customHeight="false" outlineLevel="0" collapsed="false">
      <c r="A226" s="11" t="n">
        <v>225</v>
      </c>
      <c r="B226" s="12" t="s">
        <v>1359</v>
      </c>
      <c r="C226" s="12" t="s">
        <v>1293</v>
      </c>
      <c r="D226" s="12" t="s">
        <v>1294</v>
      </c>
      <c r="E226" s="12" t="s">
        <v>759</v>
      </c>
      <c r="F226" s="12" t="s">
        <v>1351</v>
      </c>
      <c r="G226" s="12" t="s">
        <v>771</v>
      </c>
      <c r="H226" s="12" t="s">
        <v>1360</v>
      </c>
      <c r="I226" s="12" t="s">
        <v>940</v>
      </c>
      <c r="J226" s="13" t="s">
        <v>1361</v>
      </c>
      <c r="K226" s="12"/>
      <c r="L226" s="12" t="s">
        <v>1355</v>
      </c>
      <c r="M226" s="12" t="s">
        <v>1365</v>
      </c>
      <c r="N226" s="12" t="s">
        <v>101</v>
      </c>
      <c r="O226" s="12" t="s">
        <v>102</v>
      </c>
      <c r="P226" s="12" t="s">
        <v>103</v>
      </c>
      <c r="Q226" s="12" t="s">
        <v>104</v>
      </c>
      <c r="R226" s="14" t="n">
        <v>4603937</v>
      </c>
      <c r="S226" s="14" t="s">
        <v>432</v>
      </c>
      <c r="T226" s="14" t="s">
        <v>106</v>
      </c>
      <c r="U226" s="14" t="n">
        <v>2027</v>
      </c>
      <c r="V226" s="12" t="s">
        <v>107</v>
      </c>
      <c r="W226" s="14"/>
      <c r="X226" s="15" t="n">
        <f aca="false">IF(OR($S226="%",$R226=""),"",$R226*INDEX(Cambi!$J$2:$J$5,MATCH($S226,Cambi!$I$2:$I$5,0))/IF($T226="EUR",1,INDEX(Cambi!$D:$D,MATCH($T226&amp;"|"&amp;$U226,Cambi!$C:$C,0))))</f>
        <v>4.603937</v>
      </c>
      <c r="Y226" s="12" t="s">
        <v>108</v>
      </c>
      <c r="Z226" s="12" t="s">
        <v>117</v>
      </c>
      <c r="AA226" s="12" t="s">
        <v>109</v>
      </c>
      <c r="AB226" s="16" t="s">
        <v>394</v>
      </c>
      <c r="AC226" s="16" t="s">
        <v>1346</v>
      </c>
      <c r="AD226" s="12" t="s">
        <v>112</v>
      </c>
      <c r="AE226" s="12" t="s">
        <v>1347</v>
      </c>
      <c r="AF226" s="12" t="s">
        <v>1366</v>
      </c>
      <c r="AG226" s="12" t="s">
        <v>115</v>
      </c>
      <c r="AH226" s="12" t="s">
        <v>116</v>
      </c>
      <c r="AI226" s="12" t="s">
        <v>117</v>
      </c>
      <c r="AJ226" s="12" t="s">
        <v>1367</v>
      </c>
      <c r="AK226" s="12" t="s">
        <v>4</v>
      </c>
    </row>
    <row r="227" customFormat="false" ht="15" hidden="false" customHeight="false" outlineLevel="0" collapsed="false">
      <c r="A227" s="11" t="n">
        <v>226</v>
      </c>
      <c r="B227" s="12" t="s">
        <v>1359</v>
      </c>
      <c r="C227" s="12" t="s">
        <v>1293</v>
      </c>
      <c r="D227" s="12" t="s">
        <v>1294</v>
      </c>
      <c r="E227" s="12" t="s">
        <v>759</v>
      </c>
      <c r="F227" s="12" t="s">
        <v>1351</v>
      </c>
      <c r="G227" s="12" t="s">
        <v>771</v>
      </c>
      <c r="H227" s="12" t="s">
        <v>1360</v>
      </c>
      <c r="I227" s="12" t="s">
        <v>940</v>
      </c>
      <c r="J227" s="13" t="s">
        <v>1361</v>
      </c>
      <c r="K227" s="12"/>
      <c r="L227" s="12" t="s">
        <v>1355</v>
      </c>
      <c r="M227" s="12" t="s">
        <v>1368</v>
      </c>
      <c r="N227" s="12" t="s">
        <v>101</v>
      </c>
      <c r="O227" s="12" t="s">
        <v>102</v>
      </c>
      <c r="P227" s="12" t="s">
        <v>103</v>
      </c>
      <c r="Q227" s="12" t="s">
        <v>104</v>
      </c>
      <c r="R227" s="14" t="n">
        <v>4595524</v>
      </c>
      <c r="S227" s="14" t="s">
        <v>432</v>
      </c>
      <c r="T227" s="14" t="s">
        <v>106</v>
      </c>
      <c r="U227" s="14" t="n">
        <v>2028</v>
      </c>
      <c r="V227" s="12" t="s">
        <v>107</v>
      </c>
      <c r="W227" s="14"/>
      <c r="X227" s="15" t="n">
        <f aca="false">IF(OR($S227="%",$R227=""),"",$R227*INDEX(Cambi!$J$2:$J$5,MATCH($S227,Cambi!$I$2:$I$5,0))/IF($T227="EUR",1,INDEX(Cambi!$D:$D,MATCH($T227&amp;"|"&amp;$U227,Cambi!$C:$C,0))))</f>
        <v>4.595524</v>
      </c>
      <c r="Y227" s="12" t="s">
        <v>108</v>
      </c>
      <c r="Z227" s="12" t="s">
        <v>117</v>
      </c>
      <c r="AA227" s="12" t="s">
        <v>109</v>
      </c>
      <c r="AB227" s="16" t="s">
        <v>394</v>
      </c>
      <c r="AC227" s="16" t="s">
        <v>1346</v>
      </c>
      <c r="AD227" s="12" t="s">
        <v>112</v>
      </c>
      <c r="AE227" s="12" t="s">
        <v>1347</v>
      </c>
      <c r="AF227" s="12" t="s">
        <v>1369</v>
      </c>
      <c r="AG227" s="12" t="s">
        <v>115</v>
      </c>
      <c r="AH227" s="12" t="s">
        <v>116</v>
      </c>
      <c r="AI227" s="12" t="s">
        <v>117</v>
      </c>
      <c r="AJ227" s="12" t="s">
        <v>1367</v>
      </c>
      <c r="AK227" s="12" t="s">
        <v>4</v>
      </c>
    </row>
    <row r="228" customFormat="false" ht="15" hidden="false" customHeight="false" outlineLevel="0" collapsed="false">
      <c r="A228" s="11" t="n">
        <v>227</v>
      </c>
      <c r="B228" s="12" t="s">
        <v>1370</v>
      </c>
      <c r="C228" s="12" t="s">
        <v>1371</v>
      </c>
      <c r="D228" s="12" t="s">
        <v>1372</v>
      </c>
      <c r="E228" s="12" t="s">
        <v>759</v>
      </c>
      <c r="F228" s="12" t="s">
        <v>1373</v>
      </c>
      <c r="G228" s="12" t="s">
        <v>345</v>
      </c>
      <c r="H228" s="12" t="s">
        <v>1374</v>
      </c>
      <c r="I228" s="12" t="s">
        <v>1375</v>
      </c>
      <c r="J228" s="13" t="s">
        <v>1376</v>
      </c>
      <c r="K228" s="12" t="s">
        <v>1377</v>
      </c>
      <c r="L228" s="12" t="s">
        <v>1378</v>
      </c>
      <c r="M228" s="12" t="s">
        <v>1379</v>
      </c>
      <c r="N228" s="12" t="s">
        <v>212</v>
      </c>
      <c r="O228" s="12" t="s">
        <v>102</v>
      </c>
      <c r="P228" s="12" t="s">
        <v>103</v>
      </c>
      <c r="Q228" s="12" t="s">
        <v>104</v>
      </c>
      <c r="R228" s="14" t="n">
        <v>2.7</v>
      </c>
      <c r="S228" s="14" t="s">
        <v>129</v>
      </c>
      <c r="T228" s="14" t="s">
        <v>1380</v>
      </c>
      <c r="U228" s="14" t="n">
        <v>2025</v>
      </c>
      <c r="V228" s="12" t="s">
        <v>107</v>
      </c>
      <c r="W228" s="14"/>
      <c r="X228" s="15" t="n">
        <f aca="false">IF(OR($S228="%",$R228=""),"",$R228*INDEX(Cambi!$J$2:$J$5,MATCH($S228,Cambi!$I$2:$I$5,0))/IF($T228="EUR",1,INDEX(Cambi!$D:$D,MATCH($T228&amp;"|"&amp;$U228,Cambi!$C:$C,0))))</f>
        <v>361.765415226304</v>
      </c>
      <c r="Y228" s="12" t="s">
        <v>239</v>
      </c>
      <c r="Z228" s="12" t="s">
        <v>109</v>
      </c>
      <c r="AA228" s="12" t="s">
        <v>109</v>
      </c>
      <c r="AB228" s="16" t="s">
        <v>394</v>
      </c>
      <c r="AC228" s="16" t="s">
        <v>1381</v>
      </c>
      <c r="AD228" s="12" t="s">
        <v>281</v>
      </c>
      <c r="AE228" s="12" t="s">
        <v>282</v>
      </c>
      <c r="AF228" s="12" t="s">
        <v>1382</v>
      </c>
      <c r="AG228" s="12" t="s">
        <v>284</v>
      </c>
      <c r="AH228" s="12" t="s">
        <v>116</v>
      </c>
      <c r="AI228" s="12" t="s">
        <v>285</v>
      </c>
      <c r="AJ228" s="12" t="s">
        <v>1383</v>
      </c>
      <c r="AK228" s="12" t="s">
        <v>4</v>
      </c>
    </row>
    <row r="229" customFormat="false" ht="15" hidden="false" customHeight="false" outlineLevel="0" collapsed="false">
      <c r="A229" s="11" t="n">
        <v>228</v>
      </c>
      <c r="B229" s="12" t="s">
        <v>1370</v>
      </c>
      <c r="C229" s="12" t="s">
        <v>1371</v>
      </c>
      <c r="D229" s="12" t="s">
        <v>1372</v>
      </c>
      <c r="E229" s="12" t="s">
        <v>759</v>
      </c>
      <c r="F229" s="12" t="s">
        <v>1373</v>
      </c>
      <c r="G229" s="12" t="s">
        <v>345</v>
      </c>
      <c r="H229" s="12" t="s">
        <v>1374</v>
      </c>
      <c r="I229" s="12" t="s">
        <v>1375</v>
      </c>
      <c r="J229" s="13" t="s">
        <v>1376</v>
      </c>
      <c r="K229" s="12" t="s">
        <v>1377</v>
      </c>
      <c r="L229" s="12" t="s">
        <v>1384</v>
      </c>
      <c r="M229" s="12" t="s">
        <v>1385</v>
      </c>
      <c r="N229" s="12" t="s">
        <v>212</v>
      </c>
      <c r="O229" s="12" t="s">
        <v>102</v>
      </c>
      <c r="P229" s="12" t="s">
        <v>103</v>
      </c>
      <c r="Q229" s="12" t="s">
        <v>104</v>
      </c>
      <c r="R229" s="14" t="n">
        <v>3.8</v>
      </c>
      <c r="S229" s="14" t="s">
        <v>129</v>
      </c>
      <c r="T229" s="14" t="s">
        <v>1380</v>
      </c>
      <c r="U229" s="14" t="n">
        <v>2025</v>
      </c>
      <c r="V229" s="12" t="s">
        <v>107</v>
      </c>
      <c r="W229" s="14"/>
      <c r="X229" s="15" t="n">
        <f aca="false">IF(OR($S229="%",$R229=""),"",$R229*INDEX(Cambi!$J$2:$J$5,MATCH($S229,Cambi!$I$2:$I$5,0))/IF($T229="EUR",1,INDEX(Cambi!$D:$D,MATCH($T229&amp;"|"&amp;$U229,Cambi!$C:$C,0))))</f>
        <v>509.151325133317</v>
      </c>
      <c r="Y229" s="12" t="s">
        <v>239</v>
      </c>
      <c r="Z229" s="12" t="s">
        <v>109</v>
      </c>
      <c r="AA229" s="12" t="s">
        <v>109</v>
      </c>
      <c r="AB229" s="16" t="s">
        <v>394</v>
      </c>
      <c r="AC229" s="16" t="s">
        <v>1381</v>
      </c>
      <c r="AD229" s="12" t="s">
        <v>281</v>
      </c>
      <c r="AE229" s="12" t="s">
        <v>282</v>
      </c>
      <c r="AF229" s="12" t="s">
        <v>1382</v>
      </c>
      <c r="AG229" s="12" t="s">
        <v>284</v>
      </c>
      <c r="AH229" s="12" t="s">
        <v>116</v>
      </c>
      <c r="AI229" s="12" t="s">
        <v>285</v>
      </c>
      <c r="AJ229" s="12" t="s">
        <v>1383</v>
      </c>
      <c r="AK229" s="12" t="s">
        <v>4</v>
      </c>
    </row>
    <row r="230" customFormat="false" ht="15" hidden="false" customHeight="false" outlineLevel="0" collapsed="false">
      <c r="A230" s="11" t="n">
        <v>229</v>
      </c>
      <c r="B230" s="12" t="s">
        <v>1386</v>
      </c>
      <c r="C230" s="12" t="s">
        <v>1371</v>
      </c>
      <c r="D230" s="12" t="s">
        <v>1372</v>
      </c>
      <c r="E230" s="12" t="s">
        <v>759</v>
      </c>
      <c r="F230" s="12" t="s">
        <v>1387</v>
      </c>
      <c r="G230" s="12" t="s">
        <v>1055</v>
      </c>
      <c r="H230" s="12" t="s">
        <v>1388</v>
      </c>
      <c r="I230" s="12" t="s">
        <v>1389</v>
      </c>
      <c r="J230" s="13" t="s">
        <v>1390</v>
      </c>
      <c r="K230" s="12" t="s">
        <v>1391</v>
      </c>
      <c r="L230" s="12" t="s">
        <v>1392</v>
      </c>
      <c r="M230" s="12" t="s">
        <v>1393</v>
      </c>
      <c r="N230" s="12" t="s">
        <v>212</v>
      </c>
      <c r="O230" s="12" t="s">
        <v>102</v>
      </c>
      <c r="P230" s="12" t="s">
        <v>103</v>
      </c>
      <c r="Q230" s="12" t="s">
        <v>104</v>
      </c>
      <c r="R230" s="14" t="n">
        <v>2</v>
      </c>
      <c r="S230" s="14" t="s">
        <v>129</v>
      </c>
      <c r="T230" s="14" t="s">
        <v>1380</v>
      </c>
      <c r="U230" s="14" t="n">
        <v>2019</v>
      </c>
      <c r="V230" s="12" t="s">
        <v>157</v>
      </c>
      <c r="W230" s="14"/>
      <c r="X230" s="15" t="n">
        <f aca="false">IF(OR($S230="%",$R230=""),"",$R230*INDEX(Cambi!$J$2:$J$5,MATCH($S230,Cambi!$I$2:$I$5,0))/IF($T230="EUR",1,INDEX(Cambi!$D:$D,MATCH($T230&amp;"|"&amp;$U230,Cambi!$C:$C,0))))</f>
        <v>267.877472843921</v>
      </c>
      <c r="Y230" s="12" t="s">
        <v>239</v>
      </c>
      <c r="Z230" s="12" t="s">
        <v>109</v>
      </c>
      <c r="AA230" s="12" t="s">
        <v>109</v>
      </c>
      <c r="AB230" s="16" t="s">
        <v>110</v>
      </c>
      <c r="AC230" s="16" t="s">
        <v>1394</v>
      </c>
      <c r="AD230" s="12" t="s">
        <v>281</v>
      </c>
      <c r="AE230" s="12" t="s">
        <v>282</v>
      </c>
      <c r="AF230" s="12" t="s">
        <v>1395</v>
      </c>
      <c r="AG230" s="12" t="s">
        <v>284</v>
      </c>
      <c r="AH230" s="12" t="s">
        <v>499</v>
      </c>
      <c r="AI230" s="12" t="s">
        <v>285</v>
      </c>
      <c r="AJ230" s="12" t="s">
        <v>1396</v>
      </c>
      <c r="AK230" s="12" t="s">
        <v>4</v>
      </c>
    </row>
    <row r="231" customFormat="false" ht="15" hidden="false" customHeight="false" outlineLevel="0" collapsed="false">
      <c r="A231" s="11" t="n">
        <v>230</v>
      </c>
      <c r="B231" s="12" t="s">
        <v>1386</v>
      </c>
      <c r="C231" s="12" t="s">
        <v>1371</v>
      </c>
      <c r="D231" s="12" t="s">
        <v>1372</v>
      </c>
      <c r="E231" s="12" t="s">
        <v>759</v>
      </c>
      <c r="F231" s="12" t="s">
        <v>1387</v>
      </c>
      <c r="G231" s="12" t="s">
        <v>1055</v>
      </c>
      <c r="H231" s="12" t="s">
        <v>1388</v>
      </c>
      <c r="I231" s="12" t="s">
        <v>1389</v>
      </c>
      <c r="J231" s="13" t="s">
        <v>1390</v>
      </c>
      <c r="K231" s="12" t="s">
        <v>1391</v>
      </c>
      <c r="L231" s="12" t="s">
        <v>1397</v>
      </c>
      <c r="M231" s="12" t="s">
        <v>1398</v>
      </c>
      <c r="N231" s="12" t="s">
        <v>212</v>
      </c>
      <c r="O231" s="12" t="s">
        <v>102</v>
      </c>
      <c r="P231" s="12" t="s">
        <v>214</v>
      </c>
      <c r="Q231" s="12" t="s">
        <v>418</v>
      </c>
      <c r="R231" s="14" t="n">
        <v>300</v>
      </c>
      <c r="S231" s="14" t="s">
        <v>105</v>
      </c>
      <c r="T231" s="14" t="s">
        <v>1380</v>
      </c>
      <c r="U231" s="14" t="n">
        <v>2019</v>
      </c>
      <c r="V231" s="12" t="s">
        <v>157</v>
      </c>
      <c r="W231" s="14"/>
      <c r="X231" s="15" t="n">
        <f aca="false">IF(OR($S231="%",$R231=""),"",$R231*INDEX(Cambi!$J$2:$J$5,MATCH($S231,Cambi!$I$2:$I$5,0))/IF($T231="EUR",1,INDEX(Cambi!$D:$D,MATCH($T231&amp;"|"&amp;$U231,Cambi!$C:$C,0))))</f>
        <v>40.1816209265882</v>
      </c>
      <c r="Y231" s="12" t="s">
        <v>239</v>
      </c>
      <c r="Z231" s="12" t="s">
        <v>109</v>
      </c>
      <c r="AA231" s="12" t="s">
        <v>109</v>
      </c>
      <c r="AB231" s="16" t="s">
        <v>110</v>
      </c>
      <c r="AC231" s="16" t="s">
        <v>1394</v>
      </c>
      <c r="AD231" s="12" t="s">
        <v>281</v>
      </c>
      <c r="AE231" s="12" t="s">
        <v>282</v>
      </c>
      <c r="AF231" s="12" t="s">
        <v>1399</v>
      </c>
      <c r="AG231" s="12" t="s">
        <v>284</v>
      </c>
      <c r="AH231" s="12" t="s">
        <v>499</v>
      </c>
      <c r="AI231" s="12" t="s">
        <v>285</v>
      </c>
      <c r="AJ231" s="12" t="s">
        <v>1400</v>
      </c>
      <c r="AK231" s="12" t="s">
        <v>4</v>
      </c>
    </row>
    <row r="232" customFormat="false" ht="15" hidden="false" customHeight="false" outlineLevel="0" collapsed="false">
      <c r="A232" s="11" t="n">
        <v>231</v>
      </c>
      <c r="B232" s="12" t="s">
        <v>1386</v>
      </c>
      <c r="C232" s="12" t="s">
        <v>1371</v>
      </c>
      <c r="D232" s="12" t="s">
        <v>1372</v>
      </c>
      <c r="E232" s="12" t="s">
        <v>759</v>
      </c>
      <c r="F232" s="12" t="s">
        <v>1387</v>
      </c>
      <c r="G232" s="12" t="s">
        <v>1055</v>
      </c>
      <c r="H232" s="12" t="s">
        <v>1388</v>
      </c>
      <c r="I232" s="12" t="s">
        <v>1389</v>
      </c>
      <c r="J232" s="13" t="s">
        <v>1390</v>
      </c>
      <c r="K232" s="12" t="s">
        <v>1391</v>
      </c>
      <c r="L232" s="12" t="s">
        <v>1401</v>
      </c>
      <c r="M232" s="12" t="s">
        <v>1402</v>
      </c>
      <c r="N232" s="12" t="s">
        <v>195</v>
      </c>
      <c r="O232" s="12" t="s">
        <v>244</v>
      </c>
      <c r="P232" s="12" t="s">
        <v>103</v>
      </c>
      <c r="Q232" s="12" t="s">
        <v>104</v>
      </c>
      <c r="R232" s="14" t="n">
        <v>1000</v>
      </c>
      <c r="S232" s="14" t="s">
        <v>432</v>
      </c>
      <c r="T232" s="14" t="s">
        <v>1380</v>
      </c>
      <c r="U232" s="14" t="n">
        <v>2019</v>
      </c>
      <c r="V232" s="12" t="s">
        <v>157</v>
      </c>
      <c r="W232" s="14"/>
      <c r="X232" s="15" t="n">
        <f aca="false">IF(OR($S232="%",$R232=""),"",$R232*INDEX(Cambi!$J$2:$J$5,MATCH($S232,Cambi!$I$2:$I$5,0))/IF($T232="EUR",1,INDEX(Cambi!$D:$D,MATCH($T232&amp;"|"&amp;$U232,Cambi!$C:$C,0))))</f>
        <v>0.000133938736421961</v>
      </c>
      <c r="Y232" s="12" t="s">
        <v>239</v>
      </c>
      <c r="Z232" s="12" t="s">
        <v>109</v>
      </c>
      <c r="AA232" s="12" t="s">
        <v>109</v>
      </c>
      <c r="AB232" s="16" t="s">
        <v>110</v>
      </c>
      <c r="AC232" s="16" t="s">
        <v>1394</v>
      </c>
      <c r="AD232" s="12" t="s">
        <v>281</v>
      </c>
      <c r="AE232" s="12" t="s">
        <v>282</v>
      </c>
      <c r="AF232" s="12" t="s">
        <v>1403</v>
      </c>
      <c r="AG232" s="12" t="s">
        <v>284</v>
      </c>
      <c r="AH232" s="12" t="s">
        <v>499</v>
      </c>
      <c r="AI232" s="12" t="s">
        <v>285</v>
      </c>
      <c r="AJ232" s="12" t="s">
        <v>1404</v>
      </c>
      <c r="AK232" s="12" t="s">
        <v>4</v>
      </c>
    </row>
    <row r="233" customFormat="false" ht="15" hidden="false" customHeight="false" outlineLevel="0" collapsed="false">
      <c r="A233" s="11" t="n">
        <v>232</v>
      </c>
      <c r="B233" s="12" t="s">
        <v>1386</v>
      </c>
      <c r="C233" s="12" t="s">
        <v>1371</v>
      </c>
      <c r="D233" s="12" t="s">
        <v>1372</v>
      </c>
      <c r="E233" s="12" t="s">
        <v>759</v>
      </c>
      <c r="F233" s="12" t="s">
        <v>1387</v>
      </c>
      <c r="G233" s="12" t="s">
        <v>1055</v>
      </c>
      <c r="H233" s="12" t="s">
        <v>1388</v>
      </c>
      <c r="I233" s="12" t="s">
        <v>1389</v>
      </c>
      <c r="J233" s="13" t="s">
        <v>1390</v>
      </c>
      <c r="K233" s="12" t="s">
        <v>1391</v>
      </c>
      <c r="L233" s="12" t="s">
        <v>1405</v>
      </c>
      <c r="M233" s="12" t="s">
        <v>1406</v>
      </c>
      <c r="N233" s="12" t="s">
        <v>195</v>
      </c>
      <c r="O233" s="12" t="s">
        <v>244</v>
      </c>
      <c r="P233" s="12" t="s">
        <v>214</v>
      </c>
      <c r="Q233" s="12" t="s">
        <v>1407</v>
      </c>
      <c r="R233" s="14" t="n">
        <v>10000</v>
      </c>
      <c r="S233" s="14" t="s">
        <v>432</v>
      </c>
      <c r="T233" s="14" t="s">
        <v>1380</v>
      </c>
      <c r="U233" s="14" t="n">
        <v>2019</v>
      </c>
      <c r="V233" s="12" t="s">
        <v>157</v>
      </c>
      <c r="W233" s="14"/>
      <c r="X233" s="15" t="n">
        <f aca="false">IF(OR($S233="%",$R233=""),"",$R233*INDEX(Cambi!$J$2:$J$5,MATCH($S233,Cambi!$I$2:$I$5,0))/IF($T233="EUR",1,INDEX(Cambi!$D:$D,MATCH($T233&amp;"|"&amp;$U233,Cambi!$C:$C,0))))</f>
        <v>0.00133938736421961</v>
      </c>
      <c r="Y233" s="12" t="s">
        <v>239</v>
      </c>
      <c r="Z233" s="12" t="s">
        <v>109</v>
      </c>
      <c r="AA233" s="12" t="s">
        <v>109</v>
      </c>
      <c r="AB233" s="16" t="s">
        <v>110</v>
      </c>
      <c r="AC233" s="16" t="s">
        <v>1394</v>
      </c>
      <c r="AD233" s="12" t="s">
        <v>281</v>
      </c>
      <c r="AE233" s="12" t="s">
        <v>282</v>
      </c>
      <c r="AF233" s="12" t="s">
        <v>1408</v>
      </c>
      <c r="AG233" s="12" t="s">
        <v>284</v>
      </c>
      <c r="AH233" s="12" t="s">
        <v>499</v>
      </c>
      <c r="AI233" s="12" t="s">
        <v>285</v>
      </c>
      <c r="AJ233" s="12" t="s">
        <v>1409</v>
      </c>
      <c r="AK233" s="12" t="s">
        <v>4</v>
      </c>
    </row>
    <row r="234" customFormat="false" ht="15" hidden="false" customHeight="false" outlineLevel="0" collapsed="false">
      <c r="A234" s="11" t="n">
        <v>233</v>
      </c>
      <c r="B234" s="12" t="s">
        <v>1410</v>
      </c>
      <c r="C234" s="12" t="s">
        <v>1371</v>
      </c>
      <c r="D234" s="12" t="s">
        <v>1372</v>
      </c>
      <c r="E234" s="12" t="s">
        <v>759</v>
      </c>
      <c r="F234" s="12" t="s">
        <v>1387</v>
      </c>
      <c r="G234" s="12" t="s">
        <v>1055</v>
      </c>
      <c r="H234" s="12" t="s">
        <v>1411</v>
      </c>
      <c r="I234" s="12" t="s">
        <v>1412</v>
      </c>
      <c r="J234" s="13" t="s">
        <v>1413</v>
      </c>
      <c r="K234" s="12" t="s">
        <v>1414</v>
      </c>
      <c r="L234" s="12" t="s">
        <v>1415</v>
      </c>
      <c r="M234" s="12" t="s">
        <v>1416</v>
      </c>
      <c r="N234" s="12" t="s">
        <v>352</v>
      </c>
      <c r="O234" s="12" t="s">
        <v>102</v>
      </c>
      <c r="P234" s="12" t="s">
        <v>103</v>
      </c>
      <c r="Q234" s="12" t="s">
        <v>104</v>
      </c>
      <c r="R234" s="14" t="n">
        <v>2.5</v>
      </c>
      <c r="S234" s="14" t="s">
        <v>129</v>
      </c>
      <c r="T234" s="14" t="s">
        <v>1380</v>
      </c>
      <c r="U234" s="14" t="n">
        <v>2025</v>
      </c>
      <c r="V234" s="12" t="s">
        <v>107</v>
      </c>
      <c r="W234" s="14" t="s">
        <v>1417</v>
      </c>
      <c r="X234" s="15" t="n">
        <f aca="false">IF(OR($S234="%",$R234=""),"",$R234*INDEX(Cambi!$J$2:$J$5,MATCH($S234,Cambi!$I$2:$I$5,0))/IF($T234="EUR",1,INDEX(Cambi!$D:$D,MATCH($T234&amp;"|"&amp;$U234,Cambi!$C:$C,0))))</f>
        <v>334.967977061393</v>
      </c>
      <c r="Y234" s="12" t="s">
        <v>130</v>
      </c>
      <c r="Z234" s="12" t="s">
        <v>109</v>
      </c>
      <c r="AA234" s="12" t="s">
        <v>109</v>
      </c>
      <c r="AB234" s="16" t="s">
        <v>110</v>
      </c>
      <c r="AC234" s="16" t="s">
        <v>1418</v>
      </c>
      <c r="AD234" s="12" t="s">
        <v>281</v>
      </c>
      <c r="AE234" s="12" t="s">
        <v>282</v>
      </c>
      <c r="AF234" s="12" t="s">
        <v>1419</v>
      </c>
      <c r="AG234" s="12" t="s">
        <v>284</v>
      </c>
      <c r="AH234" s="12" t="s">
        <v>499</v>
      </c>
      <c r="AI234" s="12" t="s">
        <v>285</v>
      </c>
      <c r="AJ234" s="12" t="s">
        <v>1420</v>
      </c>
      <c r="AK234" s="12" t="s">
        <v>4</v>
      </c>
    </row>
    <row r="235" customFormat="false" ht="15" hidden="false" customHeight="false" outlineLevel="0" collapsed="false">
      <c r="A235" s="11" t="n">
        <v>234</v>
      </c>
      <c r="B235" s="12" t="s">
        <v>1421</v>
      </c>
      <c r="C235" s="12" t="s">
        <v>1371</v>
      </c>
      <c r="D235" s="12" t="s">
        <v>1372</v>
      </c>
      <c r="E235" s="12" t="s">
        <v>759</v>
      </c>
      <c r="F235" s="12" t="s">
        <v>1422</v>
      </c>
      <c r="G235" s="12" t="s">
        <v>345</v>
      </c>
      <c r="H235" s="12" t="s">
        <v>1423</v>
      </c>
      <c r="I235" s="12" t="s">
        <v>1424</v>
      </c>
      <c r="J235" s="13" t="s">
        <v>1425</v>
      </c>
      <c r="K235" s="12" t="s">
        <v>1377</v>
      </c>
      <c r="L235" s="12" t="s">
        <v>1426</v>
      </c>
      <c r="M235" s="12" t="s">
        <v>1427</v>
      </c>
      <c r="N235" s="12" t="s">
        <v>195</v>
      </c>
      <c r="O235" s="12" t="s">
        <v>196</v>
      </c>
      <c r="P235" s="12" t="s">
        <v>856</v>
      </c>
      <c r="Q235" s="12" t="s">
        <v>1267</v>
      </c>
      <c r="R235" s="14" t="n">
        <v>8</v>
      </c>
      <c r="S235" s="14" t="s">
        <v>197</v>
      </c>
      <c r="T235" s="14"/>
      <c r="U235" s="14" t="n">
        <v>2026</v>
      </c>
      <c r="V235" s="12" t="s">
        <v>198</v>
      </c>
      <c r="W235" s="14"/>
      <c r="X235" s="15" t="str">
        <f aca="false">IF(OR($S235="%",$R235=""),"",$R235*INDEX(Cambi!$J$2:$J$5,MATCH($S235,Cambi!$I$2:$I$5,0))/IF($T235="EUR",1,INDEX(Cambi!$D:$D,MATCH($T235&amp;"|"&amp;$U235,Cambi!$C:$C,0))))</f>
        <v/>
      </c>
      <c r="Y235" s="12" t="s">
        <v>239</v>
      </c>
      <c r="Z235" s="12" t="s">
        <v>109</v>
      </c>
      <c r="AA235" s="12" t="s">
        <v>109</v>
      </c>
      <c r="AB235" s="16" t="s">
        <v>110</v>
      </c>
      <c r="AC235" s="16" t="s">
        <v>1428</v>
      </c>
      <c r="AD235" s="12" t="s">
        <v>112</v>
      </c>
      <c r="AE235" s="12" t="s">
        <v>282</v>
      </c>
      <c r="AF235" s="12" t="s">
        <v>1429</v>
      </c>
      <c r="AG235" s="12" t="s">
        <v>284</v>
      </c>
      <c r="AH235" s="12" t="s">
        <v>116</v>
      </c>
      <c r="AI235" s="12" t="s">
        <v>285</v>
      </c>
      <c r="AJ235" s="12" t="s">
        <v>1430</v>
      </c>
      <c r="AK235" s="12" t="s">
        <v>4</v>
      </c>
    </row>
    <row r="236" customFormat="false" ht="15" hidden="false" customHeight="false" outlineLevel="0" collapsed="false">
      <c r="A236" s="11" t="n">
        <v>235</v>
      </c>
      <c r="B236" s="12" t="s">
        <v>1431</v>
      </c>
      <c r="C236" s="12" t="s">
        <v>1371</v>
      </c>
      <c r="D236" s="12" t="s">
        <v>1372</v>
      </c>
      <c r="E236" s="12" t="s">
        <v>759</v>
      </c>
      <c r="F236" s="12" t="s">
        <v>1432</v>
      </c>
      <c r="G236" s="12" t="s">
        <v>771</v>
      </c>
      <c r="H236" s="12" t="s">
        <v>1433</v>
      </c>
      <c r="I236" s="12" t="s">
        <v>1434</v>
      </c>
      <c r="J236" s="13" t="s">
        <v>1435</v>
      </c>
      <c r="K236" s="12"/>
      <c r="L236" s="12" t="s">
        <v>1436</v>
      </c>
      <c r="M236" s="12" t="s">
        <v>1437</v>
      </c>
      <c r="N236" s="12" t="s">
        <v>101</v>
      </c>
      <c r="O236" s="12" t="s">
        <v>102</v>
      </c>
      <c r="P236" s="12" t="s">
        <v>103</v>
      </c>
      <c r="Q236" s="12" t="s">
        <v>104</v>
      </c>
      <c r="R236" s="14" t="n">
        <v>275</v>
      </c>
      <c r="S236" s="14" t="s">
        <v>105</v>
      </c>
      <c r="T236" s="14" t="s">
        <v>1380</v>
      </c>
      <c r="U236" s="14" t="n">
        <v>2025</v>
      </c>
      <c r="V236" s="12" t="s">
        <v>157</v>
      </c>
      <c r="W236" s="14"/>
      <c r="X236" s="15" t="n">
        <f aca="false">IF(OR($S236="%",$R236=""),"",$R236*INDEX(Cambi!$J$2:$J$5,MATCH($S236,Cambi!$I$2:$I$5,0))/IF($T236="EUR",1,INDEX(Cambi!$D:$D,MATCH($T236&amp;"|"&amp;$U236,Cambi!$C:$C,0))))</f>
        <v>36.8464774767532</v>
      </c>
      <c r="Y236" s="12" t="s">
        <v>654</v>
      </c>
      <c r="Z236" s="12" t="s">
        <v>109</v>
      </c>
      <c r="AA236" s="12" t="s">
        <v>109</v>
      </c>
      <c r="AB236" s="16" t="s">
        <v>394</v>
      </c>
      <c r="AC236" s="16" t="s">
        <v>1438</v>
      </c>
      <c r="AD236" s="12" t="s">
        <v>112</v>
      </c>
      <c r="AE236" s="12" t="s">
        <v>1439</v>
      </c>
      <c r="AF236" s="12" t="s">
        <v>1440</v>
      </c>
      <c r="AG236" s="12" t="s">
        <v>115</v>
      </c>
      <c r="AH236" s="12" t="s">
        <v>116</v>
      </c>
      <c r="AI236" s="12" t="s">
        <v>117</v>
      </c>
      <c r="AJ236" s="12" t="s">
        <v>1441</v>
      </c>
      <c r="AK236" s="12" t="s">
        <v>4</v>
      </c>
    </row>
    <row r="237" customFormat="false" ht="15" hidden="false" customHeight="false" outlineLevel="0" collapsed="false">
      <c r="A237" s="11" t="n">
        <v>236</v>
      </c>
      <c r="B237" s="12" t="s">
        <v>1431</v>
      </c>
      <c r="C237" s="12" t="s">
        <v>1371</v>
      </c>
      <c r="D237" s="12" t="s">
        <v>1372</v>
      </c>
      <c r="E237" s="12" t="s">
        <v>759</v>
      </c>
      <c r="F237" s="12" t="s">
        <v>1432</v>
      </c>
      <c r="G237" s="12" t="s">
        <v>771</v>
      </c>
      <c r="H237" s="12" t="s">
        <v>1433</v>
      </c>
      <c r="I237" s="12" t="s">
        <v>1434</v>
      </c>
      <c r="J237" s="13" t="s">
        <v>1442</v>
      </c>
      <c r="K237" s="12"/>
      <c r="L237" s="12" t="s">
        <v>1443</v>
      </c>
      <c r="M237" s="12" t="s">
        <v>1444</v>
      </c>
      <c r="N237" s="12" t="s">
        <v>101</v>
      </c>
      <c r="O237" s="12" t="s">
        <v>102</v>
      </c>
      <c r="P237" s="12" t="s">
        <v>103</v>
      </c>
      <c r="Q237" s="12" t="s">
        <v>104</v>
      </c>
      <c r="R237" s="14" t="n">
        <v>52.5</v>
      </c>
      <c r="S237" s="14" t="s">
        <v>105</v>
      </c>
      <c r="T237" s="14" t="s">
        <v>1380</v>
      </c>
      <c r="U237" s="14" t="n">
        <v>2026</v>
      </c>
      <c r="V237" s="12" t="s">
        <v>198</v>
      </c>
      <c r="W237" s="14"/>
      <c r="X237" s="15" t="n">
        <f aca="false">IF(OR($S237="%",$R237=""),"",$R237*INDEX(Cambi!$J$2:$J$5,MATCH($S237,Cambi!$I$2:$I$5,0))/IF($T237="EUR",1,INDEX(Cambi!$D:$D,MATCH($T237&amp;"|"&amp;$U237,Cambi!$C:$C,0))))</f>
        <v>7.03432751828925</v>
      </c>
      <c r="Y237" s="12" t="s">
        <v>654</v>
      </c>
      <c r="Z237" s="12" t="s">
        <v>109</v>
      </c>
      <c r="AA237" s="12" t="s">
        <v>109</v>
      </c>
      <c r="AB237" s="16" t="s">
        <v>394</v>
      </c>
      <c r="AC237" s="16" t="s">
        <v>1438</v>
      </c>
      <c r="AD237" s="12" t="s">
        <v>112</v>
      </c>
      <c r="AE237" s="12" t="s">
        <v>1439</v>
      </c>
      <c r="AF237" s="12" t="s">
        <v>1445</v>
      </c>
      <c r="AG237" s="12" t="s">
        <v>115</v>
      </c>
      <c r="AH237" s="12" t="s">
        <v>116</v>
      </c>
      <c r="AI237" s="12" t="s">
        <v>117</v>
      </c>
      <c r="AJ237" s="12" t="s">
        <v>1446</v>
      </c>
      <c r="AK237" s="12" t="s">
        <v>4</v>
      </c>
    </row>
    <row r="238" customFormat="false" ht="15" hidden="false" customHeight="false" outlineLevel="0" collapsed="false">
      <c r="A238" s="11" t="n">
        <v>237</v>
      </c>
      <c r="B238" s="12" t="s">
        <v>1431</v>
      </c>
      <c r="C238" s="12" t="s">
        <v>1371</v>
      </c>
      <c r="D238" s="12" t="s">
        <v>1372</v>
      </c>
      <c r="E238" s="12" t="s">
        <v>759</v>
      </c>
      <c r="F238" s="12" t="s">
        <v>1432</v>
      </c>
      <c r="G238" s="12" t="s">
        <v>771</v>
      </c>
      <c r="H238" s="12" t="s">
        <v>1433</v>
      </c>
      <c r="I238" s="12" t="s">
        <v>1434</v>
      </c>
      <c r="J238" s="13" t="s">
        <v>1442</v>
      </c>
      <c r="K238" s="12"/>
      <c r="L238" s="12" t="s">
        <v>1447</v>
      </c>
      <c r="M238" s="12" t="s">
        <v>1448</v>
      </c>
      <c r="N238" s="12" t="s">
        <v>101</v>
      </c>
      <c r="O238" s="12" t="s">
        <v>102</v>
      </c>
      <c r="P238" s="12" t="s">
        <v>103</v>
      </c>
      <c r="Q238" s="12" t="s">
        <v>104</v>
      </c>
      <c r="R238" s="14" t="n">
        <v>211</v>
      </c>
      <c r="S238" s="14" t="s">
        <v>105</v>
      </c>
      <c r="T238" s="14" t="s">
        <v>1380</v>
      </c>
      <c r="U238" s="14" t="n">
        <v>2029</v>
      </c>
      <c r="V238" s="12" t="s">
        <v>107</v>
      </c>
      <c r="W238" s="14"/>
      <c r="X238" s="15" t="n">
        <f aca="false">IF(OR($S238="%",$R238=""),"",$R238*INDEX(Cambi!$J$2:$J$5,MATCH($S238,Cambi!$I$2:$I$5,0))/IF($T238="EUR",1,INDEX(Cambi!$D:$D,MATCH($T238&amp;"|"&amp;$U238,Cambi!$C:$C,0))))</f>
        <v>28.2712972639816</v>
      </c>
      <c r="Y238" s="12" t="s">
        <v>654</v>
      </c>
      <c r="Z238" s="12" t="s">
        <v>109</v>
      </c>
      <c r="AA238" s="12" t="s">
        <v>109</v>
      </c>
      <c r="AB238" s="16" t="s">
        <v>394</v>
      </c>
      <c r="AC238" s="16" t="s">
        <v>1438</v>
      </c>
      <c r="AD238" s="12" t="s">
        <v>112</v>
      </c>
      <c r="AE238" s="12" t="s">
        <v>1439</v>
      </c>
      <c r="AF238" s="12" t="s">
        <v>1449</v>
      </c>
      <c r="AG238" s="12" t="s">
        <v>115</v>
      </c>
      <c r="AH238" s="12" t="s">
        <v>116</v>
      </c>
      <c r="AI238" s="12" t="s">
        <v>117</v>
      </c>
      <c r="AJ238" s="12" t="s">
        <v>1450</v>
      </c>
      <c r="AK238" s="12" t="s">
        <v>4</v>
      </c>
    </row>
    <row r="239" customFormat="false" ht="15" hidden="false" customHeight="false" outlineLevel="0" collapsed="false">
      <c r="A239" s="11" t="n">
        <v>238</v>
      </c>
      <c r="B239" s="12" t="s">
        <v>1431</v>
      </c>
      <c r="C239" s="12" t="s">
        <v>1371</v>
      </c>
      <c r="D239" s="12" t="s">
        <v>1372</v>
      </c>
      <c r="E239" s="12" t="s">
        <v>759</v>
      </c>
      <c r="F239" s="12" t="s">
        <v>1432</v>
      </c>
      <c r="G239" s="12" t="s">
        <v>771</v>
      </c>
      <c r="H239" s="12" t="s">
        <v>1433</v>
      </c>
      <c r="I239" s="12" t="s">
        <v>1434</v>
      </c>
      <c r="J239" s="13" t="s">
        <v>1442</v>
      </c>
      <c r="K239" s="12"/>
      <c r="L239" s="12" t="s">
        <v>1451</v>
      </c>
      <c r="M239" s="12" t="s">
        <v>1452</v>
      </c>
      <c r="N239" s="12" t="s">
        <v>101</v>
      </c>
      <c r="O239" s="12" t="s">
        <v>102</v>
      </c>
      <c r="P239" s="12" t="s">
        <v>103</v>
      </c>
      <c r="Q239" s="12" t="s">
        <v>104</v>
      </c>
      <c r="R239" s="14" t="n">
        <v>33</v>
      </c>
      <c r="S239" s="14" t="s">
        <v>105</v>
      </c>
      <c r="T239" s="14" t="s">
        <v>1380</v>
      </c>
      <c r="U239" s="14" t="n">
        <v>2030</v>
      </c>
      <c r="V239" s="12" t="s">
        <v>107</v>
      </c>
      <c r="W239" s="14"/>
      <c r="X239" s="15" t="n">
        <f aca="false">IF(OR($S239="%",$R239=""),"",$R239*INDEX(Cambi!$J$2:$J$5,MATCH($S239,Cambi!$I$2:$I$5,0))/IF($T239="EUR",1,INDEX(Cambi!$D:$D,MATCH($T239&amp;"|"&amp;$U239,Cambi!$C:$C,0))))</f>
        <v>4.42157729721039</v>
      </c>
      <c r="Y239" s="12" t="s">
        <v>654</v>
      </c>
      <c r="Z239" s="12" t="s">
        <v>109</v>
      </c>
      <c r="AA239" s="12" t="s">
        <v>109</v>
      </c>
      <c r="AB239" s="16" t="s">
        <v>394</v>
      </c>
      <c r="AC239" s="16" t="s">
        <v>1438</v>
      </c>
      <c r="AD239" s="12" t="s">
        <v>112</v>
      </c>
      <c r="AE239" s="12" t="s">
        <v>1439</v>
      </c>
      <c r="AF239" s="12" t="s">
        <v>1453</v>
      </c>
      <c r="AG239" s="12" t="s">
        <v>115</v>
      </c>
      <c r="AH239" s="12" t="s">
        <v>116</v>
      </c>
      <c r="AI239" s="12" t="s">
        <v>117</v>
      </c>
      <c r="AJ239" s="12" t="s">
        <v>859</v>
      </c>
      <c r="AK239" s="12" t="s">
        <v>4</v>
      </c>
    </row>
    <row r="240" customFormat="false" ht="15" hidden="false" customHeight="false" outlineLevel="0" collapsed="false">
      <c r="A240" s="11" t="n">
        <v>239</v>
      </c>
      <c r="B240" s="12" t="s">
        <v>1454</v>
      </c>
      <c r="C240" s="12" t="s">
        <v>1371</v>
      </c>
      <c r="D240" s="12" t="s">
        <v>1372</v>
      </c>
      <c r="E240" s="12" t="s">
        <v>759</v>
      </c>
      <c r="F240" s="12" t="s">
        <v>845</v>
      </c>
      <c r="G240" s="12" t="s">
        <v>830</v>
      </c>
      <c r="H240" s="12" t="s">
        <v>1455</v>
      </c>
      <c r="I240" s="12" t="s">
        <v>847</v>
      </c>
      <c r="J240" s="13" t="s">
        <v>1456</v>
      </c>
      <c r="K240" s="12"/>
      <c r="L240" s="12" t="s">
        <v>1457</v>
      </c>
      <c r="M240" s="12" t="s">
        <v>1458</v>
      </c>
      <c r="N240" s="12" t="s">
        <v>352</v>
      </c>
      <c r="O240" s="12" t="s">
        <v>102</v>
      </c>
      <c r="P240" s="12" t="s">
        <v>103</v>
      </c>
      <c r="Q240" s="12" t="s">
        <v>104</v>
      </c>
      <c r="R240" s="14" t="n">
        <v>480.7</v>
      </c>
      <c r="S240" s="14" t="s">
        <v>105</v>
      </c>
      <c r="T240" s="14" t="s">
        <v>653</v>
      </c>
      <c r="U240" s="14" t="n">
        <v>2025</v>
      </c>
      <c r="V240" s="12" t="s">
        <v>157</v>
      </c>
      <c r="W240" s="14" t="s">
        <v>1459</v>
      </c>
      <c r="X240" s="15" t="n">
        <f aca="false">IF(OR($S240="%",$R240=""),"",$R240*INDEX(Cambi!$J$2:$J$5,MATCH($S240,Cambi!$I$2:$I$5,0))/IF($T240="EUR",1,INDEX(Cambi!$D:$D,MATCH($T240&amp;"|"&amp;$U240,Cambi!$C:$C,0))))</f>
        <v>425.398230088496</v>
      </c>
      <c r="Y240" s="12" t="s">
        <v>109</v>
      </c>
      <c r="Z240" s="12" t="s">
        <v>109</v>
      </c>
      <c r="AA240" s="12" t="s">
        <v>109</v>
      </c>
      <c r="AB240" s="16" t="s">
        <v>110</v>
      </c>
      <c r="AC240" s="16" t="s">
        <v>836</v>
      </c>
      <c r="AD240" s="12" t="s">
        <v>112</v>
      </c>
      <c r="AE240" s="12" t="s">
        <v>282</v>
      </c>
      <c r="AF240" s="12" t="s">
        <v>1460</v>
      </c>
      <c r="AG240" s="12" t="s">
        <v>284</v>
      </c>
      <c r="AH240" s="12" t="s">
        <v>838</v>
      </c>
      <c r="AI240" s="12" t="s">
        <v>117</v>
      </c>
      <c r="AJ240" s="12" t="s">
        <v>1461</v>
      </c>
      <c r="AK240" s="12" t="s">
        <v>4</v>
      </c>
    </row>
    <row r="241" customFormat="false" ht="15" hidden="false" customHeight="false" outlineLevel="0" collapsed="false">
      <c r="A241" s="11" t="n">
        <v>240</v>
      </c>
      <c r="B241" s="12" t="s">
        <v>1454</v>
      </c>
      <c r="C241" s="12" t="s">
        <v>1371</v>
      </c>
      <c r="D241" s="12" t="s">
        <v>1372</v>
      </c>
      <c r="E241" s="12" t="s">
        <v>759</v>
      </c>
      <c r="F241" s="12" t="s">
        <v>845</v>
      </c>
      <c r="G241" s="12" t="s">
        <v>830</v>
      </c>
      <c r="H241" s="12" t="s">
        <v>1455</v>
      </c>
      <c r="I241" s="12" t="s">
        <v>847</v>
      </c>
      <c r="J241" s="13" t="s">
        <v>1456</v>
      </c>
      <c r="K241" s="12"/>
      <c r="L241" s="12" t="s">
        <v>1462</v>
      </c>
      <c r="M241" s="12" t="s">
        <v>1463</v>
      </c>
      <c r="N241" s="12" t="s">
        <v>352</v>
      </c>
      <c r="O241" s="12" t="s">
        <v>196</v>
      </c>
      <c r="P241" s="12" t="s">
        <v>214</v>
      </c>
      <c r="Q241" s="12" t="s">
        <v>1464</v>
      </c>
      <c r="R241" s="14" t="n">
        <v>26.85</v>
      </c>
      <c r="S241" s="14" t="s">
        <v>197</v>
      </c>
      <c r="T241" s="14"/>
      <c r="U241" s="14" t="n">
        <v>2025</v>
      </c>
      <c r="V241" s="12" t="s">
        <v>157</v>
      </c>
      <c r="W241" s="14"/>
      <c r="X241" s="15" t="str">
        <f aca="false">IF(OR($S241="%",$R241=""),"",$R241*INDEX(Cambi!$J$2:$J$5,MATCH($S241,Cambi!$I$2:$I$5,0))/IF($T241="EUR",1,INDEX(Cambi!$D:$D,MATCH($T241&amp;"|"&amp;$U241,Cambi!$C:$C,0))))</f>
        <v/>
      </c>
      <c r="Y241" s="12" t="s">
        <v>109</v>
      </c>
      <c r="Z241" s="12" t="s">
        <v>109</v>
      </c>
      <c r="AA241" s="12" t="s">
        <v>109</v>
      </c>
      <c r="AB241" s="16" t="s">
        <v>110</v>
      </c>
      <c r="AC241" s="16" t="s">
        <v>836</v>
      </c>
      <c r="AD241" s="12" t="s">
        <v>112</v>
      </c>
      <c r="AE241" s="12" t="s">
        <v>282</v>
      </c>
      <c r="AF241" s="12" t="s">
        <v>1465</v>
      </c>
      <c r="AG241" s="12" t="s">
        <v>284</v>
      </c>
      <c r="AH241" s="12" t="s">
        <v>838</v>
      </c>
      <c r="AI241" s="12" t="s">
        <v>117</v>
      </c>
      <c r="AJ241" s="12" t="s">
        <v>266</v>
      </c>
      <c r="AK241" s="12" t="s">
        <v>4</v>
      </c>
    </row>
    <row r="242" customFormat="false" ht="15" hidden="false" customHeight="false" outlineLevel="0" collapsed="false">
      <c r="A242" s="11" t="n">
        <v>241</v>
      </c>
      <c r="B242" s="12" t="s">
        <v>1454</v>
      </c>
      <c r="C242" s="12" t="s">
        <v>1371</v>
      </c>
      <c r="D242" s="12" t="s">
        <v>1372</v>
      </c>
      <c r="E242" s="12" t="s">
        <v>759</v>
      </c>
      <c r="F242" s="12" t="s">
        <v>845</v>
      </c>
      <c r="G242" s="12" t="s">
        <v>830</v>
      </c>
      <c r="H242" s="12" t="s">
        <v>1455</v>
      </c>
      <c r="I242" s="12" t="s">
        <v>847</v>
      </c>
      <c r="J242" s="13" t="s">
        <v>1456</v>
      </c>
      <c r="K242" s="12"/>
      <c r="L242" s="12" t="s">
        <v>1462</v>
      </c>
      <c r="M242" s="12" t="s">
        <v>1466</v>
      </c>
      <c r="N242" s="12" t="s">
        <v>352</v>
      </c>
      <c r="O242" s="12" t="s">
        <v>196</v>
      </c>
      <c r="P242" s="12" t="s">
        <v>856</v>
      </c>
      <c r="Q242" s="12" t="s">
        <v>1467</v>
      </c>
      <c r="R242" s="14" t="n">
        <v>69.1</v>
      </c>
      <c r="S242" s="14" t="s">
        <v>197</v>
      </c>
      <c r="T242" s="14"/>
      <c r="U242" s="14" t="n">
        <v>2025</v>
      </c>
      <c r="V242" s="12" t="s">
        <v>157</v>
      </c>
      <c r="W242" s="14"/>
      <c r="X242" s="15" t="str">
        <f aca="false">IF(OR($S242="%",$R242=""),"",$R242*INDEX(Cambi!$J$2:$J$5,MATCH($S242,Cambi!$I$2:$I$5,0))/IF($T242="EUR",1,INDEX(Cambi!$D:$D,MATCH($T242&amp;"|"&amp;$U242,Cambi!$C:$C,0))))</f>
        <v/>
      </c>
      <c r="Y242" s="12" t="s">
        <v>109</v>
      </c>
      <c r="Z242" s="12" t="s">
        <v>109</v>
      </c>
      <c r="AA242" s="12" t="s">
        <v>109</v>
      </c>
      <c r="AB242" s="16" t="s">
        <v>110</v>
      </c>
      <c r="AC242" s="16" t="s">
        <v>836</v>
      </c>
      <c r="AD242" s="12" t="s">
        <v>112</v>
      </c>
      <c r="AE242" s="12" t="s">
        <v>282</v>
      </c>
      <c r="AF242" s="12" t="s">
        <v>1468</v>
      </c>
      <c r="AG242" s="12" t="s">
        <v>284</v>
      </c>
      <c r="AH242" s="12" t="s">
        <v>838</v>
      </c>
      <c r="AI242" s="12" t="s">
        <v>117</v>
      </c>
      <c r="AJ242" s="12" t="s">
        <v>266</v>
      </c>
      <c r="AK242" s="12" t="s">
        <v>4</v>
      </c>
    </row>
    <row r="243" customFormat="false" ht="15" hidden="false" customHeight="false" outlineLevel="0" collapsed="false">
      <c r="A243" s="11" t="n">
        <v>242</v>
      </c>
      <c r="B243" s="12" t="s">
        <v>1454</v>
      </c>
      <c r="C243" s="12" t="s">
        <v>1371</v>
      </c>
      <c r="D243" s="12" t="s">
        <v>1372</v>
      </c>
      <c r="E243" s="12" t="s">
        <v>759</v>
      </c>
      <c r="F243" s="12" t="s">
        <v>845</v>
      </c>
      <c r="G243" s="12" t="s">
        <v>830</v>
      </c>
      <c r="H243" s="12" t="s">
        <v>1455</v>
      </c>
      <c r="I243" s="12" t="s">
        <v>847</v>
      </c>
      <c r="J243" s="13" t="s">
        <v>1456</v>
      </c>
      <c r="K243" s="12"/>
      <c r="L243" s="12" t="s">
        <v>1462</v>
      </c>
      <c r="M243" s="12" t="s">
        <v>1469</v>
      </c>
      <c r="N243" s="12" t="s">
        <v>352</v>
      </c>
      <c r="O243" s="12" t="s">
        <v>196</v>
      </c>
      <c r="P243" s="12" t="s">
        <v>155</v>
      </c>
      <c r="Q243" s="12" t="s">
        <v>1027</v>
      </c>
      <c r="R243" s="14" t="n">
        <v>52.95</v>
      </c>
      <c r="S243" s="14" t="s">
        <v>197</v>
      </c>
      <c r="T243" s="14"/>
      <c r="U243" s="14" t="n">
        <v>2025</v>
      </c>
      <c r="V243" s="12" t="s">
        <v>157</v>
      </c>
      <c r="W243" s="14"/>
      <c r="X243" s="15" t="str">
        <f aca="false">IF(OR($S243="%",$R243=""),"",$R243*INDEX(Cambi!$J$2:$J$5,MATCH($S243,Cambi!$I$2:$I$5,0))/IF($T243="EUR",1,INDEX(Cambi!$D:$D,MATCH($T243&amp;"|"&amp;$U243,Cambi!$C:$C,0))))</f>
        <v/>
      </c>
      <c r="Y243" s="12" t="s">
        <v>109</v>
      </c>
      <c r="Z243" s="12" t="s">
        <v>109</v>
      </c>
      <c r="AA243" s="12" t="s">
        <v>109</v>
      </c>
      <c r="AB243" s="16" t="s">
        <v>110</v>
      </c>
      <c r="AC243" s="16" t="s">
        <v>836</v>
      </c>
      <c r="AD243" s="12" t="s">
        <v>112</v>
      </c>
      <c r="AE243" s="12" t="s">
        <v>282</v>
      </c>
      <c r="AF243" s="12" t="s">
        <v>1470</v>
      </c>
      <c r="AG243" s="12" t="s">
        <v>284</v>
      </c>
      <c r="AH243" s="12" t="s">
        <v>838</v>
      </c>
      <c r="AI243" s="12" t="s">
        <v>117</v>
      </c>
      <c r="AJ243" s="12" t="s">
        <v>1471</v>
      </c>
      <c r="AK243" s="12" t="s">
        <v>4</v>
      </c>
    </row>
    <row r="244" customFormat="false" ht="15" hidden="false" customHeight="false" outlineLevel="0" collapsed="false">
      <c r="A244" s="11" t="n">
        <v>243</v>
      </c>
      <c r="B244" s="12" t="s">
        <v>1454</v>
      </c>
      <c r="C244" s="12" t="s">
        <v>1371</v>
      </c>
      <c r="D244" s="12" t="s">
        <v>1372</v>
      </c>
      <c r="E244" s="12" t="s">
        <v>759</v>
      </c>
      <c r="F244" s="12" t="s">
        <v>845</v>
      </c>
      <c r="G244" s="12" t="s">
        <v>830</v>
      </c>
      <c r="H244" s="12" t="s">
        <v>1455</v>
      </c>
      <c r="I244" s="12" t="s">
        <v>847</v>
      </c>
      <c r="J244" s="13" t="s">
        <v>1456</v>
      </c>
      <c r="K244" s="12"/>
      <c r="L244" s="12" t="s">
        <v>1457</v>
      </c>
      <c r="M244" s="12" t="s">
        <v>1458</v>
      </c>
      <c r="N244" s="12" t="s">
        <v>352</v>
      </c>
      <c r="O244" s="12" t="s">
        <v>102</v>
      </c>
      <c r="P244" s="12" t="s">
        <v>103</v>
      </c>
      <c r="Q244" s="12" t="s">
        <v>104</v>
      </c>
      <c r="R244" s="14" t="n">
        <v>513.87</v>
      </c>
      <c r="S244" s="14" t="s">
        <v>105</v>
      </c>
      <c r="T244" s="14" t="s">
        <v>653</v>
      </c>
      <c r="U244" s="14" t="n">
        <v>2026</v>
      </c>
      <c r="V244" s="12" t="s">
        <v>198</v>
      </c>
      <c r="W244" s="14" t="s">
        <v>1459</v>
      </c>
      <c r="X244" s="15" t="n">
        <f aca="false">IF(OR($S244="%",$R244=""),"",$R244*INDEX(Cambi!$J$2:$J$5,MATCH($S244,Cambi!$I$2:$I$5,0))/IF($T244="EUR",1,INDEX(Cambi!$D:$D,MATCH($T244&amp;"|"&amp;$U244,Cambi!$C:$C,0))))</f>
        <v>454.752212389381</v>
      </c>
      <c r="Y244" s="12" t="s">
        <v>109</v>
      </c>
      <c r="Z244" s="12" t="s">
        <v>109</v>
      </c>
      <c r="AA244" s="12" t="s">
        <v>109</v>
      </c>
      <c r="AB244" s="16" t="s">
        <v>110</v>
      </c>
      <c r="AC244" s="16" t="s">
        <v>836</v>
      </c>
      <c r="AD244" s="12" t="s">
        <v>112</v>
      </c>
      <c r="AE244" s="12" t="s">
        <v>282</v>
      </c>
      <c r="AF244" s="12" t="s">
        <v>1472</v>
      </c>
      <c r="AG244" s="12" t="s">
        <v>284</v>
      </c>
      <c r="AH244" s="12" t="s">
        <v>838</v>
      </c>
      <c r="AI244" s="12" t="s">
        <v>117</v>
      </c>
      <c r="AJ244" s="12" t="s">
        <v>1473</v>
      </c>
      <c r="AK244" s="12" t="s">
        <v>4</v>
      </c>
    </row>
    <row r="245" customFormat="false" ht="15" hidden="false" customHeight="false" outlineLevel="0" collapsed="false">
      <c r="A245" s="11" t="n">
        <v>244</v>
      </c>
      <c r="B245" s="12" t="s">
        <v>1454</v>
      </c>
      <c r="C245" s="12" t="s">
        <v>1371</v>
      </c>
      <c r="D245" s="12" t="s">
        <v>1372</v>
      </c>
      <c r="E245" s="12" t="s">
        <v>759</v>
      </c>
      <c r="F245" s="12" t="s">
        <v>845</v>
      </c>
      <c r="G245" s="12" t="s">
        <v>830</v>
      </c>
      <c r="H245" s="12" t="s">
        <v>1455</v>
      </c>
      <c r="I245" s="12" t="s">
        <v>847</v>
      </c>
      <c r="J245" s="13" t="s">
        <v>1456</v>
      </c>
      <c r="K245" s="12"/>
      <c r="L245" s="12" t="s">
        <v>1457</v>
      </c>
      <c r="M245" s="12" t="s">
        <v>1458</v>
      </c>
      <c r="N245" s="12" t="s">
        <v>352</v>
      </c>
      <c r="O245" s="12" t="s">
        <v>102</v>
      </c>
      <c r="P245" s="12" t="s">
        <v>103</v>
      </c>
      <c r="Q245" s="12" t="s">
        <v>104</v>
      </c>
      <c r="R245" s="14" t="n">
        <v>716.9</v>
      </c>
      <c r="S245" s="14" t="s">
        <v>105</v>
      </c>
      <c r="T245" s="14" t="s">
        <v>653</v>
      </c>
      <c r="U245" s="14" t="n">
        <v>2031</v>
      </c>
      <c r="V245" s="12" t="s">
        <v>107</v>
      </c>
      <c r="W245" s="14" t="s">
        <v>1459</v>
      </c>
      <c r="X245" s="15" t="n">
        <f aca="false">IF(OR($S245="%",$R245=""),"",$R245*INDEX(Cambi!$J$2:$J$5,MATCH($S245,Cambi!$I$2:$I$5,0))/IF($T245="EUR",1,INDEX(Cambi!$D:$D,MATCH($T245&amp;"|"&amp;$U245,Cambi!$C:$C,0))))</f>
        <v>634.424778761062</v>
      </c>
      <c r="Y245" s="12" t="s">
        <v>109</v>
      </c>
      <c r="Z245" s="12" t="s">
        <v>109</v>
      </c>
      <c r="AA245" s="12" t="s">
        <v>109</v>
      </c>
      <c r="AB245" s="16" t="s">
        <v>110</v>
      </c>
      <c r="AC245" s="16" t="s">
        <v>836</v>
      </c>
      <c r="AD245" s="12" t="s">
        <v>112</v>
      </c>
      <c r="AE245" s="12" t="s">
        <v>282</v>
      </c>
      <c r="AF245" s="12" t="s">
        <v>1474</v>
      </c>
      <c r="AG245" s="12" t="s">
        <v>284</v>
      </c>
      <c r="AH245" s="12" t="s">
        <v>838</v>
      </c>
      <c r="AI245" s="12" t="s">
        <v>117</v>
      </c>
      <c r="AJ245" s="12" t="s">
        <v>1473</v>
      </c>
      <c r="AK245" s="12" t="s">
        <v>4</v>
      </c>
    </row>
    <row r="246" customFormat="false" ht="15" hidden="false" customHeight="false" outlineLevel="0" collapsed="false">
      <c r="A246" s="11" t="n">
        <v>245</v>
      </c>
      <c r="B246" s="12" t="s">
        <v>1475</v>
      </c>
      <c r="C246" s="12" t="s">
        <v>1371</v>
      </c>
      <c r="D246" s="12" t="s">
        <v>1372</v>
      </c>
      <c r="E246" s="12" t="s">
        <v>759</v>
      </c>
      <c r="F246" s="12" t="s">
        <v>1476</v>
      </c>
      <c r="G246" s="12" t="s">
        <v>771</v>
      </c>
      <c r="H246" s="12" t="s">
        <v>1477</v>
      </c>
      <c r="I246" s="12" t="s">
        <v>1478</v>
      </c>
      <c r="J246" s="13" t="s">
        <v>1479</v>
      </c>
      <c r="K246" s="12"/>
      <c r="L246" s="12" t="s">
        <v>1480</v>
      </c>
      <c r="M246" s="12" t="s">
        <v>1481</v>
      </c>
      <c r="N246" s="12" t="s">
        <v>101</v>
      </c>
      <c r="O246" s="12" t="s">
        <v>102</v>
      </c>
      <c r="P246" s="12" t="s">
        <v>103</v>
      </c>
      <c r="Q246" s="12" t="s">
        <v>104</v>
      </c>
      <c r="R246" s="14" t="n">
        <v>500</v>
      </c>
      <c r="S246" s="14" t="s">
        <v>105</v>
      </c>
      <c r="T246" s="14" t="s">
        <v>1380</v>
      </c>
      <c r="U246" s="14" t="n">
        <v>2023</v>
      </c>
      <c r="V246" s="12" t="s">
        <v>157</v>
      </c>
      <c r="W246" s="14"/>
      <c r="X246" s="15" t="n">
        <f aca="false">IF(OR($S246="%",$R246=""),"",$R246*INDEX(Cambi!$J$2:$J$5,MATCH($S246,Cambi!$I$2:$I$5,0))/IF($T246="EUR",1,INDEX(Cambi!$D:$D,MATCH($T246&amp;"|"&amp;$U246,Cambi!$C:$C,0))))</f>
        <v>67.1059871961777</v>
      </c>
      <c r="Y246" s="12" t="s">
        <v>654</v>
      </c>
      <c r="Z246" s="12" t="s">
        <v>109</v>
      </c>
      <c r="AA246" s="12" t="s">
        <v>109</v>
      </c>
      <c r="AB246" s="16" t="s">
        <v>394</v>
      </c>
      <c r="AC246" s="16" t="s">
        <v>1438</v>
      </c>
      <c r="AD246" s="12" t="s">
        <v>112</v>
      </c>
      <c r="AE246" s="12" t="s">
        <v>1482</v>
      </c>
      <c r="AF246" s="12" t="s">
        <v>1483</v>
      </c>
      <c r="AG246" s="12" t="s">
        <v>115</v>
      </c>
      <c r="AH246" s="12" t="s">
        <v>116</v>
      </c>
      <c r="AI246" s="12" t="s">
        <v>117</v>
      </c>
      <c r="AJ246" s="12" t="s">
        <v>1484</v>
      </c>
      <c r="AK246" s="12" t="s">
        <v>4</v>
      </c>
    </row>
    <row r="247" customFormat="false" ht="15" hidden="false" customHeight="false" outlineLevel="0" collapsed="false">
      <c r="A247" s="11" t="n">
        <v>246</v>
      </c>
      <c r="B247" s="12" t="s">
        <v>1475</v>
      </c>
      <c r="C247" s="12" t="s">
        <v>1371</v>
      </c>
      <c r="D247" s="12" t="s">
        <v>1372</v>
      </c>
      <c r="E247" s="12" t="s">
        <v>759</v>
      </c>
      <c r="F247" s="12" t="s">
        <v>1476</v>
      </c>
      <c r="G247" s="12" t="s">
        <v>771</v>
      </c>
      <c r="H247" s="12" t="s">
        <v>1477</v>
      </c>
      <c r="I247" s="12" t="s">
        <v>1478</v>
      </c>
      <c r="J247" s="13" t="s">
        <v>1479</v>
      </c>
      <c r="K247" s="12"/>
      <c r="L247" s="12" t="s">
        <v>1485</v>
      </c>
      <c r="M247" s="12" t="s">
        <v>1486</v>
      </c>
      <c r="N247" s="12" t="s">
        <v>101</v>
      </c>
      <c r="O247" s="12" t="s">
        <v>102</v>
      </c>
      <c r="P247" s="12" t="s">
        <v>103</v>
      </c>
      <c r="Q247" s="12" t="s">
        <v>104</v>
      </c>
      <c r="R247" s="14" t="n">
        <v>270</v>
      </c>
      <c r="S247" s="14" t="s">
        <v>105</v>
      </c>
      <c r="T247" s="14" t="s">
        <v>1380</v>
      </c>
      <c r="U247" s="14" t="n">
        <v>2024</v>
      </c>
      <c r="V247" s="12" t="s">
        <v>157</v>
      </c>
      <c r="W247" s="14"/>
      <c r="X247" s="15" t="n">
        <f aca="false">IF(OR($S247="%",$R247=""),"",$R247*INDEX(Cambi!$J$2:$J$5,MATCH($S247,Cambi!$I$2:$I$5,0))/IF($T247="EUR",1,INDEX(Cambi!$D:$D,MATCH($T247&amp;"|"&amp;$U247,Cambi!$C:$C,0))))</f>
        <v>36.1983670514419</v>
      </c>
      <c r="Y247" s="12" t="s">
        <v>654</v>
      </c>
      <c r="Z247" s="12" t="s">
        <v>109</v>
      </c>
      <c r="AA247" s="12" t="s">
        <v>109</v>
      </c>
      <c r="AB247" s="16" t="s">
        <v>394</v>
      </c>
      <c r="AC247" s="16" t="s">
        <v>1438</v>
      </c>
      <c r="AD247" s="12" t="s">
        <v>112</v>
      </c>
      <c r="AE247" s="12" t="s">
        <v>1482</v>
      </c>
      <c r="AF247" s="12" t="s">
        <v>1487</v>
      </c>
      <c r="AG247" s="12" t="s">
        <v>115</v>
      </c>
      <c r="AH247" s="12" t="s">
        <v>116</v>
      </c>
      <c r="AI247" s="12" t="s">
        <v>117</v>
      </c>
      <c r="AJ247" s="12" t="s">
        <v>1488</v>
      </c>
      <c r="AK247" s="12" t="s">
        <v>4</v>
      </c>
    </row>
    <row r="248" customFormat="false" ht="15" hidden="false" customHeight="false" outlineLevel="0" collapsed="false">
      <c r="A248" s="11" t="n">
        <v>247</v>
      </c>
      <c r="B248" s="12" t="s">
        <v>1489</v>
      </c>
      <c r="C248" s="12" t="s">
        <v>1490</v>
      </c>
      <c r="D248" s="12" t="s">
        <v>1491</v>
      </c>
      <c r="E248" s="12" t="s">
        <v>759</v>
      </c>
      <c r="F248" s="12" t="s">
        <v>1492</v>
      </c>
      <c r="G248" s="12" t="s">
        <v>771</v>
      </c>
      <c r="H248" s="12" t="s">
        <v>1493</v>
      </c>
      <c r="I248" s="12" t="s">
        <v>1494</v>
      </c>
      <c r="J248" s="13" t="s">
        <v>1495</v>
      </c>
      <c r="K248" s="12"/>
      <c r="L248" s="12" t="s">
        <v>1496</v>
      </c>
      <c r="M248" s="12" t="s">
        <v>1497</v>
      </c>
      <c r="N248" s="12" t="s">
        <v>101</v>
      </c>
      <c r="O248" s="12" t="s">
        <v>102</v>
      </c>
      <c r="P248" s="12" t="s">
        <v>103</v>
      </c>
      <c r="Q248" s="12" t="s">
        <v>104</v>
      </c>
      <c r="R248" s="14" t="n">
        <v>2.6</v>
      </c>
      <c r="S248" s="14" t="s">
        <v>105</v>
      </c>
      <c r="T248" s="14" t="s">
        <v>106</v>
      </c>
      <c r="U248" s="14" t="n">
        <v>2026</v>
      </c>
      <c r="V248" s="12" t="s">
        <v>198</v>
      </c>
      <c r="W248" s="14"/>
      <c r="X248" s="15" t="n">
        <f aca="false">IF(OR($S248="%",$R248=""),"",$R248*INDEX(Cambi!$J$2:$J$5,MATCH($S248,Cambi!$I$2:$I$5,0))/IF($T248="EUR",1,INDEX(Cambi!$D:$D,MATCH($T248&amp;"|"&amp;$U248,Cambi!$C:$C,0))))</f>
        <v>2.6</v>
      </c>
      <c r="Y248" s="12" t="s">
        <v>239</v>
      </c>
      <c r="Z248" s="12" t="s">
        <v>109</v>
      </c>
      <c r="AA248" s="12" t="s">
        <v>109</v>
      </c>
      <c r="AB248" s="16" t="s">
        <v>394</v>
      </c>
      <c r="AC248" s="16" t="s">
        <v>1438</v>
      </c>
      <c r="AD248" s="12" t="s">
        <v>112</v>
      </c>
      <c r="AE248" s="12" t="s">
        <v>1498</v>
      </c>
      <c r="AF248" s="12" t="s">
        <v>1499</v>
      </c>
      <c r="AG248" s="12" t="s">
        <v>115</v>
      </c>
      <c r="AH248" s="12" t="s">
        <v>116</v>
      </c>
      <c r="AI248" s="12" t="s">
        <v>117</v>
      </c>
      <c r="AJ248" s="12" t="s">
        <v>1500</v>
      </c>
      <c r="AK248" s="12" t="s">
        <v>4</v>
      </c>
    </row>
    <row r="249" customFormat="false" ht="15" hidden="false" customHeight="false" outlineLevel="0" collapsed="false">
      <c r="A249" s="11" t="n">
        <v>248</v>
      </c>
      <c r="B249" s="12" t="s">
        <v>1501</v>
      </c>
      <c r="C249" s="12" t="s">
        <v>1490</v>
      </c>
      <c r="D249" s="12" t="s">
        <v>1491</v>
      </c>
      <c r="E249" s="12" t="s">
        <v>759</v>
      </c>
      <c r="F249" s="12" t="s">
        <v>1502</v>
      </c>
      <c r="G249" s="12" t="s">
        <v>771</v>
      </c>
      <c r="H249" s="12" t="s">
        <v>1503</v>
      </c>
      <c r="I249" s="12" t="s">
        <v>1504</v>
      </c>
      <c r="J249" s="13" t="s">
        <v>1505</v>
      </c>
      <c r="K249" s="12"/>
      <c r="L249" s="12" t="s">
        <v>1506</v>
      </c>
      <c r="M249" s="12" t="s">
        <v>1507</v>
      </c>
      <c r="N249" s="12" t="s">
        <v>101</v>
      </c>
      <c r="O249" s="12" t="s">
        <v>102</v>
      </c>
      <c r="P249" s="12" t="s">
        <v>103</v>
      </c>
      <c r="Q249" s="12" t="s">
        <v>104</v>
      </c>
      <c r="R249" s="14" t="n">
        <v>3.9</v>
      </c>
      <c r="S249" s="14" t="s">
        <v>105</v>
      </c>
      <c r="T249" s="14" t="s">
        <v>106</v>
      </c>
      <c r="U249" s="14" t="n">
        <v>2020</v>
      </c>
      <c r="V249" s="12" t="s">
        <v>157</v>
      </c>
      <c r="W249" s="14"/>
      <c r="X249" s="15" t="n">
        <f aca="false">IF(OR($S249="%",$R249=""),"",$R249*INDEX(Cambi!$J$2:$J$5,MATCH($S249,Cambi!$I$2:$I$5,0))/IF($T249="EUR",1,INDEX(Cambi!$D:$D,MATCH($T249&amp;"|"&amp;$U249,Cambi!$C:$C,0))))</f>
        <v>3.9</v>
      </c>
      <c r="Y249" s="12" t="s">
        <v>108</v>
      </c>
      <c r="Z249" s="12" t="s">
        <v>109</v>
      </c>
      <c r="AA249" s="12" t="s">
        <v>109</v>
      </c>
      <c r="AB249" s="16" t="s">
        <v>394</v>
      </c>
      <c r="AC249" s="16" t="s">
        <v>1438</v>
      </c>
      <c r="AD249" s="12" t="s">
        <v>112</v>
      </c>
      <c r="AE249" s="12" t="s">
        <v>1508</v>
      </c>
      <c r="AF249" s="12" t="s">
        <v>1509</v>
      </c>
      <c r="AG249" s="12" t="s">
        <v>115</v>
      </c>
      <c r="AH249" s="12" t="s">
        <v>116</v>
      </c>
      <c r="AI249" s="12" t="s">
        <v>117</v>
      </c>
      <c r="AJ249" s="12" t="s">
        <v>266</v>
      </c>
      <c r="AK249" s="12" t="s">
        <v>4</v>
      </c>
    </row>
    <row r="250" customFormat="false" ht="15" hidden="false" customHeight="false" outlineLevel="0" collapsed="false">
      <c r="A250" s="11" t="n">
        <v>249</v>
      </c>
      <c r="B250" s="12" t="s">
        <v>1501</v>
      </c>
      <c r="C250" s="12" t="s">
        <v>1490</v>
      </c>
      <c r="D250" s="12" t="s">
        <v>1491</v>
      </c>
      <c r="E250" s="12" t="s">
        <v>759</v>
      </c>
      <c r="F250" s="12" t="s">
        <v>1502</v>
      </c>
      <c r="G250" s="12" t="s">
        <v>771</v>
      </c>
      <c r="H250" s="12" t="s">
        <v>1503</v>
      </c>
      <c r="I250" s="12" t="s">
        <v>1504</v>
      </c>
      <c r="J250" s="13" t="s">
        <v>1505</v>
      </c>
      <c r="K250" s="12"/>
      <c r="L250" s="12" t="s">
        <v>1510</v>
      </c>
      <c r="M250" s="12" t="s">
        <v>1511</v>
      </c>
      <c r="N250" s="12" t="s">
        <v>101</v>
      </c>
      <c r="O250" s="12" t="s">
        <v>196</v>
      </c>
      <c r="P250" s="12" t="s">
        <v>103</v>
      </c>
      <c r="Q250" s="12" t="s">
        <v>104</v>
      </c>
      <c r="R250" s="14" t="n">
        <v>7.4</v>
      </c>
      <c r="S250" s="14" t="s">
        <v>197</v>
      </c>
      <c r="T250" s="14"/>
      <c r="U250" s="14" t="n">
        <v>2020</v>
      </c>
      <c r="V250" s="12" t="s">
        <v>157</v>
      </c>
      <c r="W250" s="14"/>
      <c r="X250" s="15" t="str">
        <f aca="false">IF(OR($S250="%",$R250=""),"",$R250*INDEX(Cambi!$J$2:$J$5,MATCH($S250,Cambi!$I$2:$I$5,0))/IF($T250="EUR",1,INDEX(Cambi!$D:$D,MATCH($T250&amp;"|"&amp;$U250,Cambi!$C:$C,0))))</f>
        <v/>
      </c>
      <c r="Y250" s="12" t="s">
        <v>108</v>
      </c>
      <c r="Z250" s="12" t="s">
        <v>109</v>
      </c>
      <c r="AA250" s="12" t="s">
        <v>109</v>
      </c>
      <c r="AB250" s="16" t="s">
        <v>394</v>
      </c>
      <c r="AC250" s="16" t="s">
        <v>1438</v>
      </c>
      <c r="AD250" s="12" t="s">
        <v>112</v>
      </c>
      <c r="AE250" s="12" t="s">
        <v>1508</v>
      </c>
      <c r="AF250" s="12" t="s">
        <v>1509</v>
      </c>
      <c r="AG250" s="12" t="s">
        <v>115</v>
      </c>
      <c r="AH250" s="12" t="s">
        <v>116</v>
      </c>
      <c r="AI250" s="12" t="s">
        <v>117</v>
      </c>
      <c r="AJ250" s="12" t="s">
        <v>266</v>
      </c>
      <c r="AK250" s="12" t="s">
        <v>4</v>
      </c>
    </row>
    <row r="251" customFormat="false" ht="15" hidden="false" customHeight="false" outlineLevel="0" collapsed="false">
      <c r="A251" s="11" t="n">
        <v>250</v>
      </c>
      <c r="B251" s="12" t="s">
        <v>1501</v>
      </c>
      <c r="C251" s="12" t="s">
        <v>1490</v>
      </c>
      <c r="D251" s="12" t="s">
        <v>1491</v>
      </c>
      <c r="E251" s="12" t="s">
        <v>759</v>
      </c>
      <c r="F251" s="12" t="s">
        <v>1502</v>
      </c>
      <c r="G251" s="12" t="s">
        <v>771</v>
      </c>
      <c r="H251" s="12" t="s">
        <v>1503</v>
      </c>
      <c r="I251" s="12" t="s">
        <v>1504</v>
      </c>
      <c r="J251" s="13" t="s">
        <v>1505</v>
      </c>
      <c r="K251" s="12"/>
      <c r="L251" s="12" t="s">
        <v>1506</v>
      </c>
      <c r="M251" s="12" t="s">
        <v>1512</v>
      </c>
      <c r="N251" s="12" t="s">
        <v>101</v>
      </c>
      <c r="O251" s="12" t="s">
        <v>102</v>
      </c>
      <c r="P251" s="12" t="s">
        <v>103</v>
      </c>
      <c r="Q251" s="12" t="s">
        <v>104</v>
      </c>
      <c r="R251" s="14" t="n">
        <v>16.1</v>
      </c>
      <c r="S251" s="14" t="s">
        <v>105</v>
      </c>
      <c r="T251" s="14" t="s">
        <v>106</v>
      </c>
      <c r="U251" s="14" t="n">
        <v>2024</v>
      </c>
      <c r="V251" s="12" t="s">
        <v>157</v>
      </c>
      <c r="W251" s="14"/>
      <c r="X251" s="15" t="n">
        <f aca="false">IF(OR($S251="%",$R251=""),"",$R251*INDEX(Cambi!$J$2:$J$5,MATCH($S251,Cambi!$I$2:$I$5,0))/IF($T251="EUR",1,INDEX(Cambi!$D:$D,MATCH($T251&amp;"|"&amp;$U251,Cambi!$C:$C,0))))</f>
        <v>16.1</v>
      </c>
      <c r="Y251" s="12" t="s">
        <v>108</v>
      </c>
      <c r="Z251" s="12" t="s">
        <v>109</v>
      </c>
      <c r="AA251" s="12" t="s">
        <v>109</v>
      </c>
      <c r="AB251" s="16" t="s">
        <v>394</v>
      </c>
      <c r="AC251" s="16" t="s">
        <v>1438</v>
      </c>
      <c r="AD251" s="12" t="s">
        <v>112</v>
      </c>
      <c r="AE251" s="12" t="s">
        <v>1508</v>
      </c>
      <c r="AF251" s="12" t="s">
        <v>1509</v>
      </c>
      <c r="AG251" s="12" t="s">
        <v>115</v>
      </c>
      <c r="AH251" s="12" t="s">
        <v>116</v>
      </c>
      <c r="AI251" s="12" t="s">
        <v>117</v>
      </c>
      <c r="AJ251" s="12" t="s">
        <v>1513</v>
      </c>
      <c r="AK251" s="12" t="s">
        <v>4</v>
      </c>
    </row>
    <row r="252" customFormat="false" ht="15" hidden="false" customHeight="false" outlineLevel="0" collapsed="false">
      <c r="A252" s="11" t="n">
        <v>251</v>
      </c>
      <c r="B252" s="12" t="s">
        <v>1501</v>
      </c>
      <c r="C252" s="12" t="s">
        <v>1490</v>
      </c>
      <c r="D252" s="12" t="s">
        <v>1491</v>
      </c>
      <c r="E252" s="12" t="s">
        <v>759</v>
      </c>
      <c r="F252" s="12" t="s">
        <v>1502</v>
      </c>
      <c r="G252" s="12" t="s">
        <v>771</v>
      </c>
      <c r="H252" s="12" t="s">
        <v>1503</v>
      </c>
      <c r="I252" s="12" t="s">
        <v>1504</v>
      </c>
      <c r="J252" s="13" t="s">
        <v>1505</v>
      </c>
      <c r="K252" s="12"/>
      <c r="L252" s="12" t="s">
        <v>1510</v>
      </c>
      <c r="M252" s="12" t="s">
        <v>1511</v>
      </c>
      <c r="N252" s="12" t="s">
        <v>101</v>
      </c>
      <c r="O252" s="12" t="s">
        <v>196</v>
      </c>
      <c r="P252" s="12" t="s">
        <v>103</v>
      </c>
      <c r="Q252" s="12" t="s">
        <v>104</v>
      </c>
      <c r="R252" s="14" t="n">
        <v>10.8</v>
      </c>
      <c r="S252" s="14" t="s">
        <v>197</v>
      </c>
      <c r="T252" s="14"/>
      <c r="U252" s="14" t="n">
        <v>2024</v>
      </c>
      <c r="V252" s="12" t="s">
        <v>157</v>
      </c>
      <c r="W252" s="14"/>
      <c r="X252" s="15" t="str">
        <f aca="false">IF(OR($S252="%",$R252=""),"",$R252*INDEX(Cambi!$J$2:$J$5,MATCH($S252,Cambi!$I$2:$I$5,0))/IF($T252="EUR",1,INDEX(Cambi!$D:$D,MATCH($T252&amp;"|"&amp;$U252,Cambi!$C:$C,0))))</f>
        <v/>
      </c>
      <c r="Y252" s="12" t="s">
        <v>108</v>
      </c>
      <c r="Z252" s="12" t="s">
        <v>109</v>
      </c>
      <c r="AA252" s="12" t="s">
        <v>109</v>
      </c>
      <c r="AB252" s="16" t="s">
        <v>394</v>
      </c>
      <c r="AC252" s="16" t="s">
        <v>1438</v>
      </c>
      <c r="AD252" s="12" t="s">
        <v>112</v>
      </c>
      <c r="AE252" s="12" t="s">
        <v>1508</v>
      </c>
      <c r="AF252" s="12" t="s">
        <v>1509</v>
      </c>
      <c r="AG252" s="12" t="s">
        <v>115</v>
      </c>
      <c r="AH252" s="12" t="s">
        <v>116</v>
      </c>
      <c r="AI252" s="12" t="s">
        <v>117</v>
      </c>
      <c r="AJ252" s="12" t="s">
        <v>266</v>
      </c>
      <c r="AK252" s="12" t="s">
        <v>4</v>
      </c>
    </row>
    <row r="253" customFormat="false" ht="15" hidden="false" customHeight="false" outlineLevel="0" collapsed="false">
      <c r="A253" s="11" t="n">
        <v>252</v>
      </c>
      <c r="B253" s="12" t="s">
        <v>1514</v>
      </c>
      <c r="C253" s="12" t="s">
        <v>1490</v>
      </c>
      <c r="D253" s="12" t="s">
        <v>1491</v>
      </c>
      <c r="E253" s="12" t="s">
        <v>759</v>
      </c>
      <c r="F253" s="12" t="s">
        <v>1515</v>
      </c>
      <c r="G253" s="12" t="s">
        <v>1516</v>
      </c>
      <c r="H253" s="12" t="s">
        <v>1517</v>
      </c>
      <c r="I253" s="12" t="s">
        <v>1518</v>
      </c>
      <c r="J253" s="13" t="s">
        <v>1519</v>
      </c>
      <c r="K253" s="12"/>
      <c r="L253" s="12" t="s">
        <v>1520</v>
      </c>
      <c r="M253" s="12" t="s">
        <v>1521</v>
      </c>
      <c r="N253" s="12" t="s">
        <v>956</v>
      </c>
      <c r="O253" s="12" t="s">
        <v>102</v>
      </c>
      <c r="P253" s="12" t="s">
        <v>103</v>
      </c>
      <c r="Q253" s="12" t="s">
        <v>104</v>
      </c>
      <c r="R253" s="14" t="n">
        <v>67</v>
      </c>
      <c r="S253" s="14" t="s">
        <v>105</v>
      </c>
      <c r="T253" s="14" t="s">
        <v>106</v>
      </c>
      <c r="U253" s="14" t="n">
        <v>2017</v>
      </c>
      <c r="V253" s="12" t="s">
        <v>157</v>
      </c>
      <c r="W253" s="14" t="s">
        <v>1522</v>
      </c>
      <c r="X253" s="15" t="n">
        <f aca="false">IF(OR($S253="%",$R253=""),"",$R253*INDEX(Cambi!$J$2:$J$5,MATCH($S253,Cambi!$I$2:$I$5,0))/IF($T253="EUR",1,INDEX(Cambi!$D:$D,MATCH($T253&amp;"|"&amp;$U253,Cambi!$C:$C,0))))</f>
        <v>67</v>
      </c>
      <c r="Y253" s="12" t="s">
        <v>109</v>
      </c>
      <c r="Z253" s="12" t="s">
        <v>285</v>
      </c>
      <c r="AA253" s="12" t="s">
        <v>109</v>
      </c>
      <c r="AB253" s="12" t="s">
        <v>679</v>
      </c>
      <c r="AC253" s="12" t="s">
        <v>395</v>
      </c>
      <c r="AD253" s="12" t="s">
        <v>166</v>
      </c>
      <c r="AE253" s="12" t="s">
        <v>1523</v>
      </c>
      <c r="AF253" s="12" t="s">
        <v>1524</v>
      </c>
      <c r="AG253" s="12" t="s">
        <v>115</v>
      </c>
      <c r="AH253" s="12" t="s">
        <v>116</v>
      </c>
      <c r="AI253" s="12" t="s">
        <v>117</v>
      </c>
      <c r="AJ253" s="12" t="s">
        <v>1525</v>
      </c>
      <c r="AK253" s="12" t="s">
        <v>4</v>
      </c>
    </row>
    <row r="254" customFormat="false" ht="15" hidden="false" customHeight="false" outlineLevel="0" collapsed="false">
      <c r="A254" s="11" t="n">
        <v>253</v>
      </c>
      <c r="B254" s="12" t="s">
        <v>1526</v>
      </c>
      <c r="C254" s="12" t="s">
        <v>1490</v>
      </c>
      <c r="D254" s="12" t="s">
        <v>1491</v>
      </c>
      <c r="E254" s="12" t="s">
        <v>759</v>
      </c>
      <c r="F254" s="12" t="s">
        <v>1527</v>
      </c>
      <c r="G254" s="12" t="s">
        <v>771</v>
      </c>
      <c r="H254" s="12" t="s">
        <v>1528</v>
      </c>
      <c r="I254" s="12" t="s">
        <v>1529</v>
      </c>
      <c r="J254" s="13" t="s">
        <v>1530</v>
      </c>
      <c r="K254" s="12"/>
      <c r="L254" s="12" t="s">
        <v>1531</v>
      </c>
      <c r="M254" s="12" t="s">
        <v>1532</v>
      </c>
      <c r="N254" s="12" t="s">
        <v>101</v>
      </c>
      <c r="O254" s="12" t="s">
        <v>102</v>
      </c>
      <c r="P254" s="12" t="s">
        <v>103</v>
      </c>
      <c r="Q254" s="12" t="s">
        <v>104</v>
      </c>
      <c r="R254" s="14" t="n">
        <v>18</v>
      </c>
      <c r="S254" s="14" t="s">
        <v>105</v>
      </c>
      <c r="T254" s="14" t="s">
        <v>106</v>
      </c>
      <c r="U254" s="14" t="n">
        <v>2026</v>
      </c>
      <c r="V254" s="12" t="s">
        <v>198</v>
      </c>
      <c r="W254" s="14"/>
      <c r="X254" s="15" t="n">
        <f aca="false">IF(OR($S254="%",$R254=""),"",$R254*INDEX(Cambi!$J$2:$J$5,MATCH($S254,Cambi!$I$2:$I$5,0))/IF($T254="EUR",1,INDEX(Cambi!$D:$D,MATCH($T254&amp;"|"&amp;$U254,Cambi!$C:$C,0))))</f>
        <v>18</v>
      </c>
      <c r="Y254" s="12" t="s">
        <v>108</v>
      </c>
      <c r="Z254" s="12" t="s">
        <v>109</v>
      </c>
      <c r="AA254" s="12" t="s">
        <v>109</v>
      </c>
      <c r="AB254" s="16" t="s">
        <v>394</v>
      </c>
      <c r="AC254" s="16" t="s">
        <v>1438</v>
      </c>
      <c r="AD254" s="12" t="s">
        <v>112</v>
      </c>
      <c r="AE254" s="12" t="s">
        <v>1533</v>
      </c>
      <c r="AF254" s="12" t="s">
        <v>1534</v>
      </c>
      <c r="AG254" s="12" t="s">
        <v>115</v>
      </c>
      <c r="AH254" s="12" t="s">
        <v>116</v>
      </c>
      <c r="AI254" s="12" t="s">
        <v>117</v>
      </c>
      <c r="AJ254" s="12" t="s">
        <v>1535</v>
      </c>
      <c r="AK254" s="12" t="s">
        <v>4</v>
      </c>
    </row>
    <row r="255" customFormat="false" ht="15" hidden="false" customHeight="false" outlineLevel="0" collapsed="false">
      <c r="A255" s="11" t="n">
        <v>254</v>
      </c>
      <c r="B255" s="12" t="s">
        <v>1526</v>
      </c>
      <c r="C255" s="12" t="s">
        <v>1490</v>
      </c>
      <c r="D255" s="12" t="s">
        <v>1491</v>
      </c>
      <c r="E255" s="12" t="s">
        <v>759</v>
      </c>
      <c r="F255" s="12" t="s">
        <v>1527</v>
      </c>
      <c r="G255" s="12" t="s">
        <v>771</v>
      </c>
      <c r="H255" s="12" t="s">
        <v>1528</v>
      </c>
      <c r="I255" s="12" t="s">
        <v>1529</v>
      </c>
      <c r="J255" s="13" t="s">
        <v>1530</v>
      </c>
      <c r="K255" s="12"/>
      <c r="L255" s="12" t="s">
        <v>1536</v>
      </c>
      <c r="M255" s="12" t="s">
        <v>1537</v>
      </c>
      <c r="N255" s="12" t="s">
        <v>101</v>
      </c>
      <c r="O255" s="12" t="s">
        <v>102</v>
      </c>
      <c r="P255" s="12" t="s">
        <v>103</v>
      </c>
      <c r="Q255" s="12" t="s">
        <v>104</v>
      </c>
      <c r="R255" s="14" t="n">
        <v>14</v>
      </c>
      <c r="S255" s="14" t="s">
        <v>105</v>
      </c>
      <c r="T255" s="14" t="s">
        <v>106</v>
      </c>
      <c r="U255" s="14" t="n">
        <v>2026</v>
      </c>
      <c r="V255" s="12" t="s">
        <v>198</v>
      </c>
      <c r="W255" s="14"/>
      <c r="X255" s="15" t="n">
        <f aca="false">IF(OR($S255="%",$R255=""),"",$R255*INDEX(Cambi!$J$2:$J$5,MATCH($S255,Cambi!$I$2:$I$5,0))/IF($T255="EUR",1,INDEX(Cambi!$D:$D,MATCH($T255&amp;"|"&amp;$U255,Cambi!$C:$C,0))))</f>
        <v>14</v>
      </c>
      <c r="Y255" s="12" t="s">
        <v>108</v>
      </c>
      <c r="Z255" s="12" t="s">
        <v>109</v>
      </c>
      <c r="AA255" s="12" t="s">
        <v>109</v>
      </c>
      <c r="AB255" s="16" t="s">
        <v>394</v>
      </c>
      <c r="AC255" s="16" t="s">
        <v>1438</v>
      </c>
      <c r="AD255" s="12" t="s">
        <v>112</v>
      </c>
      <c r="AE255" s="12" t="s">
        <v>1533</v>
      </c>
      <c r="AF255" s="12" t="s">
        <v>1538</v>
      </c>
      <c r="AG255" s="12" t="s">
        <v>115</v>
      </c>
      <c r="AH255" s="12" t="s">
        <v>116</v>
      </c>
      <c r="AI255" s="12" t="s">
        <v>117</v>
      </c>
      <c r="AJ255" s="12" t="s">
        <v>1539</v>
      </c>
      <c r="AK255" s="12" t="s">
        <v>4</v>
      </c>
    </row>
    <row r="256" customFormat="false" ht="15" hidden="false" customHeight="false" outlineLevel="0" collapsed="false">
      <c r="A256" s="11" t="n">
        <v>255</v>
      </c>
      <c r="B256" s="12" t="s">
        <v>1540</v>
      </c>
      <c r="C256" s="12" t="s">
        <v>1490</v>
      </c>
      <c r="D256" s="12" t="s">
        <v>1491</v>
      </c>
      <c r="E256" s="12" t="s">
        <v>759</v>
      </c>
      <c r="F256" s="12" t="s">
        <v>1541</v>
      </c>
      <c r="G256" s="12" t="s">
        <v>771</v>
      </c>
      <c r="H256" s="12" t="s">
        <v>1542</v>
      </c>
      <c r="I256" s="12" t="s">
        <v>330</v>
      </c>
      <c r="J256" s="13" t="s">
        <v>1543</v>
      </c>
      <c r="K256" s="12"/>
      <c r="L256" s="12" t="s">
        <v>1544</v>
      </c>
      <c r="M256" s="12" t="s">
        <v>1545</v>
      </c>
      <c r="N256" s="12" t="s">
        <v>956</v>
      </c>
      <c r="O256" s="12" t="s">
        <v>102</v>
      </c>
      <c r="P256" s="12" t="s">
        <v>103</v>
      </c>
      <c r="Q256" s="12" t="s">
        <v>104</v>
      </c>
      <c r="R256" s="14" t="n">
        <v>13.3</v>
      </c>
      <c r="S256" s="14" t="s">
        <v>105</v>
      </c>
      <c r="T256" s="14" t="s">
        <v>106</v>
      </c>
      <c r="U256" s="14" t="n">
        <v>2017</v>
      </c>
      <c r="V256" s="12" t="s">
        <v>157</v>
      </c>
      <c r="W256" s="14"/>
      <c r="X256" s="15" t="n">
        <f aca="false">IF(OR($S256="%",$R256=""),"",$R256*INDEX(Cambi!$J$2:$J$5,MATCH($S256,Cambi!$I$2:$I$5,0))/IF($T256="EUR",1,INDEX(Cambi!$D:$D,MATCH($T256&amp;"|"&amp;$U256,Cambi!$C:$C,0))))</f>
        <v>13.3</v>
      </c>
      <c r="Y256" s="12" t="s">
        <v>109</v>
      </c>
      <c r="Z256" s="12" t="s">
        <v>285</v>
      </c>
      <c r="AA256" s="12" t="s">
        <v>1546</v>
      </c>
      <c r="AB256" s="16" t="s">
        <v>679</v>
      </c>
      <c r="AC256" s="16" t="s">
        <v>1547</v>
      </c>
      <c r="AD256" s="12" t="s">
        <v>166</v>
      </c>
      <c r="AE256" s="12" t="s">
        <v>1548</v>
      </c>
      <c r="AF256" s="12" t="s">
        <v>1549</v>
      </c>
      <c r="AG256" s="12" t="s">
        <v>498</v>
      </c>
      <c r="AH256" s="12" t="s">
        <v>116</v>
      </c>
      <c r="AI256" s="12" t="s">
        <v>117</v>
      </c>
      <c r="AJ256" s="12" t="s">
        <v>1550</v>
      </c>
      <c r="AK256" s="12" t="s">
        <v>4</v>
      </c>
    </row>
    <row r="257" customFormat="false" ht="15" hidden="false" customHeight="false" outlineLevel="0" collapsed="false">
      <c r="A257" s="11" t="n">
        <v>256</v>
      </c>
      <c r="B257" s="12" t="s">
        <v>1540</v>
      </c>
      <c r="C257" s="12" t="s">
        <v>1490</v>
      </c>
      <c r="D257" s="12" t="s">
        <v>1491</v>
      </c>
      <c r="E257" s="12" t="s">
        <v>759</v>
      </c>
      <c r="F257" s="12" t="s">
        <v>1541</v>
      </c>
      <c r="G257" s="12" t="s">
        <v>771</v>
      </c>
      <c r="H257" s="12" t="s">
        <v>1542</v>
      </c>
      <c r="I257" s="12" t="s">
        <v>330</v>
      </c>
      <c r="J257" s="13" t="s">
        <v>1543</v>
      </c>
      <c r="K257" s="12"/>
      <c r="L257" s="12" t="s">
        <v>1551</v>
      </c>
      <c r="M257" s="12" t="s">
        <v>1552</v>
      </c>
      <c r="N257" s="12" t="s">
        <v>956</v>
      </c>
      <c r="O257" s="12" t="s">
        <v>102</v>
      </c>
      <c r="P257" s="12" t="s">
        <v>103</v>
      </c>
      <c r="Q257" s="12" t="s">
        <v>104</v>
      </c>
      <c r="R257" s="14" t="n">
        <v>132.4</v>
      </c>
      <c r="S257" s="14" t="s">
        <v>105</v>
      </c>
      <c r="T257" s="14" t="s">
        <v>106</v>
      </c>
      <c r="U257" s="14" t="n">
        <v>2023</v>
      </c>
      <c r="V257" s="12" t="s">
        <v>157</v>
      </c>
      <c r="W257" s="14"/>
      <c r="X257" s="15" t="n">
        <f aca="false">IF(OR($S257="%",$R257=""),"",$R257*INDEX(Cambi!$J$2:$J$5,MATCH($S257,Cambi!$I$2:$I$5,0))/IF($T257="EUR",1,INDEX(Cambi!$D:$D,MATCH($T257&amp;"|"&amp;$U257,Cambi!$C:$C,0))))</f>
        <v>132.4</v>
      </c>
      <c r="Y257" s="12" t="s">
        <v>109</v>
      </c>
      <c r="Z257" s="12" t="s">
        <v>285</v>
      </c>
      <c r="AA257" s="12" t="s">
        <v>1546</v>
      </c>
      <c r="AB257" s="16" t="s">
        <v>679</v>
      </c>
      <c r="AC257" s="16" t="s">
        <v>1547</v>
      </c>
      <c r="AD257" s="12" t="s">
        <v>166</v>
      </c>
      <c r="AE257" s="12" t="s">
        <v>1548</v>
      </c>
      <c r="AF257" s="12" t="s">
        <v>1553</v>
      </c>
      <c r="AG257" s="12" t="s">
        <v>498</v>
      </c>
      <c r="AH257" s="12" t="s">
        <v>116</v>
      </c>
      <c r="AI257" s="12" t="s">
        <v>117</v>
      </c>
      <c r="AJ257" s="12" t="s">
        <v>1554</v>
      </c>
      <c r="AK257" s="12" t="s">
        <v>4</v>
      </c>
    </row>
    <row r="258" customFormat="false" ht="15" hidden="false" customHeight="false" outlineLevel="0" collapsed="false">
      <c r="A258" s="11" t="n">
        <v>257</v>
      </c>
      <c r="B258" s="12" t="s">
        <v>1555</v>
      </c>
      <c r="C258" s="12" t="s">
        <v>1556</v>
      </c>
      <c r="D258" s="12" t="s">
        <v>1557</v>
      </c>
      <c r="E258" s="12" t="s">
        <v>759</v>
      </c>
      <c r="F258" s="12" t="s">
        <v>1558</v>
      </c>
      <c r="G258" s="12" t="s">
        <v>1516</v>
      </c>
      <c r="H258" s="12" t="s">
        <v>1559</v>
      </c>
      <c r="I258" s="12" t="s">
        <v>1560</v>
      </c>
      <c r="J258" s="13" t="s">
        <v>1561</v>
      </c>
      <c r="K258" s="12" t="s">
        <v>1377</v>
      </c>
      <c r="L258" s="12" t="s">
        <v>1562</v>
      </c>
      <c r="M258" s="12" t="s">
        <v>1563</v>
      </c>
      <c r="N258" s="12" t="s">
        <v>956</v>
      </c>
      <c r="O258" s="12" t="s">
        <v>102</v>
      </c>
      <c r="P258" s="12" t="s">
        <v>103</v>
      </c>
      <c r="Q258" s="12" t="s">
        <v>104</v>
      </c>
      <c r="R258" s="14" t="n">
        <v>1</v>
      </c>
      <c r="S258" s="14" t="s">
        <v>129</v>
      </c>
      <c r="T258" s="14" t="s">
        <v>106</v>
      </c>
      <c r="U258" s="14" t="n">
        <v>2019</v>
      </c>
      <c r="V258" s="12" t="s">
        <v>157</v>
      </c>
      <c r="W258" s="14"/>
      <c r="X258" s="15" t="n">
        <f aca="false">IF(OR($S258="%",$R258=""),"",$R258*INDEX(Cambi!$J$2:$J$5,MATCH($S258,Cambi!$I$2:$I$5,0))/IF($T258="EUR",1,INDEX(Cambi!$D:$D,MATCH($T258&amp;"|"&amp;$U258,Cambi!$C:$C,0))))</f>
        <v>1000</v>
      </c>
      <c r="Y258" s="12" t="s">
        <v>109</v>
      </c>
      <c r="Z258" s="12" t="s">
        <v>285</v>
      </c>
      <c r="AA258" s="12" t="s">
        <v>109</v>
      </c>
      <c r="AB258" s="16" t="s">
        <v>679</v>
      </c>
      <c r="AC258" s="16" t="s">
        <v>1564</v>
      </c>
      <c r="AD258" s="12" t="s">
        <v>112</v>
      </c>
      <c r="AE258" s="12" t="s">
        <v>282</v>
      </c>
      <c r="AF258" s="12" t="s">
        <v>1565</v>
      </c>
      <c r="AG258" s="12" t="s">
        <v>284</v>
      </c>
      <c r="AH258" s="12" t="s">
        <v>116</v>
      </c>
      <c r="AI258" s="12" t="s">
        <v>285</v>
      </c>
      <c r="AJ258" s="12" t="s">
        <v>1566</v>
      </c>
      <c r="AK258" s="12" t="s">
        <v>4</v>
      </c>
    </row>
    <row r="259" customFormat="false" ht="15" hidden="false" customHeight="false" outlineLevel="0" collapsed="false">
      <c r="A259" s="11" t="n">
        <v>258</v>
      </c>
      <c r="B259" s="12" t="s">
        <v>1567</v>
      </c>
      <c r="C259" s="12" t="s">
        <v>1556</v>
      </c>
      <c r="D259" s="12" t="s">
        <v>1557</v>
      </c>
      <c r="E259" s="12" t="s">
        <v>759</v>
      </c>
      <c r="F259" s="12" t="s">
        <v>1568</v>
      </c>
      <c r="G259" s="12" t="s">
        <v>345</v>
      </c>
      <c r="H259" s="12" t="s">
        <v>1569</v>
      </c>
      <c r="I259" s="12" t="s">
        <v>1570</v>
      </c>
      <c r="J259" s="13" t="s">
        <v>1571</v>
      </c>
      <c r="K259" s="12" t="s">
        <v>1377</v>
      </c>
      <c r="L259" s="12" t="s">
        <v>1572</v>
      </c>
      <c r="M259" s="12" t="s">
        <v>1573</v>
      </c>
      <c r="N259" s="12" t="s">
        <v>352</v>
      </c>
      <c r="O259" s="12" t="s">
        <v>102</v>
      </c>
      <c r="P259" s="12" t="s">
        <v>103</v>
      </c>
      <c r="Q259" s="12" t="s">
        <v>104</v>
      </c>
      <c r="R259" s="14" t="n">
        <v>4.4</v>
      </c>
      <c r="S259" s="14" t="s">
        <v>129</v>
      </c>
      <c r="T259" s="14" t="s">
        <v>106</v>
      </c>
      <c r="U259" s="14" t="n">
        <v>2021</v>
      </c>
      <c r="V259" s="12" t="s">
        <v>157</v>
      </c>
      <c r="W259" s="14"/>
      <c r="X259" s="15" t="n">
        <f aca="false">IF(OR($S259="%",$R259=""),"",$R259*INDEX(Cambi!$J$2:$J$5,MATCH($S259,Cambi!$I$2:$I$5,0))/IF($T259="EUR",1,INDEX(Cambi!$D:$D,MATCH($T259&amp;"|"&amp;$U259,Cambi!$C:$C,0))))</f>
        <v>4400</v>
      </c>
      <c r="Y259" s="12" t="s">
        <v>109</v>
      </c>
      <c r="Z259" s="12" t="s">
        <v>109</v>
      </c>
      <c r="AA259" s="12" t="s">
        <v>109</v>
      </c>
      <c r="AB259" s="16" t="s">
        <v>110</v>
      </c>
      <c r="AC259" s="16" t="s">
        <v>1574</v>
      </c>
      <c r="AD259" s="12" t="s">
        <v>112</v>
      </c>
      <c r="AE259" s="12" t="s">
        <v>282</v>
      </c>
      <c r="AF259" s="12" t="s">
        <v>1575</v>
      </c>
      <c r="AG259" s="12" t="s">
        <v>284</v>
      </c>
      <c r="AH259" s="12" t="s">
        <v>116</v>
      </c>
      <c r="AI259" s="12" t="s">
        <v>285</v>
      </c>
      <c r="AJ259" s="12" t="s">
        <v>1576</v>
      </c>
      <c r="AK259" s="12" t="s">
        <v>4</v>
      </c>
    </row>
    <row r="260" customFormat="false" ht="15" hidden="false" customHeight="false" outlineLevel="0" collapsed="false">
      <c r="A260" s="11" t="n">
        <v>259</v>
      </c>
      <c r="B260" s="12" t="s">
        <v>1577</v>
      </c>
      <c r="C260" s="12" t="s">
        <v>1556</v>
      </c>
      <c r="D260" s="12" t="s">
        <v>1557</v>
      </c>
      <c r="E260" s="12" t="s">
        <v>759</v>
      </c>
      <c r="F260" s="12" t="s">
        <v>1578</v>
      </c>
      <c r="G260" s="12" t="s">
        <v>771</v>
      </c>
      <c r="H260" s="12" t="s">
        <v>1579</v>
      </c>
      <c r="I260" s="12" t="s">
        <v>1580</v>
      </c>
      <c r="J260" s="13" t="s">
        <v>1581</v>
      </c>
      <c r="K260" s="12"/>
      <c r="L260" s="12" t="s">
        <v>1582</v>
      </c>
      <c r="M260" s="12" t="s">
        <v>1583</v>
      </c>
      <c r="N260" s="12" t="s">
        <v>101</v>
      </c>
      <c r="O260" s="12" t="s">
        <v>102</v>
      </c>
      <c r="P260" s="12" t="s">
        <v>103</v>
      </c>
      <c r="Q260" s="12" t="s">
        <v>104</v>
      </c>
      <c r="R260" s="14" t="n">
        <v>2.5</v>
      </c>
      <c r="S260" s="14" t="s">
        <v>105</v>
      </c>
      <c r="T260" s="14" t="s">
        <v>106</v>
      </c>
      <c r="U260" s="14" t="n">
        <v>2025</v>
      </c>
      <c r="V260" s="12" t="s">
        <v>157</v>
      </c>
      <c r="W260" s="14"/>
      <c r="X260" s="15" t="n">
        <f aca="false">IF(OR($S260="%",$R260=""),"",$R260*INDEX(Cambi!$J$2:$J$5,MATCH($S260,Cambi!$I$2:$I$5,0))/IF($T260="EUR",1,INDEX(Cambi!$D:$D,MATCH($T260&amp;"|"&amp;$U260,Cambi!$C:$C,0))))</f>
        <v>2.5</v>
      </c>
      <c r="Y260" s="12" t="s">
        <v>108</v>
      </c>
      <c r="Z260" s="12" t="s">
        <v>109</v>
      </c>
      <c r="AA260" s="12" t="s">
        <v>109</v>
      </c>
      <c r="AB260" s="16" t="s">
        <v>394</v>
      </c>
      <c r="AC260" s="16" t="s">
        <v>1438</v>
      </c>
      <c r="AD260" s="12" t="s">
        <v>112</v>
      </c>
      <c r="AE260" s="12" t="s">
        <v>1584</v>
      </c>
      <c r="AF260" s="12" t="s">
        <v>1585</v>
      </c>
      <c r="AG260" s="12" t="s">
        <v>115</v>
      </c>
      <c r="AH260" s="12" t="s">
        <v>116</v>
      </c>
      <c r="AI260" s="12" t="s">
        <v>117</v>
      </c>
      <c r="AJ260" s="12" t="s">
        <v>1586</v>
      </c>
      <c r="AK260" s="12" t="s">
        <v>4</v>
      </c>
    </row>
    <row r="261" customFormat="false" ht="15" hidden="false" customHeight="false" outlineLevel="0" collapsed="false">
      <c r="A261" s="11" t="n">
        <v>260</v>
      </c>
      <c r="B261" s="12" t="s">
        <v>1577</v>
      </c>
      <c r="C261" s="12" t="s">
        <v>1556</v>
      </c>
      <c r="D261" s="12" t="s">
        <v>1557</v>
      </c>
      <c r="E261" s="12" t="s">
        <v>759</v>
      </c>
      <c r="F261" s="12" t="s">
        <v>1578</v>
      </c>
      <c r="G261" s="12" t="s">
        <v>771</v>
      </c>
      <c r="H261" s="12" t="s">
        <v>1579</v>
      </c>
      <c r="I261" s="12" t="s">
        <v>1580</v>
      </c>
      <c r="J261" s="13" t="s">
        <v>1581</v>
      </c>
      <c r="K261" s="12"/>
      <c r="L261" s="12" t="s">
        <v>1587</v>
      </c>
      <c r="M261" s="12" t="s">
        <v>1588</v>
      </c>
      <c r="N261" s="12" t="s">
        <v>101</v>
      </c>
      <c r="O261" s="12" t="s">
        <v>102</v>
      </c>
      <c r="P261" s="12" t="s">
        <v>103</v>
      </c>
      <c r="Q261" s="12" t="s">
        <v>104</v>
      </c>
      <c r="R261" s="14" t="n">
        <v>4.7</v>
      </c>
      <c r="S261" s="14" t="s">
        <v>105</v>
      </c>
      <c r="T261" s="14" t="s">
        <v>106</v>
      </c>
      <c r="U261" s="14" t="n">
        <v>2026</v>
      </c>
      <c r="V261" s="12" t="s">
        <v>198</v>
      </c>
      <c r="W261" s="14"/>
      <c r="X261" s="15" t="n">
        <f aca="false">IF(OR($S261="%",$R261=""),"",$R261*INDEX(Cambi!$J$2:$J$5,MATCH($S261,Cambi!$I$2:$I$5,0))/IF($T261="EUR",1,INDEX(Cambi!$D:$D,MATCH($T261&amp;"|"&amp;$U261,Cambi!$C:$C,0))))</f>
        <v>4.7</v>
      </c>
      <c r="Y261" s="12" t="s">
        <v>108</v>
      </c>
      <c r="Z261" s="12" t="s">
        <v>109</v>
      </c>
      <c r="AA261" s="12" t="s">
        <v>109</v>
      </c>
      <c r="AB261" s="16" t="s">
        <v>394</v>
      </c>
      <c r="AC261" s="16" t="s">
        <v>1438</v>
      </c>
      <c r="AD261" s="12" t="s">
        <v>112</v>
      </c>
      <c r="AE261" s="12" t="s">
        <v>1584</v>
      </c>
      <c r="AF261" s="12" t="s">
        <v>1589</v>
      </c>
      <c r="AG261" s="12" t="s">
        <v>115</v>
      </c>
      <c r="AH261" s="12" t="s">
        <v>116</v>
      </c>
      <c r="AI261" s="12" t="s">
        <v>117</v>
      </c>
      <c r="AJ261" s="12" t="s">
        <v>1590</v>
      </c>
      <c r="AK261" s="12" t="s">
        <v>4</v>
      </c>
    </row>
    <row r="262" customFormat="false" ht="15" hidden="false" customHeight="false" outlineLevel="0" collapsed="false">
      <c r="A262" s="11" t="n">
        <v>261</v>
      </c>
      <c r="B262" s="12" t="s">
        <v>1591</v>
      </c>
      <c r="C262" s="12" t="s">
        <v>1556</v>
      </c>
      <c r="D262" s="12" t="s">
        <v>1557</v>
      </c>
      <c r="E262" s="12" t="s">
        <v>759</v>
      </c>
      <c r="F262" s="12" t="s">
        <v>845</v>
      </c>
      <c r="G262" s="12" t="s">
        <v>830</v>
      </c>
      <c r="H262" s="12" t="s">
        <v>1592</v>
      </c>
      <c r="I262" s="12" t="s">
        <v>1593</v>
      </c>
      <c r="J262" s="13" t="s">
        <v>1594</v>
      </c>
      <c r="K262" s="12"/>
      <c r="L262" s="12" t="s">
        <v>1595</v>
      </c>
      <c r="M262" s="12" t="s">
        <v>1596</v>
      </c>
      <c r="N262" s="12" t="s">
        <v>352</v>
      </c>
      <c r="O262" s="12" t="s">
        <v>102</v>
      </c>
      <c r="P262" s="12" t="s">
        <v>103</v>
      </c>
      <c r="Q262" s="12" t="s">
        <v>104</v>
      </c>
      <c r="R262" s="14" t="n">
        <v>325.78</v>
      </c>
      <c r="S262" s="14" t="s">
        <v>105</v>
      </c>
      <c r="T262" s="14" t="s">
        <v>653</v>
      </c>
      <c r="U262" s="14" t="n">
        <v>2024</v>
      </c>
      <c r="V262" s="12" t="s">
        <v>157</v>
      </c>
      <c r="W262" s="14" t="s">
        <v>1597</v>
      </c>
      <c r="X262" s="15" t="n">
        <f aca="false">IF(OR($S262="%",$R262=""),"",$R262*INDEX(Cambi!$J$2:$J$5,MATCH($S262,Cambi!$I$2:$I$5,0))/IF($T262="EUR",1,INDEX(Cambi!$D:$D,MATCH($T262&amp;"|"&amp;$U262,Cambi!$C:$C,0))))</f>
        <v>300.979305247598</v>
      </c>
      <c r="Y262" s="12" t="s">
        <v>109</v>
      </c>
      <c r="Z262" s="12" t="s">
        <v>109</v>
      </c>
      <c r="AA262" s="12" t="s">
        <v>109</v>
      </c>
      <c r="AB262" s="16" t="s">
        <v>110</v>
      </c>
      <c r="AC262" s="16" t="s">
        <v>836</v>
      </c>
      <c r="AD262" s="12" t="s">
        <v>112</v>
      </c>
      <c r="AE262" s="12" t="s">
        <v>282</v>
      </c>
      <c r="AF262" s="12" t="s">
        <v>1598</v>
      </c>
      <c r="AG262" s="12" t="s">
        <v>284</v>
      </c>
      <c r="AH262" s="12" t="s">
        <v>838</v>
      </c>
      <c r="AI262" s="12" t="s">
        <v>117</v>
      </c>
      <c r="AJ262" s="12" t="s">
        <v>839</v>
      </c>
      <c r="AK262" s="12" t="s">
        <v>4</v>
      </c>
    </row>
    <row r="263" customFormat="false" ht="15" hidden="false" customHeight="false" outlineLevel="0" collapsed="false">
      <c r="A263" s="11" t="n">
        <v>262</v>
      </c>
      <c r="B263" s="12" t="s">
        <v>1591</v>
      </c>
      <c r="C263" s="12" t="s">
        <v>1556</v>
      </c>
      <c r="D263" s="12" t="s">
        <v>1557</v>
      </c>
      <c r="E263" s="12" t="s">
        <v>759</v>
      </c>
      <c r="F263" s="12" t="s">
        <v>845</v>
      </c>
      <c r="G263" s="12" t="s">
        <v>830</v>
      </c>
      <c r="H263" s="12" t="s">
        <v>1592</v>
      </c>
      <c r="I263" s="12" t="s">
        <v>1593</v>
      </c>
      <c r="J263" s="13" t="s">
        <v>1594</v>
      </c>
      <c r="K263" s="12"/>
      <c r="L263" s="12" t="s">
        <v>1595</v>
      </c>
      <c r="M263" s="12" t="s">
        <v>1599</v>
      </c>
      <c r="N263" s="12" t="s">
        <v>352</v>
      </c>
      <c r="O263" s="12" t="s">
        <v>102</v>
      </c>
      <c r="P263" s="12" t="s">
        <v>103</v>
      </c>
      <c r="Q263" s="12" t="s">
        <v>104</v>
      </c>
      <c r="R263" s="14" t="n">
        <v>455.89</v>
      </c>
      <c r="S263" s="14" t="s">
        <v>105</v>
      </c>
      <c r="T263" s="14" t="s">
        <v>653</v>
      </c>
      <c r="U263" s="14" t="n">
        <v>2029</v>
      </c>
      <c r="V263" s="12" t="s">
        <v>107</v>
      </c>
      <c r="W263" s="14" t="s">
        <v>1597</v>
      </c>
      <c r="X263" s="15" t="n">
        <f aca="false">IF(OR($S263="%",$R263=""),"",$R263*INDEX(Cambi!$J$2:$J$5,MATCH($S263,Cambi!$I$2:$I$5,0))/IF($T263="EUR",1,INDEX(Cambi!$D:$D,MATCH($T263&amp;"|"&amp;$U263,Cambi!$C:$C,0))))</f>
        <v>403.442477876106</v>
      </c>
      <c r="Y263" s="12" t="s">
        <v>109</v>
      </c>
      <c r="Z263" s="12" t="s">
        <v>109</v>
      </c>
      <c r="AA263" s="12" t="s">
        <v>109</v>
      </c>
      <c r="AB263" s="16" t="s">
        <v>110</v>
      </c>
      <c r="AC263" s="16" t="s">
        <v>836</v>
      </c>
      <c r="AD263" s="12" t="s">
        <v>112</v>
      </c>
      <c r="AE263" s="12" t="s">
        <v>282</v>
      </c>
      <c r="AF263" s="12" t="s">
        <v>1600</v>
      </c>
      <c r="AG263" s="12" t="s">
        <v>284</v>
      </c>
      <c r="AH263" s="12" t="s">
        <v>838</v>
      </c>
      <c r="AI263" s="12" t="s">
        <v>117</v>
      </c>
      <c r="AJ263" s="12" t="s">
        <v>1601</v>
      </c>
      <c r="AK263" s="12" t="s">
        <v>4</v>
      </c>
    </row>
    <row r="264" customFormat="false" ht="15" hidden="false" customHeight="false" outlineLevel="0" collapsed="false">
      <c r="A264" s="11" t="n">
        <v>263</v>
      </c>
      <c r="B264" s="12" t="s">
        <v>1602</v>
      </c>
      <c r="C264" s="12" t="s">
        <v>1556</v>
      </c>
      <c r="D264" s="12" t="s">
        <v>1557</v>
      </c>
      <c r="E264" s="12" t="s">
        <v>759</v>
      </c>
      <c r="F264" s="12" t="s">
        <v>845</v>
      </c>
      <c r="G264" s="12" t="s">
        <v>830</v>
      </c>
      <c r="H264" s="12" t="s">
        <v>1603</v>
      </c>
      <c r="I264" s="12" t="s">
        <v>1604</v>
      </c>
      <c r="J264" s="13" t="s">
        <v>1605</v>
      </c>
      <c r="K264" s="12"/>
      <c r="L264" s="12" t="s">
        <v>1606</v>
      </c>
      <c r="M264" s="12" t="s">
        <v>1607</v>
      </c>
      <c r="N264" s="12" t="s">
        <v>352</v>
      </c>
      <c r="O264" s="12" t="s">
        <v>102</v>
      </c>
      <c r="P264" s="12" t="s">
        <v>103</v>
      </c>
      <c r="Q264" s="12" t="s">
        <v>104</v>
      </c>
      <c r="R264" s="14" t="n">
        <v>348.42</v>
      </c>
      <c r="S264" s="14" t="s">
        <v>105</v>
      </c>
      <c r="T264" s="14" t="s">
        <v>653</v>
      </c>
      <c r="U264" s="14" t="n">
        <v>2025</v>
      </c>
      <c r="V264" s="12" t="s">
        <v>157</v>
      </c>
      <c r="W264" s="14" t="s">
        <v>1608</v>
      </c>
      <c r="X264" s="15" t="n">
        <f aca="false">IF(OR($S264="%",$R264=""),"",$R264*INDEX(Cambi!$J$2:$J$5,MATCH($S264,Cambi!$I$2:$I$5,0))/IF($T264="EUR",1,INDEX(Cambi!$D:$D,MATCH($T264&amp;"|"&amp;$U264,Cambi!$C:$C,0))))</f>
        <v>308.336283185841</v>
      </c>
      <c r="Y264" s="12" t="s">
        <v>109</v>
      </c>
      <c r="Z264" s="12" t="s">
        <v>109</v>
      </c>
      <c r="AA264" s="12" t="s">
        <v>109</v>
      </c>
      <c r="AB264" s="16" t="s">
        <v>110</v>
      </c>
      <c r="AC264" s="16" t="s">
        <v>836</v>
      </c>
      <c r="AD264" s="12" t="s">
        <v>112</v>
      </c>
      <c r="AE264" s="12" t="s">
        <v>282</v>
      </c>
      <c r="AF264" s="12" t="s">
        <v>1609</v>
      </c>
      <c r="AG264" s="12" t="s">
        <v>284</v>
      </c>
      <c r="AH264" s="12" t="s">
        <v>838</v>
      </c>
      <c r="AI264" s="12" t="s">
        <v>117</v>
      </c>
      <c r="AJ264" s="12" t="s">
        <v>1610</v>
      </c>
      <c r="AK264" s="12" t="s">
        <v>4</v>
      </c>
    </row>
    <row r="265" customFormat="false" ht="15" hidden="false" customHeight="false" outlineLevel="0" collapsed="false">
      <c r="A265" s="11" t="n">
        <v>264</v>
      </c>
      <c r="B265" s="12" t="s">
        <v>1602</v>
      </c>
      <c r="C265" s="12" t="s">
        <v>1556</v>
      </c>
      <c r="D265" s="12" t="s">
        <v>1557</v>
      </c>
      <c r="E265" s="12" t="s">
        <v>759</v>
      </c>
      <c r="F265" s="12" t="s">
        <v>845</v>
      </c>
      <c r="G265" s="12" t="s">
        <v>830</v>
      </c>
      <c r="H265" s="12" t="s">
        <v>1603</v>
      </c>
      <c r="I265" s="12" t="s">
        <v>1604</v>
      </c>
      <c r="J265" s="13" t="s">
        <v>1605</v>
      </c>
      <c r="K265" s="12"/>
      <c r="L265" s="12" t="s">
        <v>1606</v>
      </c>
      <c r="M265" s="12" t="s">
        <v>1607</v>
      </c>
      <c r="N265" s="12" t="s">
        <v>352</v>
      </c>
      <c r="O265" s="12" t="s">
        <v>102</v>
      </c>
      <c r="P265" s="12" t="s">
        <v>103</v>
      </c>
      <c r="Q265" s="12" t="s">
        <v>104</v>
      </c>
      <c r="R265" s="14" t="n">
        <v>369.77</v>
      </c>
      <c r="S265" s="14" t="s">
        <v>105</v>
      </c>
      <c r="T265" s="14" t="s">
        <v>653</v>
      </c>
      <c r="U265" s="14" t="n">
        <v>2026</v>
      </c>
      <c r="V265" s="12" t="s">
        <v>198</v>
      </c>
      <c r="W265" s="14" t="s">
        <v>1608</v>
      </c>
      <c r="X265" s="15" t="n">
        <f aca="false">IF(OR($S265="%",$R265=""),"",$R265*INDEX(Cambi!$J$2:$J$5,MATCH($S265,Cambi!$I$2:$I$5,0))/IF($T265="EUR",1,INDEX(Cambi!$D:$D,MATCH($T265&amp;"|"&amp;$U265,Cambi!$C:$C,0))))</f>
        <v>327.230088495575</v>
      </c>
      <c r="Y265" s="12" t="s">
        <v>109</v>
      </c>
      <c r="Z265" s="12" t="s">
        <v>109</v>
      </c>
      <c r="AA265" s="12" t="s">
        <v>109</v>
      </c>
      <c r="AB265" s="16" t="s">
        <v>110</v>
      </c>
      <c r="AC265" s="16" t="s">
        <v>836</v>
      </c>
      <c r="AD265" s="12" t="s">
        <v>112</v>
      </c>
      <c r="AE265" s="12" t="s">
        <v>282</v>
      </c>
      <c r="AF265" s="12" t="s">
        <v>1611</v>
      </c>
      <c r="AG265" s="12" t="s">
        <v>284</v>
      </c>
      <c r="AH265" s="12" t="s">
        <v>838</v>
      </c>
      <c r="AI265" s="12" t="s">
        <v>117</v>
      </c>
      <c r="AJ265" s="12" t="s">
        <v>1612</v>
      </c>
      <c r="AK265" s="12" t="s">
        <v>4</v>
      </c>
    </row>
    <row r="266" customFormat="false" ht="15" hidden="false" customHeight="false" outlineLevel="0" collapsed="false">
      <c r="A266" s="11" t="n">
        <v>265</v>
      </c>
      <c r="B266" s="12" t="s">
        <v>1602</v>
      </c>
      <c r="C266" s="12" t="s">
        <v>1556</v>
      </c>
      <c r="D266" s="12" t="s">
        <v>1557</v>
      </c>
      <c r="E266" s="12" t="s">
        <v>759</v>
      </c>
      <c r="F266" s="12" t="s">
        <v>845</v>
      </c>
      <c r="G266" s="12" t="s">
        <v>830</v>
      </c>
      <c r="H266" s="12" t="s">
        <v>1603</v>
      </c>
      <c r="I266" s="12" t="s">
        <v>1604</v>
      </c>
      <c r="J266" s="13" t="s">
        <v>1605</v>
      </c>
      <c r="K266" s="12"/>
      <c r="L266" s="12" t="s">
        <v>1606</v>
      </c>
      <c r="M266" s="12" t="s">
        <v>1607</v>
      </c>
      <c r="N266" s="12" t="s">
        <v>352</v>
      </c>
      <c r="O266" s="12" t="s">
        <v>102</v>
      </c>
      <c r="P266" s="12" t="s">
        <v>103</v>
      </c>
      <c r="Q266" s="12" t="s">
        <v>104</v>
      </c>
      <c r="R266" s="14" t="n">
        <v>516.77</v>
      </c>
      <c r="S266" s="14" t="s">
        <v>105</v>
      </c>
      <c r="T266" s="14" t="s">
        <v>653</v>
      </c>
      <c r="U266" s="14" t="n">
        <v>2031</v>
      </c>
      <c r="V266" s="12" t="s">
        <v>107</v>
      </c>
      <c r="W266" s="14" t="s">
        <v>1608</v>
      </c>
      <c r="X266" s="15" t="n">
        <f aca="false">IF(OR($S266="%",$R266=""),"",$R266*INDEX(Cambi!$J$2:$J$5,MATCH($S266,Cambi!$I$2:$I$5,0))/IF($T266="EUR",1,INDEX(Cambi!$D:$D,MATCH($T266&amp;"|"&amp;$U266,Cambi!$C:$C,0))))</f>
        <v>457.318584070797</v>
      </c>
      <c r="Y266" s="12" t="s">
        <v>109</v>
      </c>
      <c r="Z266" s="12" t="s">
        <v>109</v>
      </c>
      <c r="AA266" s="12" t="s">
        <v>109</v>
      </c>
      <c r="AB266" s="16" t="s">
        <v>110</v>
      </c>
      <c r="AC266" s="16" t="s">
        <v>836</v>
      </c>
      <c r="AD266" s="12" t="s">
        <v>112</v>
      </c>
      <c r="AE266" s="12" t="s">
        <v>282</v>
      </c>
      <c r="AF266" s="12" t="s">
        <v>1613</v>
      </c>
      <c r="AG266" s="12" t="s">
        <v>284</v>
      </c>
      <c r="AH266" s="12" t="s">
        <v>838</v>
      </c>
      <c r="AI266" s="12" t="s">
        <v>117</v>
      </c>
      <c r="AJ266" s="12" t="s">
        <v>1612</v>
      </c>
      <c r="AK266" s="12" t="s">
        <v>4</v>
      </c>
    </row>
    <row r="267" customFormat="false" ht="15" hidden="false" customHeight="false" outlineLevel="0" collapsed="false">
      <c r="A267" s="11" t="n">
        <v>266</v>
      </c>
      <c r="B267" s="12" t="s">
        <v>1614</v>
      </c>
      <c r="C267" s="12" t="s">
        <v>1556</v>
      </c>
      <c r="D267" s="12" t="s">
        <v>1557</v>
      </c>
      <c r="E267" s="12" t="s">
        <v>759</v>
      </c>
      <c r="F267" s="12" t="s">
        <v>1615</v>
      </c>
      <c r="G267" s="12" t="s">
        <v>345</v>
      </c>
      <c r="H267" s="12" t="s">
        <v>1616</v>
      </c>
      <c r="I267" s="12" t="s">
        <v>1617</v>
      </c>
      <c r="J267" s="13" t="s">
        <v>1618</v>
      </c>
      <c r="K267" s="12" t="s">
        <v>1619</v>
      </c>
      <c r="L267" s="12" t="s">
        <v>1620</v>
      </c>
      <c r="M267" s="12" t="s">
        <v>1621</v>
      </c>
      <c r="N267" s="12" t="s">
        <v>352</v>
      </c>
      <c r="O267" s="12" t="s">
        <v>102</v>
      </c>
      <c r="P267" s="12" t="s">
        <v>103</v>
      </c>
      <c r="Q267" s="12" t="s">
        <v>104</v>
      </c>
      <c r="R267" s="14" t="n">
        <v>1.5</v>
      </c>
      <c r="S267" s="14" t="s">
        <v>129</v>
      </c>
      <c r="T267" s="14" t="s">
        <v>106</v>
      </c>
      <c r="U267" s="14" t="n">
        <v>2025</v>
      </c>
      <c r="V267" s="12" t="s">
        <v>198</v>
      </c>
      <c r="W267" s="14"/>
      <c r="X267" s="15" t="n">
        <f aca="false">IF(OR($S267="%",$R267=""),"",$R267*INDEX(Cambi!$J$2:$J$5,MATCH($S267,Cambi!$I$2:$I$5,0))/IF($T267="EUR",1,INDEX(Cambi!$D:$D,MATCH($T267&amp;"|"&amp;$U267,Cambi!$C:$C,0))))</f>
        <v>1500</v>
      </c>
      <c r="Y267" s="12" t="s">
        <v>109</v>
      </c>
      <c r="Z267" s="12" t="s">
        <v>285</v>
      </c>
      <c r="AA267" s="12" t="s">
        <v>1622</v>
      </c>
      <c r="AB267" s="16" t="s">
        <v>110</v>
      </c>
      <c r="AC267" s="16" t="s">
        <v>1623</v>
      </c>
      <c r="AD267" s="12" t="s">
        <v>281</v>
      </c>
      <c r="AE267" s="12" t="s">
        <v>282</v>
      </c>
      <c r="AF267" s="12" t="s">
        <v>1624</v>
      </c>
      <c r="AG267" s="12" t="s">
        <v>284</v>
      </c>
      <c r="AH267" s="12" t="s">
        <v>499</v>
      </c>
      <c r="AI267" s="12" t="s">
        <v>285</v>
      </c>
      <c r="AJ267" s="12" t="s">
        <v>1625</v>
      </c>
      <c r="AK267" s="12" t="s">
        <v>4</v>
      </c>
    </row>
    <row r="268" customFormat="false" ht="15" hidden="false" customHeight="false" outlineLevel="0" collapsed="false">
      <c r="A268" s="11" t="n">
        <v>267</v>
      </c>
      <c r="B268" s="12" t="s">
        <v>1626</v>
      </c>
      <c r="C268" s="12" t="s">
        <v>1556</v>
      </c>
      <c r="D268" s="12" t="s">
        <v>1557</v>
      </c>
      <c r="E268" s="12" t="s">
        <v>759</v>
      </c>
      <c r="F268" s="12" t="s">
        <v>1627</v>
      </c>
      <c r="G268" s="12" t="s">
        <v>771</v>
      </c>
      <c r="H268" s="12" t="s">
        <v>1628</v>
      </c>
      <c r="I268" s="12" t="s">
        <v>1629</v>
      </c>
      <c r="J268" s="13" t="s">
        <v>1630</v>
      </c>
      <c r="K268" s="12"/>
      <c r="L268" s="12" t="s">
        <v>1631</v>
      </c>
      <c r="M268" s="12" t="s">
        <v>1632</v>
      </c>
      <c r="N268" s="12" t="s">
        <v>101</v>
      </c>
      <c r="O268" s="12" t="s">
        <v>102</v>
      </c>
      <c r="P268" s="12" t="s">
        <v>103</v>
      </c>
      <c r="Q268" s="12" t="s">
        <v>104</v>
      </c>
      <c r="R268" s="14" t="n">
        <v>6</v>
      </c>
      <c r="S268" s="14" t="s">
        <v>105</v>
      </c>
      <c r="T268" s="14" t="s">
        <v>106</v>
      </c>
      <c r="U268" s="14" t="n">
        <v>2024</v>
      </c>
      <c r="V268" s="12" t="s">
        <v>157</v>
      </c>
      <c r="W268" s="14"/>
      <c r="X268" s="15" t="n">
        <f aca="false">IF(OR($S268="%",$R268=""),"",$R268*INDEX(Cambi!$J$2:$J$5,MATCH($S268,Cambi!$I$2:$I$5,0))/IF($T268="EUR",1,INDEX(Cambi!$D:$D,MATCH($T268&amp;"|"&amp;$U268,Cambi!$C:$C,0))))</f>
        <v>6</v>
      </c>
      <c r="Y268" s="12" t="s">
        <v>239</v>
      </c>
      <c r="Z268" s="12" t="s">
        <v>109</v>
      </c>
      <c r="AA268" s="12" t="s">
        <v>109</v>
      </c>
      <c r="AB268" s="16" t="s">
        <v>394</v>
      </c>
      <c r="AC268" s="16" t="s">
        <v>1438</v>
      </c>
      <c r="AD268" s="12" t="s">
        <v>112</v>
      </c>
      <c r="AE268" s="12" t="s">
        <v>1633</v>
      </c>
      <c r="AF268" s="12" t="s">
        <v>1634</v>
      </c>
      <c r="AG268" s="12" t="s">
        <v>115</v>
      </c>
      <c r="AH268" s="12" t="s">
        <v>116</v>
      </c>
      <c r="AI268" s="12" t="s">
        <v>117</v>
      </c>
      <c r="AJ268" s="12" t="s">
        <v>1635</v>
      </c>
      <c r="AK268" s="12" t="s">
        <v>4</v>
      </c>
    </row>
    <row r="269" customFormat="false" ht="15" hidden="false" customHeight="false" outlineLevel="0" collapsed="false">
      <c r="A269" s="11" t="n">
        <v>268</v>
      </c>
      <c r="B269" s="12" t="s">
        <v>1636</v>
      </c>
      <c r="C269" s="12" t="s">
        <v>1556</v>
      </c>
      <c r="D269" s="12" t="s">
        <v>1557</v>
      </c>
      <c r="E269" s="12" t="s">
        <v>759</v>
      </c>
      <c r="F269" s="12" t="s">
        <v>1637</v>
      </c>
      <c r="G269" s="12" t="s">
        <v>771</v>
      </c>
      <c r="H269" s="12" t="s">
        <v>1638</v>
      </c>
      <c r="I269" s="12" t="s">
        <v>1639</v>
      </c>
      <c r="J269" s="13" t="s">
        <v>1640</v>
      </c>
      <c r="K269" s="12"/>
      <c r="L269" s="12" t="s">
        <v>1641</v>
      </c>
      <c r="M269" s="12" t="s">
        <v>1642</v>
      </c>
      <c r="N269" s="12" t="s">
        <v>101</v>
      </c>
      <c r="O269" s="12" t="s">
        <v>102</v>
      </c>
      <c r="P269" s="12" t="s">
        <v>103</v>
      </c>
      <c r="Q269" s="12" t="s">
        <v>104</v>
      </c>
      <c r="R269" s="14" t="n">
        <v>1.67</v>
      </c>
      <c r="S269" s="14" t="s">
        <v>105</v>
      </c>
      <c r="T269" s="14" t="s">
        <v>106</v>
      </c>
      <c r="U269" s="14" t="n">
        <v>2026</v>
      </c>
      <c r="V269" s="12" t="s">
        <v>198</v>
      </c>
      <c r="W269" s="14"/>
      <c r="X269" s="15" t="n">
        <f aca="false">IF(OR($S269="%",$R269=""),"",$R269*INDEX(Cambi!$J$2:$J$5,MATCH($S269,Cambi!$I$2:$I$5,0))/IF($T269="EUR",1,INDEX(Cambi!$D:$D,MATCH($T269&amp;"|"&amp;$U269,Cambi!$C:$C,0))))</f>
        <v>1.67</v>
      </c>
      <c r="Y269" s="12" t="s">
        <v>239</v>
      </c>
      <c r="Z269" s="12" t="s">
        <v>109</v>
      </c>
      <c r="AA269" s="12" t="s">
        <v>109</v>
      </c>
      <c r="AB269" s="16" t="s">
        <v>394</v>
      </c>
      <c r="AC269" s="16" t="s">
        <v>1438</v>
      </c>
      <c r="AD269" s="12" t="s">
        <v>112</v>
      </c>
      <c r="AE269" s="12" t="s">
        <v>1643</v>
      </c>
      <c r="AF269" s="12" t="s">
        <v>1644</v>
      </c>
      <c r="AG269" s="12" t="s">
        <v>115</v>
      </c>
      <c r="AH269" s="12" t="s">
        <v>116</v>
      </c>
      <c r="AI269" s="12" t="s">
        <v>117</v>
      </c>
      <c r="AJ269" s="12" t="s">
        <v>1645</v>
      </c>
      <c r="AK269" s="12" t="s">
        <v>4</v>
      </c>
    </row>
    <row r="270" customFormat="false" ht="15" hidden="false" customHeight="false" outlineLevel="0" collapsed="false">
      <c r="A270" s="11" t="n">
        <v>269</v>
      </c>
      <c r="B270" s="12" t="s">
        <v>1646</v>
      </c>
      <c r="C270" s="12" t="s">
        <v>1556</v>
      </c>
      <c r="D270" s="12" t="s">
        <v>1557</v>
      </c>
      <c r="E270" s="12" t="s">
        <v>759</v>
      </c>
      <c r="F270" s="12" t="s">
        <v>1647</v>
      </c>
      <c r="G270" s="12" t="s">
        <v>771</v>
      </c>
      <c r="H270" s="12" t="s">
        <v>1648</v>
      </c>
      <c r="I270" s="12" t="s">
        <v>808</v>
      </c>
      <c r="J270" s="13" t="s">
        <v>1649</v>
      </c>
      <c r="K270" s="12"/>
      <c r="L270" s="12" t="s">
        <v>1650</v>
      </c>
      <c r="M270" s="12" t="s">
        <v>1651</v>
      </c>
      <c r="N270" s="12" t="s">
        <v>101</v>
      </c>
      <c r="O270" s="12" t="s">
        <v>102</v>
      </c>
      <c r="P270" s="12" t="s">
        <v>103</v>
      </c>
      <c r="Q270" s="12" t="s">
        <v>104</v>
      </c>
      <c r="R270" s="14" t="n">
        <v>20800</v>
      </c>
      <c r="S270" s="14" t="s">
        <v>392</v>
      </c>
      <c r="T270" s="14" t="s">
        <v>106</v>
      </c>
      <c r="U270" s="14" t="n">
        <v>2025</v>
      </c>
      <c r="V270" s="12" t="s">
        <v>157</v>
      </c>
      <c r="W270" s="14"/>
      <c r="X270" s="15" t="n">
        <f aca="false">IF(OR($S270="%",$R270=""),"",$R270*INDEX(Cambi!$J$2:$J$5,MATCH($S270,Cambi!$I$2:$I$5,0))/IF($T270="EUR",1,INDEX(Cambi!$D:$D,MATCH($T270&amp;"|"&amp;$U270,Cambi!$C:$C,0))))</f>
        <v>20.8</v>
      </c>
      <c r="Y270" s="12" t="s">
        <v>108</v>
      </c>
      <c r="Z270" s="12" t="s">
        <v>109</v>
      </c>
      <c r="AA270" s="12" t="s">
        <v>109</v>
      </c>
      <c r="AB270" s="16" t="s">
        <v>394</v>
      </c>
      <c r="AC270" s="16" t="s">
        <v>1438</v>
      </c>
      <c r="AD270" s="12" t="s">
        <v>112</v>
      </c>
      <c r="AE270" s="12" t="s">
        <v>1652</v>
      </c>
      <c r="AF270" s="12" t="s">
        <v>1653</v>
      </c>
      <c r="AG270" s="12" t="s">
        <v>115</v>
      </c>
      <c r="AH270" s="12" t="s">
        <v>116</v>
      </c>
      <c r="AI270" s="12" t="s">
        <v>117</v>
      </c>
      <c r="AJ270" s="12" t="s">
        <v>1654</v>
      </c>
      <c r="AK270" s="12" t="s">
        <v>4</v>
      </c>
    </row>
    <row r="271" customFormat="false" ht="15" hidden="false" customHeight="false" outlineLevel="0" collapsed="false">
      <c r="A271" s="11" t="n">
        <v>270</v>
      </c>
      <c r="B271" s="12" t="s">
        <v>1655</v>
      </c>
      <c r="C271" s="12" t="s">
        <v>1556</v>
      </c>
      <c r="D271" s="12" t="s">
        <v>1557</v>
      </c>
      <c r="E271" s="12" t="s">
        <v>759</v>
      </c>
      <c r="F271" s="12" t="s">
        <v>1647</v>
      </c>
      <c r="G271" s="12" t="s">
        <v>771</v>
      </c>
      <c r="H271" s="12" t="s">
        <v>1656</v>
      </c>
      <c r="I271" s="12" t="s">
        <v>1657</v>
      </c>
      <c r="J271" s="13" t="s">
        <v>1658</v>
      </c>
      <c r="K271" s="12"/>
      <c r="L271" s="12" t="s">
        <v>1650</v>
      </c>
      <c r="M271" s="12" t="s">
        <v>1659</v>
      </c>
      <c r="N271" s="12" t="s">
        <v>101</v>
      </c>
      <c r="O271" s="12" t="s">
        <v>102</v>
      </c>
      <c r="P271" s="12" t="s">
        <v>103</v>
      </c>
      <c r="Q271" s="12" t="s">
        <v>104</v>
      </c>
      <c r="R271" s="14" t="n">
        <v>27000</v>
      </c>
      <c r="S271" s="14" t="s">
        <v>392</v>
      </c>
      <c r="T271" s="14" t="s">
        <v>106</v>
      </c>
      <c r="U271" s="14" t="n">
        <v>2027</v>
      </c>
      <c r="V271" s="12" t="s">
        <v>107</v>
      </c>
      <c r="W271" s="14"/>
      <c r="X271" s="15" t="n">
        <f aca="false">IF(OR($S271="%",$R271=""),"",$R271*INDEX(Cambi!$J$2:$J$5,MATCH($S271,Cambi!$I$2:$I$5,0))/IF($T271="EUR",1,INDEX(Cambi!$D:$D,MATCH($T271&amp;"|"&amp;$U271,Cambi!$C:$C,0))))</f>
        <v>27</v>
      </c>
      <c r="Y271" s="12" t="s">
        <v>108</v>
      </c>
      <c r="Z271" s="12" t="s">
        <v>109</v>
      </c>
      <c r="AA271" s="12" t="s">
        <v>109</v>
      </c>
      <c r="AB271" s="16" t="s">
        <v>394</v>
      </c>
      <c r="AC271" s="16" t="s">
        <v>1438</v>
      </c>
      <c r="AD271" s="12" t="s">
        <v>112</v>
      </c>
      <c r="AE271" s="12" t="s">
        <v>1652</v>
      </c>
      <c r="AF271" s="12" t="s">
        <v>1660</v>
      </c>
      <c r="AG271" s="12" t="s">
        <v>115</v>
      </c>
      <c r="AH271" s="12" t="s">
        <v>116</v>
      </c>
      <c r="AI271" s="12" t="s">
        <v>117</v>
      </c>
      <c r="AJ271" s="12" t="s">
        <v>1661</v>
      </c>
      <c r="AK271" s="12" t="s">
        <v>4</v>
      </c>
    </row>
    <row r="272" customFormat="false" ht="15" hidden="false" customHeight="false" outlineLevel="0" collapsed="false">
      <c r="A272" s="11" t="n">
        <v>271</v>
      </c>
      <c r="B272" s="12" t="s">
        <v>1662</v>
      </c>
      <c r="C272" s="12" t="s">
        <v>1663</v>
      </c>
      <c r="D272" s="12" t="s">
        <v>1664</v>
      </c>
      <c r="E272" s="12" t="s">
        <v>759</v>
      </c>
      <c r="F272" s="12" t="s">
        <v>1665</v>
      </c>
      <c r="G272" s="12" t="s">
        <v>345</v>
      </c>
      <c r="H272" s="12" t="s">
        <v>1666</v>
      </c>
      <c r="I272" s="12" t="s">
        <v>1667</v>
      </c>
      <c r="J272" s="13" t="s">
        <v>1668</v>
      </c>
      <c r="K272" s="12"/>
      <c r="L272" s="12" t="s">
        <v>1669</v>
      </c>
      <c r="M272" s="12" t="s">
        <v>1670</v>
      </c>
      <c r="N272" s="12" t="s">
        <v>956</v>
      </c>
      <c r="O272" s="12" t="s">
        <v>102</v>
      </c>
      <c r="P272" s="12" t="s">
        <v>103</v>
      </c>
      <c r="Q272" s="12" t="s">
        <v>104</v>
      </c>
      <c r="R272" s="14" t="n">
        <v>12.4</v>
      </c>
      <c r="S272" s="14" t="s">
        <v>129</v>
      </c>
      <c r="T272" s="14" t="s">
        <v>106</v>
      </c>
      <c r="U272" s="14" t="n">
        <v>2018</v>
      </c>
      <c r="V272" s="12" t="s">
        <v>157</v>
      </c>
      <c r="W272" s="14" t="s">
        <v>1671</v>
      </c>
      <c r="X272" s="15" t="n">
        <f aca="false">IF(OR($S272="%",$R272=""),"",$R272*INDEX(Cambi!$J$2:$J$5,MATCH($S272,Cambi!$I$2:$I$5,0))/IF($T272="EUR",1,INDEX(Cambi!$D:$D,MATCH($T272&amp;"|"&amp;$U272,Cambi!$C:$C,0))))</f>
        <v>12400</v>
      </c>
      <c r="Y272" s="12" t="s">
        <v>654</v>
      </c>
      <c r="Z272" s="12" t="s">
        <v>109</v>
      </c>
      <c r="AA272" s="12" t="s">
        <v>1672</v>
      </c>
      <c r="AB272" s="16" t="s">
        <v>679</v>
      </c>
      <c r="AC272" s="16" t="s">
        <v>1673</v>
      </c>
      <c r="AD272" s="12" t="s">
        <v>166</v>
      </c>
      <c r="AE272" s="12" t="s">
        <v>1674</v>
      </c>
      <c r="AF272" s="12" t="s">
        <v>1675</v>
      </c>
      <c r="AG272" s="12" t="s">
        <v>115</v>
      </c>
      <c r="AH272" s="12" t="s">
        <v>116</v>
      </c>
      <c r="AI272" s="12" t="s">
        <v>117</v>
      </c>
      <c r="AJ272" s="12" t="s">
        <v>1676</v>
      </c>
      <c r="AK272" s="12" t="s">
        <v>4</v>
      </c>
    </row>
    <row r="273" customFormat="false" ht="15" hidden="false" customHeight="false" outlineLevel="0" collapsed="false">
      <c r="A273" s="11" t="n">
        <v>272</v>
      </c>
      <c r="B273" s="12" t="s">
        <v>1662</v>
      </c>
      <c r="C273" s="12" t="s">
        <v>1663</v>
      </c>
      <c r="D273" s="12" t="s">
        <v>1664</v>
      </c>
      <c r="E273" s="12" t="s">
        <v>759</v>
      </c>
      <c r="F273" s="12" t="s">
        <v>1665</v>
      </c>
      <c r="G273" s="12" t="s">
        <v>345</v>
      </c>
      <c r="H273" s="12" t="s">
        <v>1666</v>
      </c>
      <c r="I273" s="12" t="s">
        <v>1667</v>
      </c>
      <c r="J273" s="13" t="s">
        <v>1668</v>
      </c>
      <c r="K273" s="12"/>
      <c r="L273" s="12" t="s">
        <v>1677</v>
      </c>
      <c r="M273" s="12" t="s">
        <v>1678</v>
      </c>
      <c r="N273" s="12" t="s">
        <v>956</v>
      </c>
      <c r="O273" s="12" t="s">
        <v>196</v>
      </c>
      <c r="P273" s="12" t="s">
        <v>155</v>
      </c>
      <c r="Q273" s="12" t="s">
        <v>1679</v>
      </c>
      <c r="R273" s="14" t="n">
        <v>55</v>
      </c>
      <c r="S273" s="14" t="s">
        <v>197</v>
      </c>
      <c r="T273" s="14"/>
      <c r="U273" s="14" t="n">
        <v>2018</v>
      </c>
      <c r="V273" s="12" t="s">
        <v>157</v>
      </c>
      <c r="W273" s="14"/>
      <c r="X273" s="15" t="str">
        <f aca="false">IF(OR($S273="%",$R273=""),"",$R273*INDEX(Cambi!$J$2:$J$5,MATCH($S273,Cambi!$I$2:$I$5,0))/IF($T273="EUR",1,INDEX(Cambi!$D:$D,MATCH($T273&amp;"|"&amp;$U273,Cambi!$C:$C,0))))</f>
        <v/>
      </c>
      <c r="Y273" s="12" t="s">
        <v>654</v>
      </c>
      <c r="Z273" s="12" t="s">
        <v>109</v>
      </c>
      <c r="AA273" s="12" t="s">
        <v>1672</v>
      </c>
      <c r="AB273" s="16" t="s">
        <v>679</v>
      </c>
      <c r="AC273" s="16" t="s">
        <v>1673</v>
      </c>
      <c r="AD273" s="12" t="s">
        <v>166</v>
      </c>
      <c r="AE273" s="12" t="s">
        <v>1674</v>
      </c>
      <c r="AF273" s="12" t="s">
        <v>1680</v>
      </c>
      <c r="AG273" s="12" t="s">
        <v>115</v>
      </c>
      <c r="AH273" s="12" t="s">
        <v>116</v>
      </c>
      <c r="AI273" s="12" t="s">
        <v>117</v>
      </c>
      <c r="AJ273" s="12" t="s">
        <v>1681</v>
      </c>
      <c r="AK273" s="12" t="s">
        <v>4</v>
      </c>
    </row>
    <row r="274" customFormat="false" ht="15" hidden="false" customHeight="false" outlineLevel="0" collapsed="false">
      <c r="A274" s="11" t="n">
        <v>273</v>
      </c>
      <c r="B274" s="12" t="s">
        <v>1662</v>
      </c>
      <c r="C274" s="12" t="s">
        <v>1663</v>
      </c>
      <c r="D274" s="12" t="s">
        <v>1664</v>
      </c>
      <c r="E274" s="12" t="s">
        <v>759</v>
      </c>
      <c r="F274" s="12" t="s">
        <v>1665</v>
      </c>
      <c r="G274" s="12" t="s">
        <v>345</v>
      </c>
      <c r="H274" s="12" t="s">
        <v>1666</v>
      </c>
      <c r="I274" s="12" t="s">
        <v>1667</v>
      </c>
      <c r="J274" s="13" t="s">
        <v>1668</v>
      </c>
      <c r="K274" s="12"/>
      <c r="L274" s="12" t="s">
        <v>1682</v>
      </c>
      <c r="M274" s="12" t="s">
        <v>1683</v>
      </c>
      <c r="N274" s="12" t="s">
        <v>956</v>
      </c>
      <c r="O274" s="12" t="s">
        <v>102</v>
      </c>
      <c r="P274" s="12" t="s">
        <v>103</v>
      </c>
      <c r="Q274" s="12" t="s">
        <v>104</v>
      </c>
      <c r="R274" s="14" t="n">
        <v>5.8</v>
      </c>
      <c r="S274" s="14" t="s">
        <v>129</v>
      </c>
      <c r="T274" s="14" t="s">
        <v>106</v>
      </c>
      <c r="U274" s="14" t="n">
        <v>2018</v>
      </c>
      <c r="V274" s="12" t="s">
        <v>157</v>
      </c>
      <c r="W274" s="14" t="s">
        <v>1684</v>
      </c>
      <c r="X274" s="15" t="n">
        <f aca="false">IF(OR($S274="%",$R274=""),"",$R274*INDEX(Cambi!$J$2:$J$5,MATCH($S274,Cambi!$I$2:$I$5,0))/IF($T274="EUR",1,INDEX(Cambi!$D:$D,MATCH($T274&amp;"|"&amp;$U274,Cambi!$C:$C,0))))</f>
        <v>5800</v>
      </c>
      <c r="Y274" s="12" t="s">
        <v>654</v>
      </c>
      <c r="Z274" s="12" t="s">
        <v>109</v>
      </c>
      <c r="AA274" s="12" t="s">
        <v>1672</v>
      </c>
      <c r="AB274" s="16" t="s">
        <v>679</v>
      </c>
      <c r="AC274" s="16" t="s">
        <v>1673</v>
      </c>
      <c r="AD274" s="12" t="s">
        <v>166</v>
      </c>
      <c r="AE274" s="12" t="s">
        <v>1674</v>
      </c>
      <c r="AF274" s="12" t="s">
        <v>1685</v>
      </c>
      <c r="AG274" s="12" t="s">
        <v>115</v>
      </c>
      <c r="AH274" s="12" t="s">
        <v>116</v>
      </c>
      <c r="AI274" s="12" t="s">
        <v>117</v>
      </c>
      <c r="AJ274" s="12" t="s">
        <v>1686</v>
      </c>
      <c r="AK274" s="12" t="s">
        <v>4</v>
      </c>
    </row>
    <row r="275" customFormat="false" ht="15" hidden="false" customHeight="false" outlineLevel="0" collapsed="false">
      <c r="A275" s="11" t="n">
        <v>274</v>
      </c>
      <c r="B275" s="12" t="s">
        <v>1687</v>
      </c>
      <c r="C275" s="12" t="s">
        <v>1663</v>
      </c>
      <c r="D275" s="12" t="s">
        <v>1664</v>
      </c>
      <c r="E275" s="12" t="s">
        <v>759</v>
      </c>
      <c r="F275" s="12" t="s">
        <v>1665</v>
      </c>
      <c r="G275" s="12" t="s">
        <v>345</v>
      </c>
      <c r="H275" s="12" t="s">
        <v>1688</v>
      </c>
      <c r="I275" s="12" t="s">
        <v>1689</v>
      </c>
      <c r="J275" s="13" t="s">
        <v>1690</v>
      </c>
      <c r="K275" s="12"/>
      <c r="L275" s="12" t="s">
        <v>1691</v>
      </c>
      <c r="M275" s="12" t="s">
        <v>1692</v>
      </c>
      <c r="N275" s="12" t="s">
        <v>956</v>
      </c>
      <c r="O275" s="12" t="s">
        <v>102</v>
      </c>
      <c r="P275" s="12" t="s">
        <v>103</v>
      </c>
      <c r="Q275" s="12" t="s">
        <v>104</v>
      </c>
      <c r="R275" s="14" t="n">
        <v>13</v>
      </c>
      <c r="S275" s="14" t="s">
        <v>129</v>
      </c>
      <c r="T275" s="14" t="s">
        <v>106</v>
      </c>
      <c r="U275" s="14" t="n">
        <v>2019</v>
      </c>
      <c r="V275" s="12" t="s">
        <v>157</v>
      </c>
      <c r="W275" s="14" t="s">
        <v>1693</v>
      </c>
      <c r="X275" s="15" t="n">
        <f aca="false">IF(OR($S275="%",$R275=""),"",$R275*INDEX(Cambi!$J$2:$J$5,MATCH($S275,Cambi!$I$2:$I$5,0))/IF($T275="EUR",1,INDEX(Cambi!$D:$D,MATCH($T275&amp;"|"&amp;$U275,Cambi!$C:$C,0))))</f>
        <v>13000</v>
      </c>
      <c r="Y275" s="12" t="s">
        <v>654</v>
      </c>
      <c r="Z275" s="12" t="s">
        <v>109</v>
      </c>
      <c r="AA275" s="12" t="s">
        <v>1672</v>
      </c>
      <c r="AB275" s="16" t="s">
        <v>679</v>
      </c>
      <c r="AC275" s="16" t="s">
        <v>1673</v>
      </c>
      <c r="AD275" s="12" t="s">
        <v>166</v>
      </c>
      <c r="AE275" s="12" t="s">
        <v>1674</v>
      </c>
      <c r="AF275" s="12" t="s">
        <v>1694</v>
      </c>
      <c r="AG275" s="12" t="s">
        <v>115</v>
      </c>
      <c r="AH275" s="12" t="s">
        <v>116</v>
      </c>
      <c r="AI275" s="12" t="s">
        <v>117</v>
      </c>
      <c r="AJ275" s="12" t="s">
        <v>1695</v>
      </c>
      <c r="AK275" s="12" t="s">
        <v>4</v>
      </c>
    </row>
    <row r="276" customFormat="false" ht="15" hidden="false" customHeight="false" outlineLevel="0" collapsed="false">
      <c r="A276" s="11" t="n">
        <v>275</v>
      </c>
      <c r="B276" s="12" t="s">
        <v>1687</v>
      </c>
      <c r="C276" s="12" t="s">
        <v>1663</v>
      </c>
      <c r="D276" s="12" t="s">
        <v>1664</v>
      </c>
      <c r="E276" s="12" t="s">
        <v>759</v>
      </c>
      <c r="F276" s="12" t="s">
        <v>1665</v>
      </c>
      <c r="G276" s="12" t="s">
        <v>345</v>
      </c>
      <c r="H276" s="12" t="s">
        <v>1688</v>
      </c>
      <c r="I276" s="12" t="s">
        <v>1689</v>
      </c>
      <c r="J276" s="13" t="s">
        <v>1690</v>
      </c>
      <c r="K276" s="12"/>
      <c r="L276" s="12" t="s">
        <v>1677</v>
      </c>
      <c r="M276" s="12" t="s">
        <v>1696</v>
      </c>
      <c r="N276" s="12" t="s">
        <v>956</v>
      </c>
      <c r="O276" s="12" t="s">
        <v>196</v>
      </c>
      <c r="P276" s="12" t="s">
        <v>155</v>
      </c>
      <c r="Q276" s="12" t="s">
        <v>1679</v>
      </c>
      <c r="R276" s="14" t="n">
        <v>57</v>
      </c>
      <c r="S276" s="14" t="s">
        <v>197</v>
      </c>
      <c r="T276" s="14"/>
      <c r="U276" s="14" t="n">
        <v>2019</v>
      </c>
      <c r="V276" s="12" t="s">
        <v>157</v>
      </c>
      <c r="W276" s="14"/>
      <c r="X276" s="15" t="str">
        <f aca="false">IF(OR($S276="%",$R276=""),"",$R276*INDEX(Cambi!$J$2:$J$5,MATCH($S276,Cambi!$I$2:$I$5,0))/IF($T276="EUR",1,INDEX(Cambi!$D:$D,MATCH($T276&amp;"|"&amp;$U276,Cambi!$C:$C,0))))</f>
        <v/>
      </c>
      <c r="Y276" s="12" t="s">
        <v>654</v>
      </c>
      <c r="Z276" s="12" t="s">
        <v>109</v>
      </c>
      <c r="AA276" s="12" t="s">
        <v>1672</v>
      </c>
      <c r="AB276" s="16" t="s">
        <v>679</v>
      </c>
      <c r="AC276" s="16" t="s">
        <v>1673</v>
      </c>
      <c r="AD276" s="12" t="s">
        <v>166</v>
      </c>
      <c r="AE276" s="12" t="s">
        <v>1674</v>
      </c>
      <c r="AF276" s="12" t="s">
        <v>1697</v>
      </c>
      <c r="AG276" s="12" t="s">
        <v>115</v>
      </c>
      <c r="AH276" s="12" t="s">
        <v>116</v>
      </c>
      <c r="AI276" s="12" t="s">
        <v>117</v>
      </c>
      <c r="AJ276" s="12" t="s">
        <v>1681</v>
      </c>
      <c r="AK276" s="12" t="s">
        <v>4</v>
      </c>
    </row>
    <row r="277" customFormat="false" ht="15" hidden="false" customHeight="false" outlineLevel="0" collapsed="false">
      <c r="A277" s="11" t="n">
        <v>276</v>
      </c>
      <c r="B277" s="12" t="s">
        <v>1687</v>
      </c>
      <c r="C277" s="12" t="s">
        <v>1663</v>
      </c>
      <c r="D277" s="12" t="s">
        <v>1664</v>
      </c>
      <c r="E277" s="12" t="s">
        <v>759</v>
      </c>
      <c r="F277" s="12" t="s">
        <v>1665</v>
      </c>
      <c r="G277" s="12" t="s">
        <v>345</v>
      </c>
      <c r="H277" s="12" t="s">
        <v>1688</v>
      </c>
      <c r="I277" s="12" t="s">
        <v>1689</v>
      </c>
      <c r="J277" s="13" t="s">
        <v>1690</v>
      </c>
      <c r="K277" s="12"/>
      <c r="L277" s="12" t="s">
        <v>1698</v>
      </c>
      <c r="M277" s="12" t="s">
        <v>1699</v>
      </c>
      <c r="N277" s="12" t="s">
        <v>956</v>
      </c>
      <c r="O277" s="12" t="s">
        <v>102</v>
      </c>
      <c r="P277" s="12" t="s">
        <v>103</v>
      </c>
      <c r="Q277" s="12" t="s">
        <v>104</v>
      </c>
      <c r="R277" s="14" t="n">
        <v>6.1</v>
      </c>
      <c r="S277" s="14" t="s">
        <v>129</v>
      </c>
      <c r="T277" s="14" t="s">
        <v>106</v>
      </c>
      <c r="U277" s="14" t="n">
        <v>2019</v>
      </c>
      <c r="V277" s="12" t="s">
        <v>157</v>
      </c>
      <c r="W277" s="14"/>
      <c r="X277" s="15" t="n">
        <f aca="false">IF(OR($S277="%",$R277=""),"",$R277*INDEX(Cambi!$J$2:$J$5,MATCH($S277,Cambi!$I$2:$I$5,0))/IF($T277="EUR",1,INDEX(Cambi!$D:$D,MATCH($T277&amp;"|"&amp;$U277,Cambi!$C:$C,0))))</f>
        <v>6100</v>
      </c>
      <c r="Y277" s="12" t="s">
        <v>654</v>
      </c>
      <c r="Z277" s="12" t="s">
        <v>109</v>
      </c>
      <c r="AA277" s="12" t="s">
        <v>1672</v>
      </c>
      <c r="AB277" s="16" t="s">
        <v>679</v>
      </c>
      <c r="AC277" s="16" t="s">
        <v>1673</v>
      </c>
      <c r="AD277" s="12" t="s">
        <v>166</v>
      </c>
      <c r="AE277" s="12" t="s">
        <v>1674</v>
      </c>
      <c r="AF277" s="12" t="s">
        <v>1700</v>
      </c>
      <c r="AG277" s="12" t="s">
        <v>115</v>
      </c>
      <c r="AH277" s="12" t="s">
        <v>116</v>
      </c>
      <c r="AI277" s="12" t="s">
        <v>117</v>
      </c>
      <c r="AJ277" s="12" t="s">
        <v>1701</v>
      </c>
      <c r="AK277" s="12" t="s">
        <v>4</v>
      </c>
    </row>
    <row r="278" customFormat="false" ht="15" hidden="false" customHeight="false" outlineLevel="0" collapsed="false">
      <c r="A278" s="11" t="n">
        <v>277</v>
      </c>
      <c r="B278" s="12" t="s">
        <v>1702</v>
      </c>
      <c r="C278" s="12" t="s">
        <v>1663</v>
      </c>
      <c r="D278" s="12" t="s">
        <v>1664</v>
      </c>
      <c r="E278" s="12" t="s">
        <v>759</v>
      </c>
      <c r="F278" s="12" t="s">
        <v>1665</v>
      </c>
      <c r="G278" s="12" t="s">
        <v>345</v>
      </c>
      <c r="H278" s="12" t="s">
        <v>1703</v>
      </c>
      <c r="I278" s="12" t="s">
        <v>1239</v>
      </c>
      <c r="J278" s="13" t="s">
        <v>1704</v>
      </c>
      <c r="K278" s="12"/>
      <c r="L278" s="12" t="s">
        <v>1691</v>
      </c>
      <c r="M278" s="12" t="s">
        <v>1705</v>
      </c>
      <c r="N278" s="12" t="s">
        <v>956</v>
      </c>
      <c r="O278" s="12" t="s">
        <v>102</v>
      </c>
      <c r="P278" s="12" t="s">
        <v>103</v>
      </c>
      <c r="Q278" s="12" t="s">
        <v>104</v>
      </c>
      <c r="R278" s="14" t="n">
        <v>13.4</v>
      </c>
      <c r="S278" s="14" t="s">
        <v>129</v>
      </c>
      <c r="T278" s="14" t="s">
        <v>106</v>
      </c>
      <c r="U278" s="14" t="n">
        <v>2020</v>
      </c>
      <c r="V278" s="12" t="s">
        <v>157</v>
      </c>
      <c r="W278" s="14" t="s">
        <v>1706</v>
      </c>
      <c r="X278" s="15" t="n">
        <f aca="false">IF(OR($S278="%",$R278=""),"",$R278*INDEX(Cambi!$J$2:$J$5,MATCH($S278,Cambi!$I$2:$I$5,0))/IF($T278="EUR",1,INDEX(Cambi!$D:$D,MATCH($T278&amp;"|"&amp;$U278,Cambi!$C:$C,0))))</f>
        <v>13400</v>
      </c>
      <c r="Y278" s="12" t="s">
        <v>654</v>
      </c>
      <c r="Z278" s="12" t="s">
        <v>109</v>
      </c>
      <c r="AA278" s="12" t="s">
        <v>1672</v>
      </c>
      <c r="AB278" s="16" t="s">
        <v>679</v>
      </c>
      <c r="AC278" s="16" t="s">
        <v>1673</v>
      </c>
      <c r="AD278" s="12" t="s">
        <v>166</v>
      </c>
      <c r="AE278" s="12" t="s">
        <v>1674</v>
      </c>
      <c r="AF278" s="12" t="s">
        <v>1707</v>
      </c>
      <c r="AG278" s="12" t="s">
        <v>115</v>
      </c>
      <c r="AH278" s="12" t="s">
        <v>116</v>
      </c>
      <c r="AI278" s="12" t="s">
        <v>117</v>
      </c>
      <c r="AJ278" s="12" t="s">
        <v>1708</v>
      </c>
      <c r="AK278" s="12" t="s">
        <v>4</v>
      </c>
    </row>
    <row r="279" customFormat="false" ht="15" hidden="false" customHeight="false" outlineLevel="0" collapsed="false">
      <c r="A279" s="11" t="n">
        <v>278</v>
      </c>
      <c r="B279" s="12" t="s">
        <v>1702</v>
      </c>
      <c r="C279" s="12" t="s">
        <v>1663</v>
      </c>
      <c r="D279" s="12" t="s">
        <v>1664</v>
      </c>
      <c r="E279" s="12" t="s">
        <v>759</v>
      </c>
      <c r="F279" s="12" t="s">
        <v>1665</v>
      </c>
      <c r="G279" s="12" t="s">
        <v>345</v>
      </c>
      <c r="H279" s="12" t="s">
        <v>1703</v>
      </c>
      <c r="I279" s="12" t="s">
        <v>1239</v>
      </c>
      <c r="J279" s="13" t="s">
        <v>1704</v>
      </c>
      <c r="K279" s="12"/>
      <c r="L279" s="12" t="s">
        <v>1677</v>
      </c>
      <c r="M279" s="12" t="s">
        <v>1709</v>
      </c>
      <c r="N279" s="12" t="s">
        <v>956</v>
      </c>
      <c r="O279" s="12" t="s">
        <v>196</v>
      </c>
      <c r="P279" s="12" t="s">
        <v>155</v>
      </c>
      <c r="Q279" s="12" t="s">
        <v>1679</v>
      </c>
      <c r="R279" s="14" t="n">
        <v>62</v>
      </c>
      <c r="S279" s="14" t="s">
        <v>197</v>
      </c>
      <c r="T279" s="14"/>
      <c r="U279" s="14" t="n">
        <v>2020</v>
      </c>
      <c r="V279" s="12" t="s">
        <v>157</v>
      </c>
      <c r="W279" s="14"/>
      <c r="X279" s="15" t="str">
        <f aca="false">IF(OR($S279="%",$R279=""),"",$R279*INDEX(Cambi!$J$2:$J$5,MATCH($S279,Cambi!$I$2:$I$5,0))/IF($T279="EUR",1,INDEX(Cambi!$D:$D,MATCH($T279&amp;"|"&amp;$U279,Cambi!$C:$C,0))))</f>
        <v/>
      </c>
      <c r="Y279" s="12" t="s">
        <v>654</v>
      </c>
      <c r="Z279" s="12" t="s">
        <v>109</v>
      </c>
      <c r="AA279" s="12" t="s">
        <v>1672</v>
      </c>
      <c r="AB279" s="16" t="s">
        <v>679</v>
      </c>
      <c r="AC279" s="16" t="s">
        <v>1673</v>
      </c>
      <c r="AD279" s="12" t="s">
        <v>166</v>
      </c>
      <c r="AE279" s="12" t="s">
        <v>1674</v>
      </c>
      <c r="AF279" s="12" t="s">
        <v>1710</v>
      </c>
      <c r="AG279" s="12" t="s">
        <v>115</v>
      </c>
      <c r="AH279" s="12" t="s">
        <v>116</v>
      </c>
      <c r="AI279" s="12" t="s">
        <v>117</v>
      </c>
      <c r="AJ279" s="12" t="s">
        <v>1681</v>
      </c>
      <c r="AK279" s="12" t="s">
        <v>4</v>
      </c>
    </row>
    <row r="280" customFormat="false" ht="15" hidden="false" customHeight="false" outlineLevel="0" collapsed="false">
      <c r="A280" s="11" t="n">
        <v>279</v>
      </c>
      <c r="B280" s="12" t="s">
        <v>1702</v>
      </c>
      <c r="C280" s="12" t="s">
        <v>1663</v>
      </c>
      <c r="D280" s="12" t="s">
        <v>1664</v>
      </c>
      <c r="E280" s="12" t="s">
        <v>759</v>
      </c>
      <c r="F280" s="12" t="s">
        <v>1665</v>
      </c>
      <c r="G280" s="12" t="s">
        <v>345</v>
      </c>
      <c r="H280" s="12" t="s">
        <v>1703</v>
      </c>
      <c r="I280" s="12" t="s">
        <v>1239</v>
      </c>
      <c r="J280" s="13" t="s">
        <v>1704</v>
      </c>
      <c r="K280" s="12"/>
      <c r="L280" s="12" t="s">
        <v>1698</v>
      </c>
      <c r="M280" s="12" t="s">
        <v>1711</v>
      </c>
      <c r="N280" s="12" t="s">
        <v>956</v>
      </c>
      <c r="O280" s="12" t="s">
        <v>102</v>
      </c>
      <c r="P280" s="12" t="s">
        <v>103</v>
      </c>
      <c r="Q280" s="12" t="s">
        <v>104</v>
      </c>
      <c r="R280" s="14" t="n">
        <v>6.5</v>
      </c>
      <c r="S280" s="14" t="s">
        <v>129</v>
      </c>
      <c r="T280" s="14" t="s">
        <v>106</v>
      </c>
      <c r="U280" s="14" t="n">
        <v>2020</v>
      </c>
      <c r="V280" s="12" t="s">
        <v>157</v>
      </c>
      <c r="W280" s="14"/>
      <c r="X280" s="15" t="n">
        <f aca="false">IF(OR($S280="%",$R280=""),"",$R280*INDEX(Cambi!$J$2:$J$5,MATCH($S280,Cambi!$I$2:$I$5,0))/IF($T280="EUR",1,INDEX(Cambi!$D:$D,MATCH($T280&amp;"|"&amp;$U280,Cambi!$C:$C,0))))</f>
        <v>6500</v>
      </c>
      <c r="Y280" s="12" t="s">
        <v>654</v>
      </c>
      <c r="Z280" s="12" t="s">
        <v>109</v>
      </c>
      <c r="AA280" s="12" t="s">
        <v>1672</v>
      </c>
      <c r="AB280" s="16" t="s">
        <v>679</v>
      </c>
      <c r="AC280" s="16" t="s">
        <v>1673</v>
      </c>
      <c r="AD280" s="12" t="s">
        <v>166</v>
      </c>
      <c r="AE280" s="12" t="s">
        <v>1674</v>
      </c>
      <c r="AF280" s="12" t="s">
        <v>1712</v>
      </c>
      <c r="AG280" s="12" t="s">
        <v>115</v>
      </c>
      <c r="AH280" s="12" t="s">
        <v>116</v>
      </c>
      <c r="AI280" s="12" t="s">
        <v>117</v>
      </c>
      <c r="AJ280" s="12" t="s">
        <v>1713</v>
      </c>
      <c r="AK280" s="12" t="s">
        <v>4</v>
      </c>
    </row>
    <row r="281" customFormat="false" ht="15" hidden="false" customHeight="false" outlineLevel="0" collapsed="false">
      <c r="A281" s="11" t="n">
        <v>280</v>
      </c>
      <c r="B281" s="12" t="s">
        <v>1714</v>
      </c>
      <c r="C281" s="12" t="s">
        <v>1663</v>
      </c>
      <c r="D281" s="12" t="s">
        <v>1664</v>
      </c>
      <c r="E281" s="12" t="s">
        <v>759</v>
      </c>
      <c r="F281" s="12" t="s">
        <v>1665</v>
      </c>
      <c r="G281" s="12" t="s">
        <v>345</v>
      </c>
      <c r="H281" s="12" t="s">
        <v>1715</v>
      </c>
      <c r="I281" s="12" t="s">
        <v>1716</v>
      </c>
      <c r="J281" s="13" t="s">
        <v>1717</v>
      </c>
      <c r="K281" s="12"/>
      <c r="L281" s="12" t="s">
        <v>1718</v>
      </c>
      <c r="M281" s="12" t="s">
        <v>1719</v>
      </c>
      <c r="N281" s="12" t="s">
        <v>956</v>
      </c>
      <c r="O281" s="12" t="s">
        <v>213</v>
      </c>
      <c r="P281" s="12" t="s">
        <v>155</v>
      </c>
      <c r="Q281" s="12" t="s">
        <v>1679</v>
      </c>
      <c r="R281" s="14" t="n">
        <v>8.3</v>
      </c>
      <c r="S281" s="14" t="s">
        <v>197</v>
      </c>
      <c r="T281" s="14"/>
      <c r="U281" s="14" t="n">
        <v>2020</v>
      </c>
      <c r="V281" s="12" t="s">
        <v>157</v>
      </c>
      <c r="W281" s="14"/>
      <c r="X281" s="15" t="str">
        <f aca="false">IF(OR($S281="%",$R281=""),"",$R281*INDEX(Cambi!$J$2:$J$5,MATCH($S281,Cambi!$I$2:$I$5,0))/IF($T281="EUR",1,INDEX(Cambi!$D:$D,MATCH($T281&amp;"|"&amp;$U281,Cambi!$C:$C,0))))</f>
        <v/>
      </c>
      <c r="Y281" s="12" t="s">
        <v>654</v>
      </c>
      <c r="Z281" s="12" t="s">
        <v>109</v>
      </c>
      <c r="AA281" s="12" t="s">
        <v>1672</v>
      </c>
      <c r="AB281" s="16" t="s">
        <v>679</v>
      </c>
      <c r="AC281" s="16" t="s">
        <v>1673</v>
      </c>
      <c r="AD281" s="12" t="s">
        <v>166</v>
      </c>
      <c r="AE281" s="12" t="s">
        <v>1674</v>
      </c>
      <c r="AF281" s="12" t="s">
        <v>1720</v>
      </c>
      <c r="AG281" s="12" t="s">
        <v>115</v>
      </c>
      <c r="AH281" s="12" t="s">
        <v>116</v>
      </c>
      <c r="AI281" s="12" t="s">
        <v>117</v>
      </c>
      <c r="AJ281" s="12" t="s">
        <v>1721</v>
      </c>
      <c r="AK281" s="12" t="s">
        <v>4</v>
      </c>
    </row>
    <row r="282" customFormat="false" ht="15" hidden="false" customHeight="false" outlineLevel="0" collapsed="false">
      <c r="A282" s="11" t="n">
        <v>281</v>
      </c>
      <c r="B282" s="12" t="s">
        <v>1714</v>
      </c>
      <c r="C282" s="12" t="s">
        <v>1663</v>
      </c>
      <c r="D282" s="12" t="s">
        <v>1664</v>
      </c>
      <c r="E282" s="12" t="s">
        <v>759</v>
      </c>
      <c r="F282" s="12" t="s">
        <v>1665</v>
      </c>
      <c r="G282" s="12" t="s">
        <v>345</v>
      </c>
      <c r="H282" s="12" t="s">
        <v>1715</v>
      </c>
      <c r="I282" s="12" t="s">
        <v>1716</v>
      </c>
      <c r="J282" s="13" t="s">
        <v>1717</v>
      </c>
      <c r="K282" s="12"/>
      <c r="L282" s="12" t="s">
        <v>1691</v>
      </c>
      <c r="M282" s="12" t="s">
        <v>1722</v>
      </c>
      <c r="N282" s="12" t="s">
        <v>956</v>
      </c>
      <c r="O282" s="12" t="s">
        <v>102</v>
      </c>
      <c r="P282" s="12" t="s">
        <v>103</v>
      </c>
      <c r="Q282" s="12" t="s">
        <v>104</v>
      </c>
      <c r="R282" s="14" t="n">
        <v>14.6</v>
      </c>
      <c r="S282" s="14" t="s">
        <v>129</v>
      </c>
      <c r="T282" s="14" t="s">
        <v>106</v>
      </c>
      <c r="U282" s="14" t="n">
        <v>2021</v>
      </c>
      <c r="V282" s="12" t="s">
        <v>157</v>
      </c>
      <c r="W282" s="14" t="s">
        <v>1723</v>
      </c>
      <c r="X282" s="15" t="n">
        <f aca="false">IF(OR($S282="%",$R282=""),"",$R282*INDEX(Cambi!$J$2:$J$5,MATCH($S282,Cambi!$I$2:$I$5,0))/IF($T282="EUR",1,INDEX(Cambi!$D:$D,MATCH($T282&amp;"|"&amp;$U282,Cambi!$C:$C,0))))</f>
        <v>14600</v>
      </c>
      <c r="Y282" s="12" t="s">
        <v>654</v>
      </c>
      <c r="Z282" s="12" t="s">
        <v>109</v>
      </c>
      <c r="AA282" s="12" t="s">
        <v>1672</v>
      </c>
      <c r="AB282" s="16" t="s">
        <v>679</v>
      </c>
      <c r="AC282" s="16" t="s">
        <v>1673</v>
      </c>
      <c r="AD282" s="12" t="s">
        <v>166</v>
      </c>
      <c r="AE282" s="12" t="s">
        <v>1674</v>
      </c>
      <c r="AF282" s="12" t="s">
        <v>1724</v>
      </c>
      <c r="AG282" s="12" t="s">
        <v>115</v>
      </c>
      <c r="AH282" s="12" t="s">
        <v>116</v>
      </c>
      <c r="AI282" s="12" t="s">
        <v>117</v>
      </c>
      <c r="AJ282" s="12" t="s">
        <v>1725</v>
      </c>
      <c r="AK282" s="12" t="s">
        <v>4</v>
      </c>
    </row>
    <row r="283" customFormat="false" ht="15" hidden="false" customHeight="false" outlineLevel="0" collapsed="false">
      <c r="A283" s="11" t="n">
        <v>282</v>
      </c>
      <c r="B283" s="12" t="s">
        <v>1714</v>
      </c>
      <c r="C283" s="12" t="s">
        <v>1663</v>
      </c>
      <c r="D283" s="12" t="s">
        <v>1664</v>
      </c>
      <c r="E283" s="12" t="s">
        <v>759</v>
      </c>
      <c r="F283" s="12" t="s">
        <v>1665</v>
      </c>
      <c r="G283" s="12" t="s">
        <v>345</v>
      </c>
      <c r="H283" s="12" t="s">
        <v>1715</v>
      </c>
      <c r="I283" s="12" t="s">
        <v>1716</v>
      </c>
      <c r="J283" s="13" t="s">
        <v>1717</v>
      </c>
      <c r="K283" s="12"/>
      <c r="L283" s="12" t="s">
        <v>1677</v>
      </c>
      <c r="M283" s="12" t="s">
        <v>1726</v>
      </c>
      <c r="N283" s="12" t="s">
        <v>956</v>
      </c>
      <c r="O283" s="12" t="s">
        <v>196</v>
      </c>
      <c r="P283" s="12" t="s">
        <v>155</v>
      </c>
      <c r="Q283" s="12" t="s">
        <v>1679</v>
      </c>
      <c r="R283" s="14" t="n">
        <v>63</v>
      </c>
      <c r="S283" s="14" t="s">
        <v>197</v>
      </c>
      <c r="T283" s="14"/>
      <c r="U283" s="14" t="n">
        <v>2021</v>
      </c>
      <c r="V283" s="12" t="s">
        <v>157</v>
      </c>
      <c r="W283" s="14"/>
      <c r="X283" s="15" t="str">
        <f aca="false">IF(OR($S283="%",$R283=""),"",$R283*INDEX(Cambi!$J$2:$J$5,MATCH($S283,Cambi!$I$2:$I$5,0))/IF($T283="EUR",1,INDEX(Cambi!$D:$D,MATCH($T283&amp;"|"&amp;$U283,Cambi!$C:$C,0))))</f>
        <v/>
      </c>
      <c r="Y283" s="12" t="s">
        <v>654</v>
      </c>
      <c r="Z283" s="12" t="s">
        <v>109</v>
      </c>
      <c r="AA283" s="12" t="s">
        <v>1672</v>
      </c>
      <c r="AB283" s="16" t="s">
        <v>679</v>
      </c>
      <c r="AC283" s="16" t="s">
        <v>1673</v>
      </c>
      <c r="AD283" s="12" t="s">
        <v>166</v>
      </c>
      <c r="AE283" s="12" t="s">
        <v>1674</v>
      </c>
      <c r="AF283" s="12" t="s">
        <v>1727</v>
      </c>
      <c r="AG283" s="12" t="s">
        <v>115</v>
      </c>
      <c r="AH283" s="12" t="s">
        <v>116</v>
      </c>
      <c r="AI283" s="12" t="s">
        <v>117</v>
      </c>
      <c r="AJ283" s="12" t="s">
        <v>1681</v>
      </c>
      <c r="AK283" s="12" t="s">
        <v>4</v>
      </c>
    </row>
    <row r="284" customFormat="false" ht="15" hidden="false" customHeight="false" outlineLevel="0" collapsed="false">
      <c r="A284" s="11" t="n">
        <v>283</v>
      </c>
      <c r="B284" s="12" t="s">
        <v>1714</v>
      </c>
      <c r="C284" s="12" t="s">
        <v>1663</v>
      </c>
      <c r="D284" s="12" t="s">
        <v>1664</v>
      </c>
      <c r="E284" s="12" t="s">
        <v>759</v>
      </c>
      <c r="F284" s="12" t="s">
        <v>1665</v>
      </c>
      <c r="G284" s="12" t="s">
        <v>345</v>
      </c>
      <c r="H284" s="12" t="s">
        <v>1715</v>
      </c>
      <c r="I284" s="12" t="s">
        <v>1716</v>
      </c>
      <c r="J284" s="13" t="s">
        <v>1717</v>
      </c>
      <c r="K284" s="12"/>
      <c r="L284" s="12" t="s">
        <v>1698</v>
      </c>
      <c r="M284" s="12" t="s">
        <v>1728</v>
      </c>
      <c r="N284" s="12" t="s">
        <v>956</v>
      </c>
      <c r="O284" s="12" t="s">
        <v>102</v>
      </c>
      <c r="P284" s="12" t="s">
        <v>103</v>
      </c>
      <c r="Q284" s="12" t="s">
        <v>104</v>
      </c>
      <c r="R284" s="14" t="n">
        <v>7.1</v>
      </c>
      <c r="S284" s="14" t="s">
        <v>129</v>
      </c>
      <c r="T284" s="14" t="s">
        <v>106</v>
      </c>
      <c r="U284" s="14" t="n">
        <v>2021</v>
      </c>
      <c r="V284" s="12" t="s">
        <v>157</v>
      </c>
      <c r="W284" s="14"/>
      <c r="X284" s="15" t="n">
        <f aca="false">IF(OR($S284="%",$R284=""),"",$R284*INDEX(Cambi!$J$2:$J$5,MATCH($S284,Cambi!$I$2:$I$5,0))/IF($T284="EUR",1,INDEX(Cambi!$D:$D,MATCH($T284&amp;"|"&amp;$U284,Cambi!$C:$C,0))))</f>
        <v>7100</v>
      </c>
      <c r="Y284" s="12" t="s">
        <v>654</v>
      </c>
      <c r="Z284" s="12" t="s">
        <v>109</v>
      </c>
      <c r="AA284" s="12" t="s">
        <v>1672</v>
      </c>
      <c r="AB284" s="16" t="s">
        <v>679</v>
      </c>
      <c r="AC284" s="16" t="s">
        <v>1673</v>
      </c>
      <c r="AD284" s="12" t="s">
        <v>166</v>
      </c>
      <c r="AE284" s="12" t="s">
        <v>1674</v>
      </c>
      <c r="AF284" s="12" t="s">
        <v>1729</v>
      </c>
      <c r="AG284" s="12" t="s">
        <v>115</v>
      </c>
      <c r="AH284" s="12" t="s">
        <v>116</v>
      </c>
      <c r="AI284" s="12" t="s">
        <v>117</v>
      </c>
      <c r="AJ284" s="12" t="s">
        <v>1730</v>
      </c>
      <c r="AK284" s="12" t="s">
        <v>4</v>
      </c>
    </row>
    <row r="285" customFormat="false" ht="15" hidden="false" customHeight="false" outlineLevel="0" collapsed="false">
      <c r="A285" s="11" t="n">
        <v>284</v>
      </c>
      <c r="B285" s="12" t="s">
        <v>1731</v>
      </c>
      <c r="C285" s="12" t="s">
        <v>1663</v>
      </c>
      <c r="D285" s="12" t="s">
        <v>1664</v>
      </c>
      <c r="E285" s="12" t="s">
        <v>759</v>
      </c>
      <c r="F285" s="12" t="s">
        <v>1665</v>
      </c>
      <c r="G285" s="12" t="s">
        <v>345</v>
      </c>
      <c r="H285" s="12" t="s">
        <v>1732</v>
      </c>
      <c r="I285" s="12" t="s">
        <v>1131</v>
      </c>
      <c r="J285" s="13" t="s">
        <v>1733</v>
      </c>
      <c r="K285" s="12"/>
      <c r="L285" s="12" t="s">
        <v>1691</v>
      </c>
      <c r="M285" s="12" t="s">
        <v>1734</v>
      </c>
      <c r="N285" s="12" t="s">
        <v>956</v>
      </c>
      <c r="O285" s="12" t="s">
        <v>102</v>
      </c>
      <c r="P285" s="12" t="s">
        <v>103</v>
      </c>
      <c r="Q285" s="12" t="s">
        <v>104</v>
      </c>
      <c r="R285" s="14" t="n">
        <v>17.7</v>
      </c>
      <c r="S285" s="14" t="s">
        <v>129</v>
      </c>
      <c r="T285" s="14" t="s">
        <v>106</v>
      </c>
      <c r="U285" s="14" t="n">
        <v>2022</v>
      </c>
      <c r="V285" s="12" t="s">
        <v>157</v>
      </c>
      <c r="W285" s="14" t="s">
        <v>1735</v>
      </c>
      <c r="X285" s="15" t="n">
        <f aca="false">IF(OR($S285="%",$R285=""),"",$R285*INDEX(Cambi!$J$2:$J$5,MATCH($S285,Cambi!$I$2:$I$5,0))/IF($T285="EUR",1,INDEX(Cambi!$D:$D,MATCH($T285&amp;"|"&amp;$U285,Cambi!$C:$C,0))))</f>
        <v>17700</v>
      </c>
      <c r="Y285" s="12" t="s">
        <v>654</v>
      </c>
      <c r="Z285" s="12" t="s">
        <v>109</v>
      </c>
      <c r="AA285" s="12" t="s">
        <v>1672</v>
      </c>
      <c r="AB285" s="16" t="s">
        <v>679</v>
      </c>
      <c r="AC285" s="16" t="s">
        <v>1673</v>
      </c>
      <c r="AD285" s="12" t="s">
        <v>166</v>
      </c>
      <c r="AE285" s="12" t="s">
        <v>1674</v>
      </c>
      <c r="AF285" s="12" t="s">
        <v>1736</v>
      </c>
      <c r="AG285" s="12" t="s">
        <v>115</v>
      </c>
      <c r="AH285" s="12" t="s">
        <v>116</v>
      </c>
      <c r="AI285" s="12" t="s">
        <v>117</v>
      </c>
      <c r="AJ285" s="12" t="s">
        <v>1737</v>
      </c>
      <c r="AK285" s="12" t="s">
        <v>4</v>
      </c>
    </row>
    <row r="286" customFormat="false" ht="15" hidden="false" customHeight="false" outlineLevel="0" collapsed="false">
      <c r="A286" s="11" t="n">
        <v>285</v>
      </c>
      <c r="B286" s="12" t="s">
        <v>1731</v>
      </c>
      <c r="C286" s="12" t="s">
        <v>1663</v>
      </c>
      <c r="D286" s="12" t="s">
        <v>1664</v>
      </c>
      <c r="E286" s="12" t="s">
        <v>759</v>
      </c>
      <c r="F286" s="12" t="s">
        <v>1665</v>
      </c>
      <c r="G286" s="12" t="s">
        <v>345</v>
      </c>
      <c r="H286" s="12" t="s">
        <v>1732</v>
      </c>
      <c r="I286" s="12" t="s">
        <v>1131</v>
      </c>
      <c r="J286" s="13" t="s">
        <v>1733</v>
      </c>
      <c r="K286" s="12"/>
      <c r="L286" s="12" t="s">
        <v>1738</v>
      </c>
      <c r="M286" s="12" t="s">
        <v>1739</v>
      </c>
      <c r="N286" s="12" t="s">
        <v>956</v>
      </c>
      <c r="O286" s="12" t="s">
        <v>196</v>
      </c>
      <c r="P286" s="12" t="s">
        <v>155</v>
      </c>
      <c r="Q286" s="12" t="s">
        <v>1740</v>
      </c>
      <c r="R286" s="14" t="n">
        <v>29</v>
      </c>
      <c r="S286" s="14" t="s">
        <v>197</v>
      </c>
      <c r="T286" s="14"/>
      <c r="U286" s="14" t="n">
        <v>2022</v>
      </c>
      <c r="V286" s="12" t="s">
        <v>157</v>
      </c>
      <c r="W286" s="14"/>
      <c r="X286" s="15" t="str">
        <f aca="false">IF(OR($S286="%",$R286=""),"",$R286*INDEX(Cambi!$J$2:$J$5,MATCH($S286,Cambi!$I$2:$I$5,0))/IF($T286="EUR",1,INDEX(Cambi!$D:$D,MATCH($T286&amp;"|"&amp;$U286,Cambi!$C:$C,0))))</f>
        <v/>
      </c>
      <c r="Y286" s="12" t="s">
        <v>654</v>
      </c>
      <c r="Z286" s="12" t="s">
        <v>109</v>
      </c>
      <c r="AA286" s="12" t="s">
        <v>1672</v>
      </c>
      <c r="AB286" s="16" t="s">
        <v>679</v>
      </c>
      <c r="AC286" s="16" t="s">
        <v>1673</v>
      </c>
      <c r="AD286" s="12" t="s">
        <v>166</v>
      </c>
      <c r="AE286" s="12" t="s">
        <v>1674</v>
      </c>
      <c r="AF286" s="12" t="s">
        <v>1741</v>
      </c>
      <c r="AG286" s="12" t="s">
        <v>115</v>
      </c>
      <c r="AH286" s="12" t="s">
        <v>116</v>
      </c>
      <c r="AI286" s="12" t="s">
        <v>117</v>
      </c>
      <c r="AJ286" s="12" t="s">
        <v>1681</v>
      </c>
      <c r="AK286" s="12" t="s">
        <v>4</v>
      </c>
    </row>
    <row r="287" customFormat="false" ht="15" hidden="false" customHeight="false" outlineLevel="0" collapsed="false">
      <c r="A287" s="11" t="n">
        <v>286</v>
      </c>
      <c r="B287" s="12" t="s">
        <v>1731</v>
      </c>
      <c r="C287" s="12" t="s">
        <v>1663</v>
      </c>
      <c r="D287" s="12" t="s">
        <v>1664</v>
      </c>
      <c r="E287" s="12" t="s">
        <v>759</v>
      </c>
      <c r="F287" s="12" t="s">
        <v>1665</v>
      </c>
      <c r="G287" s="12" t="s">
        <v>345</v>
      </c>
      <c r="H287" s="12" t="s">
        <v>1732</v>
      </c>
      <c r="I287" s="12" t="s">
        <v>1131</v>
      </c>
      <c r="J287" s="13" t="s">
        <v>1733</v>
      </c>
      <c r="K287" s="12"/>
      <c r="L287" s="12" t="s">
        <v>1677</v>
      </c>
      <c r="M287" s="12" t="s">
        <v>1742</v>
      </c>
      <c r="N287" s="12" t="s">
        <v>956</v>
      </c>
      <c r="O287" s="12" t="s">
        <v>196</v>
      </c>
      <c r="P287" s="12" t="s">
        <v>155</v>
      </c>
      <c r="Q287" s="12" t="s">
        <v>1679</v>
      </c>
      <c r="R287" s="14" t="n">
        <v>56</v>
      </c>
      <c r="S287" s="14" t="s">
        <v>197</v>
      </c>
      <c r="T287" s="14"/>
      <c r="U287" s="14" t="n">
        <v>2022</v>
      </c>
      <c r="V287" s="12" t="s">
        <v>157</v>
      </c>
      <c r="W287" s="14"/>
      <c r="X287" s="15" t="str">
        <f aca="false">IF(OR($S287="%",$R287=""),"",$R287*INDEX(Cambi!$J$2:$J$5,MATCH($S287,Cambi!$I$2:$I$5,0))/IF($T287="EUR",1,INDEX(Cambi!$D:$D,MATCH($T287&amp;"|"&amp;$U287,Cambi!$C:$C,0))))</f>
        <v/>
      </c>
      <c r="Y287" s="12" t="s">
        <v>654</v>
      </c>
      <c r="Z287" s="12" t="s">
        <v>109</v>
      </c>
      <c r="AA287" s="12" t="s">
        <v>1672</v>
      </c>
      <c r="AB287" s="16" t="s">
        <v>679</v>
      </c>
      <c r="AC287" s="16" t="s">
        <v>1673</v>
      </c>
      <c r="AD287" s="12" t="s">
        <v>166</v>
      </c>
      <c r="AE287" s="12" t="s">
        <v>1674</v>
      </c>
      <c r="AF287" s="12" t="s">
        <v>1743</v>
      </c>
      <c r="AG287" s="12" t="s">
        <v>115</v>
      </c>
      <c r="AH287" s="12" t="s">
        <v>116</v>
      </c>
      <c r="AI287" s="12" t="s">
        <v>117</v>
      </c>
      <c r="AJ287" s="12" t="s">
        <v>1744</v>
      </c>
      <c r="AK287" s="12" t="s">
        <v>4</v>
      </c>
    </row>
    <row r="288" customFormat="false" ht="15" hidden="false" customHeight="false" outlineLevel="0" collapsed="false">
      <c r="A288" s="11" t="n">
        <v>287</v>
      </c>
      <c r="B288" s="12" t="s">
        <v>1731</v>
      </c>
      <c r="C288" s="12" t="s">
        <v>1663</v>
      </c>
      <c r="D288" s="12" t="s">
        <v>1664</v>
      </c>
      <c r="E288" s="12" t="s">
        <v>759</v>
      </c>
      <c r="F288" s="12" t="s">
        <v>1665</v>
      </c>
      <c r="G288" s="12" t="s">
        <v>345</v>
      </c>
      <c r="H288" s="12" t="s">
        <v>1732</v>
      </c>
      <c r="I288" s="12" t="s">
        <v>1131</v>
      </c>
      <c r="J288" s="13" t="s">
        <v>1733</v>
      </c>
      <c r="K288" s="12"/>
      <c r="L288" s="12" t="s">
        <v>1698</v>
      </c>
      <c r="M288" s="12" t="s">
        <v>1745</v>
      </c>
      <c r="N288" s="12" t="s">
        <v>956</v>
      </c>
      <c r="O288" s="12" t="s">
        <v>102</v>
      </c>
      <c r="P288" s="12" t="s">
        <v>103</v>
      </c>
      <c r="Q288" s="12" t="s">
        <v>104</v>
      </c>
      <c r="R288" s="14" t="n">
        <v>8.4</v>
      </c>
      <c r="S288" s="14" t="s">
        <v>129</v>
      </c>
      <c r="T288" s="14" t="s">
        <v>106</v>
      </c>
      <c r="U288" s="14" t="n">
        <v>2022</v>
      </c>
      <c r="V288" s="12" t="s">
        <v>157</v>
      </c>
      <c r="W288" s="14"/>
      <c r="X288" s="15" t="n">
        <f aca="false">IF(OR($S288="%",$R288=""),"",$R288*INDEX(Cambi!$J$2:$J$5,MATCH($S288,Cambi!$I$2:$I$5,0))/IF($T288="EUR",1,INDEX(Cambi!$D:$D,MATCH($T288&amp;"|"&amp;$U288,Cambi!$C:$C,0))))</f>
        <v>8400</v>
      </c>
      <c r="Y288" s="12" t="s">
        <v>654</v>
      </c>
      <c r="Z288" s="12" t="s">
        <v>109</v>
      </c>
      <c r="AA288" s="12" t="s">
        <v>1672</v>
      </c>
      <c r="AB288" s="16" t="s">
        <v>679</v>
      </c>
      <c r="AC288" s="16" t="s">
        <v>1673</v>
      </c>
      <c r="AD288" s="12" t="s">
        <v>166</v>
      </c>
      <c r="AE288" s="12" t="s">
        <v>1674</v>
      </c>
      <c r="AF288" s="12" t="s">
        <v>1746</v>
      </c>
      <c r="AG288" s="12" t="s">
        <v>115</v>
      </c>
      <c r="AH288" s="12" t="s">
        <v>116</v>
      </c>
      <c r="AI288" s="12" t="s">
        <v>117</v>
      </c>
      <c r="AJ288" s="12" t="s">
        <v>1747</v>
      </c>
      <c r="AK288" s="12" t="s">
        <v>4</v>
      </c>
    </row>
    <row r="289" customFormat="false" ht="15" hidden="false" customHeight="false" outlineLevel="0" collapsed="false">
      <c r="A289" s="11" t="n">
        <v>288</v>
      </c>
      <c r="B289" s="12" t="s">
        <v>1748</v>
      </c>
      <c r="C289" s="12" t="s">
        <v>1663</v>
      </c>
      <c r="D289" s="12" t="s">
        <v>1664</v>
      </c>
      <c r="E289" s="12" t="s">
        <v>759</v>
      </c>
      <c r="F289" s="12" t="s">
        <v>1665</v>
      </c>
      <c r="G289" s="12" t="s">
        <v>345</v>
      </c>
      <c r="H289" s="12" t="s">
        <v>1749</v>
      </c>
      <c r="I289" s="12" t="s">
        <v>1750</v>
      </c>
      <c r="J289" s="13" t="s">
        <v>1751</v>
      </c>
      <c r="K289" s="12"/>
      <c r="L289" s="12" t="s">
        <v>1691</v>
      </c>
      <c r="M289" s="12" t="s">
        <v>1752</v>
      </c>
      <c r="N289" s="12" t="s">
        <v>956</v>
      </c>
      <c r="O289" s="12" t="s">
        <v>102</v>
      </c>
      <c r="P289" s="12" t="s">
        <v>103</v>
      </c>
      <c r="Q289" s="12" t="s">
        <v>104</v>
      </c>
      <c r="R289" s="14" t="n">
        <v>19</v>
      </c>
      <c r="S289" s="14" t="s">
        <v>129</v>
      </c>
      <c r="T289" s="14" t="s">
        <v>106</v>
      </c>
      <c r="U289" s="14" t="n">
        <v>2023</v>
      </c>
      <c r="V289" s="12" t="s">
        <v>157</v>
      </c>
      <c r="W289" s="14" t="s">
        <v>1753</v>
      </c>
      <c r="X289" s="15" t="n">
        <f aca="false">IF(OR($S289="%",$R289=""),"",$R289*INDEX(Cambi!$J$2:$J$5,MATCH($S289,Cambi!$I$2:$I$5,0))/IF($T289="EUR",1,INDEX(Cambi!$D:$D,MATCH($T289&amp;"|"&amp;$U289,Cambi!$C:$C,0))))</f>
        <v>19000</v>
      </c>
      <c r="Y289" s="12" t="s">
        <v>654</v>
      </c>
      <c r="Z289" s="12" t="s">
        <v>109</v>
      </c>
      <c r="AA289" s="12" t="s">
        <v>1672</v>
      </c>
      <c r="AB289" s="16" t="s">
        <v>679</v>
      </c>
      <c r="AC289" s="16" t="s">
        <v>1673</v>
      </c>
      <c r="AD289" s="12" t="s">
        <v>166</v>
      </c>
      <c r="AE289" s="12" t="s">
        <v>1674</v>
      </c>
      <c r="AF289" s="12" t="s">
        <v>1754</v>
      </c>
      <c r="AG289" s="12" t="s">
        <v>115</v>
      </c>
      <c r="AH289" s="12" t="s">
        <v>116</v>
      </c>
      <c r="AI289" s="12" t="s">
        <v>117</v>
      </c>
      <c r="AJ289" s="12" t="s">
        <v>1755</v>
      </c>
      <c r="AK289" s="12" t="s">
        <v>4</v>
      </c>
    </row>
    <row r="290" customFormat="false" ht="15" hidden="false" customHeight="false" outlineLevel="0" collapsed="false">
      <c r="A290" s="11" t="n">
        <v>289</v>
      </c>
      <c r="B290" s="12" t="s">
        <v>1748</v>
      </c>
      <c r="C290" s="12" t="s">
        <v>1663</v>
      </c>
      <c r="D290" s="12" t="s">
        <v>1664</v>
      </c>
      <c r="E290" s="12" t="s">
        <v>759</v>
      </c>
      <c r="F290" s="12" t="s">
        <v>1665</v>
      </c>
      <c r="G290" s="12" t="s">
        <v>345</v>
      </c>
      <c r="H290" s="12" t="s">
        <v>1749</v>
      </c>
      <c r="I290" s="12" t="s">
        <v>1750</v>
      </c>
      <c r="J290" s="13" t="s">
        <v>1751</v>
      </c>
      <c r="K290" s="12"/>
      <c r="L290" s="12" t="s">
        <v>1756</v>
      </c>
      <c r="M290" s="12" t="s">
        <v>1757</v>
      </c>
      <c r="N290" s="12" t="s">
        <v>956</v>
      </c>
      <c r="O290" s="12" t="s">
        <v>213</v>
      </c>
      <c r="P290" s="12" t="s">
        <v>155</v>
      </c>
      <c r="Q290" s="12" t="s">
        <v>1679</v>
      </c>
      <c r="R290" s="14" t="n">
        <v>10.1</v>
      </c>
      <c r="S290" s="14" t="s">
        <v>197</v>
      </c>
      <c r="T290" s="14"/>
      <c r="U290" s="14" t="n">
        <v>2023</v>
      </c>
      <c r="V290" s="12" t="s">
        <v>157</v>
      </c>
      <c r="W290" s="14"/>
      <c r="X290" s="15" t="str">
        <f aca="false">IF(OR($S290="%",$R290=""),"",$R290*INDEX(Cambi!$J$2:$J$5,MATCH($S290,Cambi!$I$2:$I$5,0))/IF($T290="EUR",1,INDEX(Cambi!$D:$D,MATCH($T290&amp;"|"&amp;$U290,Cambi!$C:$C,0))))</f>
        <v/>
      </c>
      <c r="Y290" s="12" t="s">
        <v>654</v>
      </c>
      <c r="Z290" s="12" t="s">
        <v>109</v>
      </c>
      <c r="AA290" s="12" t="s">
        <v>1672</v>
      </c>
      <c r="AB290" s="16" t="s">
        <v>679</v>
      </c>
      <c r="AC290" s="16" t="s">
        <v>1673</v>
      </c>
      <c r="AD290" s="12" t="s">
        <v>166</v>
      </c>
      <c r="AE290" s="12" t="s">
        <v>1674</v>
      </c>
      <c r="AF290" s="12" t="s">
        <v>1758</v>
      </c>
      <c r="AG290" s="12" t="s">
        <v>115</v>
      </c>
      <c r="AH290" s="12" t="s">
        <v>116</v>
      </c>
      <c r="AI290" s="12" t="s">
        <v>117</v>
      </c>
      <c r="AJ290" s="12" t="s">
        <v>1681</v>
      </c>
      <c r="AK290" s="12" t="s">
        <v>4</v>
      </c>
    </row>
    <row r="291" customFormat="false" ht="15" hidden="false" customHeight="false" outlineLevel="0" collapsed="false">
      <c r="A291" s="11" t="n">
        <v>290</v>
      </c>
      <c r="B291" s="12" t="s">
        <v>1748</v>
      </c>
      <c r="C291" s="12" t="s">
        <v>1663</v>
      </c>
      <c r="D291" s="12" t="s">
        <v>1664</v>
      </c>
      <c r="E291" s="12" t="s">
        <v>759</v>
      </c>
      <c r="F291" s="12" t="s">
        <v>1665</v>
      </c>
      <c r="G291" s="12" t="s">
        <v>345</v>
      </c>
      <c r="H291" s="12" t="s">
        <v>1749</v>
      </c>
      <c r="I291" s="12" t="s">
        <v>1750</v>
      </c>
      <c r="J291" s="13" t="s">
        <v>1751</v>
      </c>
      <c r="K291" s="12"/>
      <c r="L291" s="12" t="s">
        <v>1738</v>
      </c>
      <c r="M291" s="12" t="s">
        <v>1759</v>
      </c>
      <c r="N291" s="12" t="s">
        <v>956</v>
      </c>
      <c r="O291" s="12" t="s">
        <v>196</v>
      </c>
      <c r="P291" s="12" t="s">
        <v>155</v>
      </c>
      <c r="Q291" s="12" t="s">
        <v>1740</v>
      </c>
      <c r="R291" s="14" t="n">
        <v>30</v>
      </c>
      <c r="S291" s="14" t="s">
        <v>197</v>
      </c>
      <c r="T291" s="14"/>
      <c r="U291" s="14" t="n">
        <v>2023</v>
      </c>
      <c r="V291" s="12" t="s">
        <v>157</v>
      </c>
      <c r="W291" s="14"/>
      <c r="X291" s="15" t="str">
        <f aca="false">IF(OR($S291="%",$R291=""),"",$R291*INDEX(Cambi!$J$2:$J$5,MATCH($S291,Cambi!$I$2:$I$5,0))/IF($T291="EUR",1,INDEX(Cambi!$D:$D,MATCH($T291&amp;"|"&amp;$U291,Cambi!$C:$C,0))))</f>
        <v/>
      </c>
      <c r="Y291" s="12" t="s">
        <v>654</v>
      </c>
      <c r="Z291" s="12" t="s">
        <v>109</v>
      </c>
      <c r="AA291" s="12" t="s">
        <v>1672</v>
      </c>
      <c r="AB291" s="16" t="s">
        <v>679</v>
      </c>
      <c r="AC291" s="16" t="s">
        <v>1673</v>
      </c>
      <c r="AD291" s="12" t="s">
        <v>166</v>
      </c>
      <c r="AE291" s="12" t="s">
        <v>1674</v>
      </c>
      <c r="AF291" s="12" t="s">
        <v>1760</v>
      </c>
      <c r="AG291" s="12" t="s">
        <v>115</v>
      </c>
      <c r="AH291" s="12" t="s">
        <v>116</v>
      </c>
      <c r="AI291" s="12" t="s">
        <v>117</v>
      </c>
      <c r="AJ291" s="12" t="s">
        <v>1681</v>
      </c>
      <c r="AK291" s="12" t="s">
        <v>4</v>
      </c>
    </row>
    <row r="292" customFormat="false" ht="15" hidden="false" customHeight="false" outlineLevel="0" collapsed="false">
      <c r="A292" s="11" t="n">
        <v>291</v>
      </c>
      <c r="B292" s="12" t="s">
        <v>1748</v>
      </c>
      <c r="C292" s="12" t="s">
        <v>1663</v>
      </c>
      <c r="D292" s="12" t="s">
        <v>1664</v>
      </c>
      <c r="E292" s="12" t="s">
        <v>759</v>
      </c>
      <c r="F292" s="12" t="s">
        <v>1665</v>
      </c>
      <c r="G292" s="12" t="s">
        <v>345</v>
      </c>
      <c r="H292" s="12" t="s">
        <v>1749</v>
      </c>
      <c r="I292" s="12" t="s">
        <v>1750</v>
      </c>
      <c r="J292" s="13" t="s">
        <v>1751</v>
      </c>
      <c r="K292" s="12"/>
      <c r="L292" s="12" t="s">
        <v>1677</v>
      </c>
      <c r="M292" s="12" t="s">
        <v>1761</v>
      </c>
      <c r="N292" s="12" t="s">
        <v>956</v>
      </c>
      <c r="O292" s="12" t="s">
        <v>196</v>
      </c>
      <c r="P292" s="12" t="s">
        <v>155</v>
      </c>
      <c r="Q292" s="12" t="s">
        <v>1679</v>
      </c>
      <c r="R292" s="14" t="n">
        <v>55</v>
      </c>
      <c r="S292" s="14" t="s">
        <v>197</v>
      </c>
      <c r="T292" s="14"/>
      <c r="U292" s="14" t="n">
        <v>2023</v>
      </c>
      <c r="V292" s="12" t="s">
        <v>157</v>
      </c>
      <c r="W292" s="14"/>
      <c r="X292" s="15" t="str">
        <f aca="false">IF(OR($S292="%",$R292=""),"",$R292*INDEX(Cambi!$J$2:$J$5,MATCH($S292,Cambi!$I$2:$I$5,0))/IF($T292="EUR",1,INDEX(Cambi!$D:$D,MATCH($T292&amp;"|"&amp;$U292,Cambi!$C:$C,0))))</f>
        <v/>
      </c>
      <c r="Y292" s="12" t="s">
        <v>654</v>
      </c>
      <c r="Z292" s="12" t="s">
        <v>109</v>
      </c>
      <c r="AA292" s="12" t="s">
        <v>1672</v>
      </c>
      <c r="AB292" s="16" t="s">
        <v>679</v>
      </c>
      <c r="AC292" s="16" t="s">
        <v>1673</v>
      </c>
      <c r="AD292" s="12" t="s">
        <v>166</v>
      </c>
      <c r="AE292" s="12" t="s">
        <v>1674</v>
      </c>
      <c r="AF292" s="12" t="s">
        <v>1762</v>
      </c>
      <c r="AG292" s="12" t="s">
        <v>115</v>
      </c>
      <c r="AH292" s="12" t="s">
        <v>116</v>
      </c>
      <c r="AI292" s="12" t="s">
        <v>117</v>
      </c>
      <c r="AJ292" s="12" t="s">
        <v>1681</v>
      </c>
      <c r="AK292" s="12" t="s">
        <v>4</v>
      </c>
    </row>
    <row r="293" customFormat="false" ht="15" hidden="false" customHeight="false" outlineLevel="0" collapsed="false">
      <c r="A293" s="11" t="n">
        <v>292</v>
      </c>
      <c r="B293" s="12" t="s">
        <v>1748</v>
      </c>
      <c r="C293" s="12" t="s">
        <v>1663</v>
      </c>
      <c r="D293" s="12" t="s">
        <v>1664</v>
      </c>
      <c r="E293" s="12" t="s">
        <v>759</v>
      </c>
      <c r="F293" s="12" t="s">
        <v>1665</v>
      </c>
      <c r="G293" s="12" t="s">
        <v>345</v>
      </c>
      <c r="H293" s="12" t="s">
        <v>1749</v>
      </c>
      <c r="I293" s="12" t="s">
        <v>1750</v>
      </c>
      <c r="J293" s="13" t="s">
        <v>1751</v>
      </c>
      <c r="K293" s="12"/>
      <c r="L293" s="12" t="s">
        <v>1698</v>
      </c>
      <c r="M293" s="12" t="s">
        <v>1763</v>
      </c>
      <c r="N293" s="12" t="s">
        <v>956</v>
      </c>
      <c r="O293" s="12" t="s">
        <v>102</v>
      </c>
      <c r="P293" s="12" t="s">
        <v>103</v>
      </c>
      <c r="Q293" s="12" t="s">
        <v>104</v>
      </c>
      <c r="R293" s="14" t="n">
        <v>9</v>
      </c>
      <c r="S293" s="14" t="s">
        <v>129</v>
      </c>
      <c r="T293" s="14" t="s">
        <v>106</v>
      </c>
      <c r="U293" s="14" t="n">
        <v>2023</v>
      </c>
      <c r="V293" s="12" t="s">
        <v>157</v>
      </c>
      <c r="W293" s="14"/>
      <c r="X293" s="15" t="n">
        <f aca="false">IF(OR($S293="%",$R293=""),"",$R293*INDEX(Cambi!$J$2:$J$5,MATCH($S293,Cambi!$I$2:$I$5,0))/IF($T293="EUR",1,INDEX(Cambi!$D:$D,MATCH($T293&amp;"|"&amp;$U293,Cambi!$C:$C,0))))</f>
        <v>9000</v>
      </c>
      <c r="Y293" s="12" t="s">
        <v>654</v>
      </c>
      <c r="Z293" s="12" t="s">
        <v>109</v>
      </c>
      <c r="AA293" s="12" t="s">
        <v>1672</v>
      </c>
      <c r="AB293" s="16" t="s">
        <v>679</v>
      </c>
      <c r="AC293" s="16" t="s">
        <v>1673</v>
      </c>
      <c r="AD293" s="12" t="s">
        <v>166</v>
      </c>
      <c r="AE293" s="12" t="s">
        <v>1674</v>
      </c>
      <c r="AF293" s="12" t="s">
        <v>1764</v>
      </c>
      <c r="AG293" s="12" t="s">
        <v>115</v>
      </c>
      <c r="AH293" s="12" t="s">
        <v>116</v>
      </c>
      <c r="AI293" s="12" t="s">
        <v>117</v>
      </c>
      <c r="AJ293" s="12" t="s">
        <v>1765</v>
      </c>
      <c r="AK293" s="12" t="s">
        <v>4</v>
      </c>
    </row>
    <row r="294" customFormat="false" ht="15" hidden="false" customHeight="false" outlineLevel="0" collapsed="false">
      <c r="A294" s="11" t="n">
        <v>293</v>
      </c>
      <c r="B294" s="12" t="s">
        <v>1766</v>
      </c>
      <c r="C294" s="12" t="s">
        <v>1663</v>
      </c>
      <c r="D294" s="12" t="s">
        <v>1664</v>
      </c>
      <c r="E294" s="12" t="s">
        <v>759</v>
      </c>
      <c r="F294" s="12" t="s">
        <v>1665</v>
      </c>
      <c r="G294" s="12" t="s">
        <v>345</v>
      </c>
      <c r="H294" s="12" t="s">
        <v>1767</v>
      </c>
      <c r="I294" s="12" t="s">
        <v>376</v>
      </c>
      <c r="J294" s="13" t="s">
        <v>1768</v>
      </c>
      <c r="K294" s="12"/>
      <c r="L294" s="12" t="s">
        <v>1769</v>
      </c>
      <c r="M294" s="12" t="s">
        <v>1770</v>
      </c>
      <c r="N294" s="12" t="s">
        <v>956</v>
      </c>
      <c r="O294" s="12" t="s">
        <v>102</v>
      </c>
      <c r="P294" s="12" t="s">
        <v>103</v>
      </c>
      <c r="Q294" s="12" t="s">
        <v>104</v>
      </c>
      <c r="R294" s="14" t="n">
        <v>21.3</v>
      </c>
      <c r="S294" s="14" t="s">
        <v>129</v>
      </c>
      <c r="T294" s="14" t="s">
        <v>106</v>
      </c>
      <c r="U294" s="14" t="n">
        <v>2024</v>
      </c>
      <c r="V294" s="12" t="s">
        <v>157</v>
      </c>
      <c r="W294" s="14"/>
      <c r="X294" s="15" t="n">
        <f aca="false">IF(OR($S294="%",$R294=""),"",$R294*INDEX(Cambi!$J$2:$J$5,MATCH($S294,Cambi!$I$2:$I$5,0))/IF($T294="EUR",1,INDEX(Cambi!$D:$D,MATCH($T294&amp;"|"&amp;$U294,Cambi!$C:$C,0))))</f>
        <v>21300</v>
      </c>
      <c r="Y294" s="12" t="s">
        <v>654</v>
      </c>
      <c r="Z294" s="12" t="s">
        <v>109</v>
      </c>
      <c r="AA294" s="12" t="s">
        <v>1672</v>
      </c>
      <c r="AB294" s="16" t="s">
        <v>679</v>
      </c>
      <c r="AC294" s="16" t="s">
        <v>1673</v>
      </c>
      <c r="AD294" s="12" t="s">
        <v>166</v>
      </c>
      <c r="AE294" s="12" t="s">
        <v>1674</v>
      </c>
      <c r="AF294" s="12" t="s">
        <v>1771</v>
      </c>
      <c r="AG294" s="12" t="s">
        <v>115</v>
      </c>
      <c r="AH294" s="12" t="s">
        <v>116</v>
      </c>
      <c r="AI294" s="12" t="s">
        <v>117</v>
      </c>
      <c r="AJ294" s="12" t="s">
        <v>1772</v>
      </c>
      <c r="AK294" s="12" t="s">
        <v>4</v>
      </c>
    </row>
    <row r="295" customFormat="false" ht="15" hidden="false" customHeight="false" outlineLevel="0" collapsed="false">
      <c r="A295" s="11" t="n">
        <v>294</v>
      </c>
      <c r="B295" s="12" t="s">
        <v>1766</v>
      </c>
      <c r="C295" s="12" t="s">
        <v>1663</v>
      </c>
      <c r="D295" s="12" t="s">
        <v>1664</v>
      </c>
      <c r="E295" s="12" t="s">
        <v>759</v>
      </c>
      <c r="F295" s="12" t="s">
        <v>1665</v>
      </c>
      <c r="G295" s="12" t="s">
        <v>345</v>
      </c>
      <c r="H295" s="12" t="s">
        <v>1767</v>
      </c>
      <c r="I295" s="12" t="s">
        <v>376</v>
      </c>
      <c r="J295" s="13" t="s">
        <v>1768</v>
      </c>
      <c r="K295" s="12"/>
      <c r="L295" s="12" t="s">
        <v>1773</v>
      </c>
      <c r="M295" s="12" t="s">
        <v>1774</v>
      </c>
      <c r="N295" s="12" t="s">
        <v>956</v>
      </c>
      <c r="O295" s="12" t="s">
        <v>196</v>
      </c>
      <c r="P295" s="12" t="s">
        <v>155</v>
      </c>
      <c r="Q295" s="12" t="s">
        <v>1679</v>
      </c>
      <c r="R295" s="14" t="n">
        <v>53</v>
      </c>
      <c r="S295" s="14" t="s">
        <v>197</v>
      </c>
      <c r="T295" s="14"/>
      <c r="U295" s="14" t="n">
        <v>2024</v>
      </c>
      <c r="V295" s="12" t="s">
        <v>157</v>
      </c>
      <c r="W295" s="14"/>
      <c r="X295" s="15" t="str">
        <f aca="false">IF(OR($S295="%",$R295=""),"",$R295*INDEX(Cambi!$J$2:$J$5,MATCH($S295,Cambi!$I$2:$I$5,0))/IF($T295="EUR",1,INDEX(Cambi!$D:$D,MATCH($T295&amp;"|"&amp;$U295,Cambi!$C:$C,0))))</f>
        <v/>
      </c>
      <c r="Y295" s="12" t="s">
        <v>654</v>
      </c>
      <c r="Z295" s="12" t="s">
        <v>109</v>
      </c>
      <c r="AA295" s="12" t="s">
        <v>1672</v>
      </c>
      <c r="AB295" s="16" t="s">
        <v>679</v>
      </c>
      <c r="AC295" s="16" t="s">
        <v>1673</v>
      </c>
      <c r="AD295" s="12" t="s">
        <v>166</v>
      </c>
      <c r="AE295" s="12" t="s">
        <v>1674</v>
      </c>
      <c r="AF295" s="12" t="s">
        <v>1775</v>
      </c>
      <c r="AG295" s="12" t="s">
        <v>115</v>
      </c>
      <c r="AH295" s="12" t="s">
        <v>116</v>
      </c>
      <c r="AI295" s="12" t="s">
        <v>117</v>
      </c>
      <c r="AJ295" s="12" t="s">
        <v>1776</v>
      </c>
      <c r="AK295" s="12" t="s">
        <v>4</v>
      </c>
    </row>
    <row r="296" customFormat="false" ht="15" hidden="false" customHeight="false" outlineLevel="0" collapsed="false">
      <c r="A296" s="11" t="n">
        <v>295</v>
      </c>
      <c r="B296" s="12" t="s">
        <v>1766</v>
      </c>
      <c r="C296" s="12" t="s">
        <v>1663</v>
      </c>
      <c r="D296" s="12" t="s">
        <v>1664</v>
      </c>
      <c r="E296" s="12" t="s">
        <v>759</v>
      </c>
      <c r="F296" s="12" t="s">
        <v>1665</v>
      </c>
      <c r="G296" s="12" t="s">
        <v>345</v>
      </c>
      <c r="H296" s="12" t="s">
        <v>1767</v>
      </c>
      <c r="I296" s="12" t="s">
        <v>376</v>
      </c>
      <c r="J296" s="13" t="s">
        <v>1768</v>
      </c>
      <c r="K296" s="12"/>
      <c r="L296" s="12" t="s">
        <v>1698</v>
      </c>
      <c r="M296" s="12" t="s">
        <v>1777</v>
      </c>
      <c r="N296" s="12" t="s">
        <v>956</v>
      </c>
      <c r="O296" s="12" t="s">
        <v>102</v>
      </c>
      <c r="P296" s="12" t="s">
        <v>103</v>
      </c>
      <c r="Q296" s="12" t="s">
        <v>104</v>
      </c>
      <c r="R296" s="14" t="n">
        <v>10</v>
      </c>
      <c r="S296" s="14" t="s">
        <v>129</v>
      </c>
      <c r="T296" s="14" t="s">
        <v>106</v>
      </c>
      <c r="U296" s="14" t="n">
        <v>2024</v>
      </c>
      <c r="V296" s="12" t="s">
        <v>157</v>
      </c>
      <c r="W296" s="14"/>
      <c r="X296" s="15" t="n">
        <f aca="false">IF(OR($S296="%",$R296=""),"",$R296*INDEX(Cambi!$J$2:$J$5,MATCH($S296,Cambi!$I$2:$I$5,0))/IF($T296="EUR",1,INDEX(Cambi!$D:$D,MATCH($T296&amp;"|"&amp;$U296,Cambi!$C:$C,0))))</f>
        <v>10000</v>
      </c>
      <c r="Y296" s="12" t="s">
        <v>654</v>
      </c>
      <c r="Z296" s="12" t="s">
        <v>109</v>
      </c>
      <c r="AA296" s="12" t="s">
        <v>1672</v>
      </c>
      <c r="AB296" s="16" t="s">
        <v>679</v>
      </c>
      <c r="AC296" s="16" t="s">
        <v>1673</v>
      </c>
      <c r="AD296" s="12" t="s">
        <v>166</v>
      </c>
      <c r="AE296" s="12" t="s">
        <v>1674</v>
      </c>
      <c r="AF296" s="12" t="s">
        <v>1778</v>
      </c>
      <c r="AG296" s="12" t="s">
        <v>115</v>
      </c>
      <c r="AH296" s="12" t="s">
        <v>116</v>
      </c>
      <c r="AI296" s="12" t="s">
        <v>117</v>
      </c>
      <c r="AJ296" s="12" t="s">
        <v>1779</v>
      </c>
      <c r="AK296" s="12" t="s">
        <v>4</v>
      </c>
    </row>
    <row r="297" customFormat="false" ht="15" hidden="false" customHeight="false" outlineLevel="0" collapsed="false">
      <c r="A297" s="11" t="n">
        <v>296</v>
      </c>
      <c r="B297" s="12" t="s">
        <v>1780</v>
      </c>
      <c r="C297" s="12" t="s">
        <v>1663</v>
      </c>
      <c r="D297" s="12" t="s">
        <v>1664</v>
      </c>
      <c r="E297" s="12" t="s">
        <v>759</v>
      </c>
      <c r="F297" s="12" t="s">
        <v>1665</v>
      </c>
      <c r="G297" s="12" t="s">
        <v>345</v>
      </c>
      <c r="H297" s="12" t="s">
        <v>1781</v>
      </c>
      <c r="I297" s="12" t="s">
        <v>762</v>
      </c>
      <c r="J297" s="13" t="s">
        <v>1782</v>
      </c>
      <c r="K297" s="12"/>
      <c r="L297" s="12" t="s">
        <v>1769</v>
      </c>
      <c r="M297" s="12" t="s">
        <v>1783</v>
      </c>
      <c r="N297" s="12" t="s">
        <v>956</v>
      </c>
      <c r="O297" s="12" t="s">
        <v>102</v>
      </c>
      <c r="P297" s="12" t="s">
        <v>103</v>
      </c>
      <c r="Q297" s="12" t="s">
        <v>104</v>
      </c>
      <c r="R297" s="14" t="n">
        <v>22.4</v>
      </c>
      <c r="S297" s="14" t="s">
        <v>129</v>
      </c>
      <c r="T297" s="14" t="s">
        <v>106</v>
      </c>
      <c r="U297" s="14" t="n">
        <v>2025</v>
      </c>
      <c r="V297" s="12" t="s">
        <v>157</v>
      </c>
      <c r="W297" s="14" t="s">
        <v>1784</v>
      </c>
      <c r="X297" s="15" t="n">
        <f aca="false">IF(OR($S297="%",$R297=""),"",$R297*INDEX(Cambi!$J$2:$J$5,MATCH($S297,Cambi!$I$2:$I$5,0))/IF($T297="EUR",1,INDEX(Cambi!$D:$D,MATCH($T297&amp;"|"&amp;$U297,Cambi!$C:$C,0))))</f>
        <v>22400</v>
      </c>
      <c r="Y297" s="12" t="s">
        <v>654</v>
      </c>
      <c r="Z297" s="12" t="s">
        <v>109</v>
      </c>
      <c r="AA297" s="12" t="s">
        <v>1672</v>
      </c>
      <c r="AB297" s="16" t="s">
        <v>679</v>
      </c>
      <c r="AC297" s="16" t="s">
        <v>1673</v>
      </c>
      <c r="AD297" s="12" t="s">
        <v>166</v>
      </c>
      <c r="AE297" s="12" t="s">
        <v>1674</v>
      </c>
      <c r="AF297" s="12" t="s">
        <v>1785</v>
      </c>
      <c r="AG297" s="12" t="s">
        <v>115</v>
      </c>
      <c r="AH297" s="12" t="s">
        <v>116</v>
      </c>
      <c r="AI297" s="12" t="s">
        <v>117</v>
      </c>
      <c r="AJ297" s="12" t="s">
        <v>1786</v>
      </c>
      <c r="AK297" s="12" t="s">
        <v>4</v>
      </c>
    </row>
    <row r="298" customFormat="false" ht="15" hidden="false" customHeight="false" outlineLevel="0" collapsed="false">
      <c r="A298" s="11" t="n">
        <v>297</v>
      </c>
      <c r="B298" s="12" t="s">
        <v>1780</v>
      </c>
      <c r="C298" s="12" t="s">
        <v>1663</v>
      </c>
      <c r="D298" s="12" t="s">
        <v>1664</v>
      </c>
      <c r="E298" s="12" t="s">
        <v>759</v>
      </c>
      <c r="F298" s="12" t="s">
        <v>1665</v>
      </c>
      <c r="G298" s="12" t="s">
        <v>345</v>
      </c>
      <c r="H298" s="12" t="s">
        <v>1781</v>
      </c>
      <c r="I298" s="12" t="s">
        <v>762</v>
      </c>
      <c r="J298" s="13" t="s">
        <v>1782</v>
      </c>
      <c r="K298" s="12"/>
      <c r="L298" s="12" t="s">
        <v>1787</v>
      </c>
      <c r="M298" s="12" t="s">
        <v>1788</v>
      </c>
      <c r="N298" s="12" t="s">
        <v>956</v>
      </c>
      <c r="O298" s="12" t="s">
        <v>213</v>
      </c>
      <c r="P298" s="12" t="s">
        <v>155</v>
      </c>
      <c r="Q298" s="12" t="s">
        <v>1679</v>
      </c>
      <c r="R298" s="14" t="n">
        <v>6.4</v>
      </c>
      <c r="S298" s="14" t="s">
        <v>197</v>
      </c>
      <c r="T298" s="14"/>
      <c r="U298" s="14" t="n">
        <v>2025</v>
      </c>
      <c r="V298" s="12" t="s">
        <v>157</v>
      </c>
      <c r="W298" s="14"/>
      <c r="X298" s="15" t="str">
        <f aca="false">IF(OR($S298="%",$R298=""),"",$R298*INDEX(Cambi!$J$2:$J$5,MATCH($S298,Cambi!$I$2:$I$5,0))/IF($T298="EUR",1,INDEX(Cambi!$D:$D,MATCH($T298&amp;"|"&amp;$U298,Cambi!$C:$C,0))))</f>
        <v/>
      </c>
      <c r="Y298" s="12" t="s">
        <v>654</v>
      </c>
      <c r="Z298" s="12" t="s">
        <v>109</v>
      </c>
      <c r="AA298" s="12" t="s">
        <v>1672</v>
      </c>
      <c r="AB298" s="16" t="s">
        <v>679</v>
      </c>
      <c r="AC298" s="16" t="s">
        <v>1673</v>
      </c>
      <c r="AD298" s="12" t="s">
        <v>166</v>
      </c>
      <c r="AE298" s="12" t="s">
        <v>1674</v>
      </c>
      <c r="AF298" s="12" t="s">
        <v>1789</v>
      </c>
      <c r="AG298" s="12" t="s">
        <v>115</v>
      </c>
      <c r="AH298" s="12" t="s">
        <v>116</v>
      </c>
      <c r="AI298" s="12" t="s">
        <v>117</v>
      </c>
      <c r="AJ298" s="12" t="s">
        <v>1681</v>
      </c>
      <c r="AK298" s="12" t="s">
        <v>4</v>
      </c>
    </row>
    <row r="299" customFormat="false" ht="15" hidden="false" customHeight="false" outlineLevel="0" collapsed="false">
      <c r="A299" s="11" t="n">
        <v>298</v>
      </c>
      <c r="B299" s="12" t="s">
        <v>1780</v>
      </c>
      <c r="C299" s="12" t="s">
        <v>1663</v>
      </c>
      <c r="D299" s="12" t="s">
        <v>1664</v>
      </c>
      <c r="E299" s="12" t="s">
        <v>759</v>
      </c>
      <c r="F299" s="12" t="s">
        <v>1665</v>
      </c>
      <c r="G299" s="12" t="s">
        <v>345</v>
      </c>
      <c r="H299" s="12" t="s">
        <v>1781</v>
      </c>
      <c r="I299" s="12" t="s">
        <v>762</v>
      </c>
      <c r="J299" s="13" t="s">
        <v>1782</v>
      </c>
      <c r="K299" s="12"/>
      <c r="L299" s="12" t="s">
        <v>1698</v>
      </c>
      <c r="M299" s="12" t="s">
        <v>1790</v>
      </c>
      <c r="N299" s="12" t="s">
        <v>956</v>
      </c>
      <c r="O299" s="12" t="s">
        <v>102</v>
      </c>
      <c r="P299" s="12" t="s">
        <v>103</v>
      </c>
      <c r="Q299" s="12" t="s">
        <v>104</v>
      </c>
      <c r="R299" s="14" t="n">
        <v>10.6</v>
      </c>
      <c r="S299" s="14" t="s">
        <v>129</v>
      </c>
      <c r="T299" s="14" t="s">
        <v>106</v>
      </c>
      <c r="U299" s="14" t="n">
        <v>2025</v>
      </c>
      <c r="V299" s="12" t="s">
        <v>157</v>
      </c>
      <c r="W299" s="14"/>
      <c r="X299" s="15" t="n">
        <f aca="false">IF(OR($S299="%",$R299=""),"",$R299*INDEX(Cambi!$J$2:$J$5,MATCH($S299,Cambi!$I$2:$I$5,0))/IF($T299="EUR",1,INDEX(Cambi!$D:$D,MATCH($T299&amp;"|"&amp;$U299,Cambi!$C:$C,0))))</f>
        <v>10600</v>
      </c>
      <c r="Y299" s="12" t="s">
        <v>654</v>
      </c>
      <c r="Z299" s="12" t="s">
        <v>109</v>
      </c>
      <c r="AA299" s="12" t="s">
        <v>1672</v>
      </c>
      <c r="AB299" s="16" t="s">
        <v>679</v>
      </c>
      <c r="AC299" s="16" t="s">
        <v>1673</v>
      </c>
      <c r="AD299" s="12" t="s">
        <v>166</v>
      </c>
      <c r="AE299" s="12" t="s">
        <v>1674</v>
      </c>
      <c r="AF299" s="12" t="s">
        <v>1791</v>
      </c>
      <c r="AG299" s="12" t="s">
        <v>115</v>
      </c>
      <c r="AH299" s="12" t="s">
        <v>116</v>
      </c>
      <c r="AI299" s="12" t="s">
        <v>117</v>
      </c>
      <c r="AJ299" s="12" t="s">
        <v>1792</v>
      </c>
      <c r="AK299" s="12" t="s">
        <v>4</v>
      </c>
    </row>
    <row r="300" customFormat="false" ht="15" hidden="false" customHeight="false" outlineLevel="0" collapsed="false">
      <c r="A300" s="11" t="n">
        <v>299</v>
      </c>
      <c r="B300" s="12" t="s">
        <v>1793</v>
      </c>
      <c r="C300" s="12" t="s">
        <v>1663</v>
      </c>
      <c r="D300" s="12" t="s">
        <v>1664</v>
      </c>
      <c r="E300" s="12" t="s">
        <v>759</v>
      </c>
      <c r="F300" s="12" t="s">
        <v>1794</v>
      </c>
      <c r="G300" s="12" t="s">
        <v>771</v>
      </c>
      <c r="H300" s="12" t="s">
        <v>1795</v>
      </c>
      <c r="I300" s="12" t="s">
        <v>1796</v>
      </c>
      <c r="J300" s="13" t="s">
        <v>1797</v>
      </c>
      <c r="K300" s="12" t="s">
        <v>1798</v>
      </c>
      <c r="L300" s="12" t="s">
        <v>1799</v>
      </c>
      <c r="M300" s="12" t="s">
        <v>1800</v>
      </c>
      <c r="N300" s="12" t="s">
        <v>352</v>
      </c>
      <c r="O300" s="12" t="s">
        <v>102</v>
      </c>
      <c r="P300" s="12" t="s">
        <v>103</v>
      </c>
      <c r="Q300" s="12" t="s">
        <v>104</v>
      </c>
      <c r="R300" s="14" t="n">
        <v>5.23</v>
      </c>
      <c r="S300" s="14" t="s">
        <v>129</v>
      </c>
      <c r="T300" s="14" t="s">
        <v>106</v>
      </c>
      <c r="U300" s="14" t="n">
        <v>2025</v>
      </c>
      <c r="V300" s="12" t="s">
        <v>157</v>
      </c>
      <c r="W300" s="14" t="s">
        <v>1801</v>
      </c>
      <c r="X300" s="15" t="n">
        <f aca="false">IF(OR($S300="%",$R300=""),"",$R300*INDEX(Cambi!$J$2:$J$5,MATCH($S300,Cambi!$I$2:$I$5,0))/IF($T300="EUR",1,INDEX(Cambi!$D:$D,MATCH($T300&amp;"|"&amp;$U300,Cambi!$C:$C,0))))</f>
        <v>5230</v>
      </c>
      <c r="Y300" s="12" t="s">
        <v>109</v>
      </c>
      <c r="Z300" s="12" t="s">
        <v>285</v>
      </c>
      <c r="AA300" s="12" t="s">
        <v>109</v>
      </c>
      <c r="AB300" s="16" t="s">
        <v>679</v>
      </c>
      <c r="AC300" s="16" t="s">
        <v>1802</v>
      </c>
      <c r="AD300" s="12" t="s">
        <v>281</v>
      </c>
      <c r="AE300" s="12" t="s">
        <v>1803</v>
      </c>
      <c r="AF300" s="12" t="s">
        <v>1804</v>
      </c>
      <c r="AG300" s="12" t="s">
        <v>284</v>
      </c>
      <c r="AH300" s="12" t="s">
        <v>116</v>
      </c>
      <c r="AI300" s="12" t="s">
        <v>285</v>
      </c>
      <c r="AJ300" s="12" t="s">
        <v>1805</v>
      </c>
      <c r="AK300" s="12" t="s">
        <v>4</v>
      </c>
    </row>
    <row r="301" customFormat="false" ht="15" hidden="false" customHeight="false" outlineLevel="0" collapsed="false">
      <c r="A301" s="11" t="n">
        <v>300</v>
      </c>
      <c r="B301" s="12" t="s">
        <v>1806</v>
      </c>
      <c r="C301" s="12" t="s">
        <v>1663</v>
      </c>
      <c r="D301" s="12" t="s">
        <v>1664</v>
      </c>
      <c r="E301" s="12" t="s">
        <v>759</v>
      </c>
      <c r="F301" s="12" t="s">
        <v>1807</v>
      </c>
      <c r="G301" s="12" t="s">
        <v>345</v>
      </c>
      <c r="H301" s="12" t="s">
        <v>1808</v>
      </c>
      <c r="I301" s="12" t="s">
        <v>1529</v>
      </c>
      <c r="J301" s="13" t="s">
        <v>1809</v>
      </c>
      <c r="K301" s="12"/>
      <c r="L301" s="12" t="s">
        <v>1810</v>
      </c>
      <c r="M301" s="12" t="s">
        <v>1811</v>
      </c>
      <c r="N301" s="12" t="s">
        <v>195</v>
      </c>
      <c r="O301" s="12" t="s">
        <v>196</v>
      </c>
      <c r="P301" s="12" t="s">
        <v>103</v>
      </c>
      <c r="Q301" s="12" t="s">
        <v>104</v>
      </c>
      <c r="R301" s="14" t="n">
        <v>29</v>
      </c>
      <c r="S301" s="14" t="s">
        <v>197</v>
      </c>
      <c r="T301" s="14"/>
      <c r="U301" s="14" t="n">
        <v>2020</v>
      </c>
      <c r="V301" s="12" t="s">
        <v>157</v>
      </c>
      <c r="W301" s="14"/>
      <c r="X301" s="15" t="str">
        <f aca="false">IF(OR($S301="%",$R301=""),"",$R301*INDEX(Cambi!$J$2:$J$5,MATCH($S301,Cambi!$I$2:$I$5,0))/IF($T301="EUR",1,INDEX(Cambi!$D:$D,MATCH($T301&amp;"|"&amp;$U301,Cambi!$C:$C,0))))</f>
        <v/>
      </c>
      <c r="Y301" s="12" t="s">
        <v>239</v>
      </c>
      <c r="Z301" s="12" t="s">
        <v>109</v>
      </c>
      <c r="AA301" s="12" t="s">
        <v>109</v>
      </c>
      <c r="AB301" s="12" t="s">
        <v>394</v>
      </c>
      <c r="AC301" s="12" t="s">
        <v>395</v>
      </c>
      <c r="AD301" s="12" t="s">
        <v>112</v>
      </c>
      <c r="AE301" s="12" t="s">
        <v>1812</v>
      </c>
      <c r="AF301" s="12" t="s">
        <v>1813</v>
      </c>
      <c r="AG301" s="12" t="s">
        <v>115</v>
      </c>
      <c r="AH301" s="12" t="s">
        <v>116</v>
      </c>
      <c r="AI301" s="12" t="s">
        <v>117</v>
      </c>
      <c r="AJ301" s="12" t="s">
        <v>1814</v>
      </c>
      <c r="AK301" s="12" t="s">
        <v>4</v>
      </c>
    </row>
    <row r="302" customFormat="false" ht="15" hidden="false" customHeight="false" outlineLevel="0" collapsed="false">
      <c r="A302" s="11" t="n">
        <v>301</v>
      </c>
      <c r="B302" s="12" t="s">
        <v>1806</v>
      </c>
      <c r="C302" s="12" t="s">
        <v>1663</v>
      </c>
      <c r="D302" s="12" t="s">
        <v>1664</v>
      </c>
      <c r="E302" s="12" t="s">
        <v>759</v>
      </c>
      <c r="F302" s="12" t="s">
        <v>1807</v>
      </c>
      <c r="G302" s="12" t="s">
        <v>345</v>
      </c>
      <c r="H302" s="12" t="s">
        <v>1808</v>
      </c>
      <c r="I302" s="12" t="s">
        <v>1529</v>
      </c>
      <c r="J302" s="13" t="s">
        <v>1809</v>
      </c>
      <c r="K302" s="12"/>
      <c r="L302" s="12" t="s">
        <v>1810</v>
      </c>
      <c r="M302" s="12" t="s">
        <v>1815</v>
      </c>
      <c r="N302" s="12" t="s">
        <v>195</v>
      </c>
      <c r="O302" s="12" t="s">
        <v>196</v>
      </c>
      <c r="P302" s="12" t="s">
        <v>103</v>
      </c>
      <c r="Q302" s="12" t="s">
        <v>104</v>
      </c>
      <c r="R302" s="14" t="n">
        <v>44</v>
      </c>
      <c r="S302" s="14" t="s">
        <v>197</v>
      </c>
      <c r="T302" s="14"/>
      <c r="U302" s="14" t="n">
        <v>2021</v>
      </c>
      <c r="V302" s="12" t="s">
        <v>157</v>
      </c>
      <c r="W302" s="14"/>
      <c r="X302" s="15" t="str">
        <f aca="false">IF(OR($S302="%",$R302=""),"",$R302*INDEX(Cambi!$J$2:$J$5,MATCH($S302,Cambi!$I$2:$I$5,0))/IF($T302="EUR",1,INDEX(Cambi!$D:$D,MATCH($T302&amp;"|"&amp;$U302,Cambi!$C:$C,0))))</f>
        <v/>
      </c>
      <c r="Y302" s="12" t="s">
        <v>239</v>
      </c>
      <c r="Z302" s="12" t="s">
        <v>109</v>
      </c>
      <c r="AA302" s="12" t="s">
        <v>109</v>
      </c>
      <c r="AB302" s="12" t="s">
        <v>394</v>
      </c>
      <c r="AC302" s="12" t="s">
        <v>395</v>
      </c>
      <c r="AD302" s="12" t="s">
        <v>112</v>
      </c>
      <c r="AE302" s="12" t="s">
        <v>1812</v>
      </c>
      <c r="AF302" s="12" t="s">
        <v>1813</v>
      </c>
      <c r="AG302" s="12" t="s">
        <v>115</v>
      </c>
      <c r="AH302" s="12" t="s">
        <v>116</v>
      </c>
      <c r="AI302" s="12" t="s">
        <v>117</v>
      </c>
      <c r="AJ302" s="12" t="s">
        <v>1816</v>
      </c>
      <c r="AK302" s="12" t="s">
        <v>4</v>
      </c>
    </row>
    <row r="303" customFormat="false" ht="15" hidden="false" customHeight="false" outlineLevel="0" collapsed="false">
      <c r="A303" s="11" t="n">
        <v>302</v>
      </c>
      <c r="B303" s="12" t="s">
        <v>1806</v>
      </c>
      <c r="C303" s="12" t="s">
        <v>1663</v>
      </c>
      <c r="D303" s="12" t="s">
        <v>1664</v>
      </c>
      <c r="E303" s="12" t="s">
        <v>759</v>
      </c>
      <c r="F303" s="12" t="s">
        <v>1807</v>
      </c>
      <c r="G303" s="12" t="s">
        <v>345</v>
      </c>
      <c r="H303" s="12" t="s">
        <v>1808</v>
      </c>
      <c r="I303" s="12" t="s">
        <v>1529</v>
      </c>
      <c r="J303" s="13" t="s">
        <v>1809</v>
      </c>
      <c r="K303" s="12"/>
      <c r="L303" s="12" t="s">
        <v>1810</v>
      </c>
      <c r="M303" s="12" t="s">
        <v>1817</v>
      </c>
      <c r="N303" s="12" t="s">
        <v>195</v>
      </c>
      <c r="O303" s="12" t="s">
        <v>196</v>
      </c>
      <c r="P303" s="12" t="s">
        <v>103</v>
      </c>
      <c r="Q303" s="12" t="s">
        <v>104</v>
      </c>
      <c r="R303" s="14" t="n">
        <v>45</v>
      </c>
      <c r="S303" s="14" t="s">
        <v>197</v>
      </c>
      <c r="T303" s="14"/>
      <c r="U303" s="14" t="n">
        <v>2022</v>
      </c>
      <c r="V303" s="12" t="s">
        <v>157</v>
      </c>
      <c r="W303" s="14"/>
      <c r="X303" s="15" t="str">
        <f aca="false">IF(OR($S303="%",$R303=""),"",$R303*INDEX(Cambi!$J$2:$J$5,MATCH($S303,Cambi!$I$2:$I$5,0))/IF($T303="EUR",1,INDEX(Cambi!$D:$D,MATCH($T303&amp;"|"&amp;$U303,Cambi!$C:$C,0))))</f>
        <v/>
      </c>
      <c r="Y303" s="12" t="s">
        <v>239</v>
      </c>
      <c r="Z303" s="12" t="s">
        <v>109</v>
      </c>
      <c r="AA303" s="12" t="s">
        <v>109</v>
      </c>
      <c r="AB303" s="12" t="s">
        <v>394</v>
      </c>
      <c r="AC303" s="12" t="s">
        <v>395</v>
      </c>
      <c r="AD303" s="12" t="s">
        <v>112</v>
      </c>
      <c r="AE303" s="12" t="s">
        <v>1812</v>
      </c>
      <c r="AF303" s="12" t="s">
        <v>1813</v>
      </c>
      <c r="AG303" s="12" t="s">
        <v>115</v>
      </c>
      <c r="AH303" s="12" t="s">
        <v>116</v>
      </c>
      <c r="AI303" s="12" t="s">
        <v>117</v>
      </c>
      <c r="AJ303" s="12" t="s">
        <v>1814</v>
      </c>
      <c r="AK303" s="12" t="s">
        <v>4</v>
      </c>
    </row>
    <row r="304" customFormat="false" ht="15" hidden="false" customHeight="false" outlineLevel="0" collapsed="false">
      <c r="A304" s="11" t="n">
        <v>303</v>
      </c>
      <c r="B304" s="12" t="s">
        <v>1806</v>
      </c>
      <c r="C304" s="12" t="s">
        <v>1663</v>
      </c>
      <c r="D304" s="12" t="s">
        <v>1664</v>
      </c>
      <c r="E304" s="12" t="s">
        <v>759</v>
      </c>
      <c r="F304" s="12" t="s">
        <v>1807</v>
      </c>
      <c r="G304" s="12" t="s">
        <v>345</v>
      </c>
      <c r="H304" s="12" t="s">
        <v>1808</v>
      </c>
      <c r="I304" s="12" t="s">
        <v>1529</v>
      </c>
      <c r="J304" s="13" t="s">
        <v>1809</v>
      </c>
      <c r="K304" s="12"/>
      <c r="L304" s="12" t="s">
        <v>1810</v>
      </c>
      <c r="M304" s="12" t="s">
        <v>1818</v>
      </c>
      <c r="N304" s="12" t="s">
        <v>195</v>
      </c>
      <c r="O304" s="12" t="s">
        <v>196</v>
      </c>
      <c r="P304" s="12" t="s">
        <v>103</v>
      </c>
      <c r="Q304" s="12" t="s">
        <v>104</v>
      </c>
      <c r="R304" s="14" t="n">
        <v>45</v>
      </c>
      <c r="S304" s="14" t="s">
        <v>197</v>
      </c>
      <c r="T304" s="14"/>
      <c r="U304" s="14" t="n">
        <v>2023</v>
      </c>
      <c r="V304" s="12" t="s">
        <v>157</v>
      </c>
      <c r="W304" s="14"/>
      <c r="X304" s="15" t="str">
        <f aca="false">IF(OR($S304="%",$R304=""),"",$R304*INDEX(Cambi!$J$2:$J$5,MATCH($S304,Cambi!$I$2:$I$5,0))/IF($T304="EUR",1,INDEX(Cambi!$D:$D,MATCH($T304&amp;"|"&amp;$U304,Cambi!$C:$C,0))))</f>
        <v/>
      </c>
      <c r="Y304" s="12" t="s">
        <v>239</v>
      </c>
      <c r="Z304" s="12" t="s">
        <v>109</v>
      </c>
      <c r="AA304" s="12" t="s">
        <v>109</v>
      </c>
      <c r="AB304" s="12" t="s">
        <v>394</v>
      </c>
      <c r="AC304" s="12" t="s">
        <v>395</v>
      </c>
      <c r="AD304" s="12" t="s">
        <v>112</v>
      </c>
      <c r="AE304" s="12" t="s">
        <v>1812</v>
      </c>
      <c r="AF304" s="12" t="s">
        <v>1813</v>
      </c>
      <c r="AG304" s="12" t="s">
        <v>115</v>
      </c>
      <c r="AH304" s="12" t="s">
        <v>116</v>
      </c>
      <c r="AI304" s="12" t="s">
        <v>117</v>
      </c>
      <c r="AJ304" s="12" t="s">
        <v>1814</v>
      </c>
      <c r="AK304" s="12" t="s">
        <v>4</v>
      </c>
    </row>
    <row r="305" customFormat="false" ht="15" hidden="false" customHeight="false" outlineLevel="0" collapsed="false">
      <c r="A305" s="11" t="n">
        <v>304</v>
      </c>
      <c r="B305" s="12" t="s">
        <v>1806</v>
      </c>
      <c r="C305" s="12" t="s">
        <v>1663</v>
      </c>
      <c r="D305" s="12" t="s">
        <v>1664</v>
      </c>
      <c r="E305" s="12" t="s">
        <v>759</v>
      </c>
      <c r="F305" s="12" t="s">
        <v>1807</v>
      </c>
      <c r="G305" s="12" t="s">
        <v>345</v>
      </c>
      <c r="H305" s="12" t="s">
        <v>1808</v>
      </c>
      <c r="I305" s="12" t="s">
        <v>1529</v>
      </c>
      <c r="J305" s="13" t="s">
        <v>1809</v>
      </c>
      <c r="K305" s="12"/>
      <c r="L305" s="12" t="s">
        <v>1810</v>
      </c>
      <c r="M305" s="12" t="s">
        <v>1819</v>
      </c>
      <c r="N305" s="12" t="s">
        <v>195</v>
      </c>
      <c r="O305" s="12" t="s">
        <v>196</v>
      </c>
      <c r="P305" s="12" t="s">
        <v>103</v>
      </c>
      <c r="Q305" s="12" t="s">
        <v>104</v>
      </c>
      <c r="R305" s="14" t="n">
        <v>48</v>
      </c>
      <c r="S305" s="14" t="s">
        <v>197</v>
      </c>
      <c r="T305" s="14"/>
      <c r="U305" s="14" t="n">
        <v>2024</v>
      </c>
      <c r="V305" s="12" t="s">
        <v>157</v>
      </c>
      <c r="W305" s="14"/>
      <c r="X305" s="15" t="str">
        <f aca="false">IF(OR($S305="%",$R305=""),"",$R305*INDEX(Cambi!$J$2:$J$5,MATCH($S305,Cambi!$I$2:$I$5,0))/IF($T305="EUR",1,INDEX(Cambi!$D:$D,MATCH($T305&amp;"|"&amp;$U305,Cambi!$C:$C,0))))</f>
        <v/>
      </c>
      <c r="Y305" s="12" t="s">
        <v>239</v>
      </c>
      <c r="Z305" s="12" t="s">
        <v>109</v>
      </c>
      <c r="AA305" s="12" t="s">
        <v>109</v>
      </c>
      <c r="AB305" s="12" t="s">
        <v>394</v>
      </c>
      <c r="AC305" s="12" t="s">
        <v>395</v>
      </c>
      <c r="AD305" s="12" t="s">
        <v>112</v>
      </c>
      <c r="AE305" s="12" t="s">
        <v>1812</v>
      </c>
      <c r="AF305" s="12" t="s">
        <v>1813</v>
      </c>
      <c r="AG305" s="12" t="s">
        <v>115</v>
      </c>
      <c r="AH305" s="12" t="s">
        <v>116</v>
      </c>
      <c r="AI305" s="12" t="s">
        <v>117</v>
      </c>
      <c r="AJ305" s="12" t="s">
        <v>1814</v>
      </c>
      <c r="AK305" s="12" t="s">
        <v>4</v>
      </c>
    </row>
    <row r="306" customFormat="false" ht="15" hidden="false" customHeight="false" outlineLevel="0" collapsed="false">
      <c r="A306" s="11" t="n">
        <v>305</v>
      </c>
      <c r="B306" s="12" t="s">
        <v>1806</v>
      </c>
      <c r="C306" s="12" t="s">
        <v>1663</v>
      </c>
      <c r="D306" s="12" t="s">
        <v>1664</v>
      </c>
      <c r="E306" s="12" t="s">
        <v>759</v>
      </c>
      <c r="F306" s="12" t="s">
        <v>1807</v>
      </c>
      <c r="G306" s="12" t="s">
        <v>345</v>
      </c>
      <c r="H306" s="12" t="s">
        <v>1808</v>
      </c>
      <c r="I306" s="12" t="s">
        <v>1529</v>
      </c>
      <c r="J306" s="13" t="s">
        <v>1809</v>
      </c>
      <c r="K306" s="12"/>
      <c r="L306" s="12" t="s">
        <v>1810</v>
      </c>
      <c r="M306" s="12" t="s">
        <v>1820</v>
      </c>
      <c r="N306" s="12" t="s">
        <v>195</v>
      </c>
      <c r="O306" s="12" t="s">
        <v>196</v>
      </c>
      <c r="P306" s="12" t="s">
        <v>103</v>
      </c>
      <c r="Q306" s="12" t="s">
        <v>104</v>
      </c>
      <c r="R306" s="14" t="n">
        <v>42</v>
      </c>
      <c r="S306" s="14" t="s">
        <v>197</v>
      </c>
      <c r="T306" s="14"/>
      <c r="U306" s="14" t="n">
        <v>2025</v>
      </c>
      <c r="V306" s="12" t="s">
        <v>157</v>
      </c>
      <c r="W306" s="14"/>
      <c r="X306" s="15" t="str">
        <f aca="false">IF(OR($S306="%",$R306=""),"",$R306*INDEX(Cambi!$J$2:$J$5,MATCH($S306,Cambi!$I$2:$I$5,0))/IF($T306="EUR",1,INDEX(Cambi!$D:$D,MATCH($T306&amp;"|"&amp;$U306,Cambi!$C:$C,0))))</f>
        <v/>
      </c>
      <c r="Y306" s="12" t="s">
        <v>239</v>
      </c>
      <c r="Z306" s="12" t="s">
        <v>109</v>
      </c>
      <c r="AA306" s="12" t="s">
        <v>109</v>
      </c>
      <c r="AB306" s="12" t="s">
        <v>394</v>
      </c>
      <c r="AC306" s="12" t="s">
        <v>395</v>
      </c>
      <c r="AD306" s="12" t="s">
        <v>112</v>
      </c>
      <c r="AE306" s="12" t="s">
        <v>1812</v>
      </c>
      <c r="AF306" s="12" t="s">
        <v>1813</v>
      </c>
      <c r="AG306" s="12" t="s">
        <v>115</v>
      </c>
      <c r="AH306" s="12" t="s">
        <v>116</v>
      </c>
      <c r="AI306" s="12" t="s">
        <v>117</v>
      </c>
      <c r="AJ306" s="12" t="s">
        <v>1814</v>
      </c>
      <c r="AK306" s="12" t="s">
        <v>4</v>
      </c>
    </row>
    <row r="307" customFormat="false" ht="15" hidden="false" customHeight="false" outlineLevel="0" collapsed="false">
      <c r="A307" s="11" t="n">
        <v>306</v>
      </c>
      <c r="B307" s="12" t="s">
        <v>1821</v>
      </c>
      <c r="C307" s="12" t="s">
        <v>1663</v>
      </c>
      <c r="D307" s="12" t="s">
        <v>1664</v>
      </c>
      <c r="E307" s="12" t="s">
        <v>759</v>
      </c>
      <c r="F307" s="12" t="s">
        <v>1822</v>
      </c>
      <c r="G307" s="12" t="s">
        <v>1055</v>
      </c>
      <c r="H307" s="12" t="s">
        <v>1823</v>
      </c>
      <c r="I307" s="12" t="s">
        <v>1824</v>
      </c>
      <c r="J307" s="13" t="s">
        <v>1825</v>
      </c>
      <c r="K307" s="12" t="s">
        <v>1826</v>
      </c>
      <c r="L307" s="12" t="s">
        <v>1827</v>
      </c>
      <c r="M307" s="12" t="s">
        <v>1828</v>
      </c>
      <c r="N307" s="12" t="s">
        <v>352</v>
      </c>
      <c r="O307" s="12" t="s">
        <v>102</v>
      </c>
      <c r="P307" s="12" t="s">
        <v>103</v>
      </c>
      <c r="Q307" s="12" t="s">
        <v>104</v>
      </c>
      <c r="R307" s="14" t="n">
        <v>7.96</v>
      </c>
      <c r="S307" s="14" t="s">
        <v>129</v>
      </c>
      <c r="T307" s="14" t="s">
        <v>106</v>
      </c>
      <c r="U307" s="14" t="n">
        <v>2025</v>
      </c>
      <c r="V307" s="12" t="s">
        <v>198</v>
      </c>
      <c r="W307" s="14" t="s">
        <v>1829</v>
      </c>
      <c r="X307" s="15" t="n">
        <f aca="false">IF(OR($S307="%",$R307=""),"",$R307*INDEX(Cambi!$J$2:$J$5,MATCH($S307,Cambi!$I$2:$I$5,0))/IF($T307="EUR",1,INDEX(Cambi!$D:$D,MATCH($T307&amp;"|"&amp;$U307,Cambi!$C:$C,0))))</f>
        <v>7960</v>
      </c>
      <c r="Y307" s="12" t="s">
        <v>109</v>
      </c>
      <c r="Z307" s="12" t="s">
        <v>109</v>
      </c>
      <c r="AA307" s="12" t="s">
        <v>1830</v>
      </c>
      <c r="AB307" s="16" t="s">
        <v>110</v>
      </c>
      <c r="AC307" s="16" t="s">
        <v>1831</v>
      </c>
      <c r="AD307" s="12" t="s">
        <v>281</v>
      </c>
      <c r="AE307" s="12" t="s">
        <v>282</v>
      </c>
      <c r="AF307" s="12" t="s">
        <v>1832</v>
      </c>
      <c r="AG307" s="12" t="s">
        <v>284</v>
      </c>
      <c r="AH307" s="12" t="s">
        <v>499</v>
      </c>
      <c r="AI307" s="12" t="s">
        <v>285</v>
      </c>
      <c r="AJ307" s="12" t="s">
        <v>1833</v>
      </c>
      <c r="AK307" s="12" t="s">
        <v>4</v>
      </c>
    </row>
    <row r="308" customFormat="false" ht="15" hidden="false" customHeight="false" outlineLevel="0" collapsed="false">
      <c r="A308" s="11" t="n">
        <v>307</v>
      </c>
      <c r="B308" s="12" t="s">
        <v>1821</v>
      </c>
      <c r="C308" s="12" t="s">
        <v>1663</v>
      </c>
      <c r="D308" s="12" t="s">
        <v>1664</v>
      </c>
      <c r="E308" s="12" t="s">
        <v>759</v>
      </c>
      <c r="F308" s="12" t="s">
        <v>1822</v>
      </c>
      <c r="G308" s="12" t="s">
        <v>1055</v>
      </c>
      <c r="H308" s="12" t="s">
        <v>1823</v>
      </c>
      <c r="I308" s="12" t="s">
        <v>1824</v>
      </c>
      <c r="J308" s="13" t="s">
        <v>1825</v>
      </c>
      <c r="K308" s="12" t="s">
        <v>1826</v>
      </c>
      <c r="L308" s="12" t="s">
        <v>1834</v>
      </c>
      <c r="M308" s="12" t="s">
        <v>1835</v>
      </c>
      <c r="N308" s="12" t="s">
        <v>352</v>
      </c>
      <c r="O308" s="12" t="s">
        <v>102</v>
      </c>
      <c r="P308" s="12" t="s">
        <v>155</v>
      </c>
      <c r="Q308" s="12" t="s">
        <v>1836</v>
      </c>
      <c r="R308" s="14" t="n">
        <v>3.01</v>
      </c>
      <c r="S308" s="14" t="s">
        <v>129</v>
      </c>
      <c r="T308" s="14" t="s">
        <v>106</v>
      </c>
      <c r="U308" s="14" t="n">
        <v>2025</v>
      </c>
      <c r="V308" s="12" t="s">
        <v>198</v>
      </c>
      <c r="W308" s="14" t="s">
        <v>1837</v>
      </c>
      <c r="X308" s="15" t="n">
        <f aca="false">IF(OR($S308="%",$R308=""),"",$R308*INDEX(Cambi!$J$2:$J$5,MATCH($S308,Cambi!$I$2:$I$5,0))/IF($T308="EUR",1,INDEX(Cambi!$D:$D,MATCH($T308&amp;"|"&amp;$U308,Cambi!$C:$C,0))))</f>
        <v>3010</v>
      </c>
      <c r="Y308" s="12" t="s">
        <v>109</v>
      </c>
      <c r="Z308" s="12" t="s">
        <v>109</v>
      </c>
      <c r="AA308" s="12" t="s">
        <v>1830</v>
      </c>
      <c r="AB308" s="16" t="s">
        <v>110</v>
      </c>
      <c r="AC308" s="16" t="s">
        <v>1831</v>
      </c>
      <c r="AD308" s="12" t="s">
        <v>281</v>
      </c>
      <c r="AE308" s="12" t="s">
        <v>282</v>
      </c>
      <c r="AF308" s="12" t="s">
        <v>1838</v>
      </c>
      <c r="AG308" s="12" t="s">
        <v>284</v>
      </c>
      <c r="AH308" s="12" t="s">
        <v>499</v>
      </c>
      <c r="AI308" s="12" t="s">
        <v>285</v>
      </c>
      <c r="AJ308" s="12" t="s">
        <v>1839</v>
      </c>
      <c r="AK308" s="12" t="s">
        <v>4</v>
      </c>
    </row>
    <row r="309" customFormat="false" ht="15" hidden="false" customHeight="false" outlineLevel="0" collapsed="false">
      <c r="A309" s="11" t="n">
        <v>308</v>
      </c>
      <c r="B309" s="12" t="s">
        <v>1821</v>
      </c>
      <c r="C309" s="12" t="s">
        <v>1663</v>
      </c>
      <c r="D309" s="12" t="s">
        <v>1664</v>
      </c>
      <c r="E309" s="12" t="s">
        <v>759</v>
      </c>
      <c r="F309" s="12" t="s">
        <v>1822</v>
      </c>
      <c r="G309" s="12" t="s">
        <v>1055</v>
      </c>
      <c r="H309" s="12" t="s">
        <v>1823</v>
      </c>
      <c r="I309" s="12" t="s">
        <v>1824</v>
      </c>
      <c r="J309" s="13" t="s">
        <v>1825</v>
      </c>
      <c r="K309" s="12" t="s">
        <v>1826</v>
      </c>
      <c r="L309" s="12" t="s">
        <v>1840</v>
      </c>
      <c r="M309" s="12" t="s">
        <v>1841</v>
      </c>
      <c r="N309" s="12" t="s">
        <v>352</v>
      </c>
      <c r="O309" s="12" t="s">
        <v>102</v>
      </c>
      <c r="P309" s="12" t="s">
        <v>155</v>
      </c>
      <c r="Q309" s="12" t="s">
        <v>787</v>
      </c>
      <c r="R309" s="14" t="n">
        <v>4.96</v>
      </c>
      <c r="S309" s="14" t="s">
        <v>129</v>
      </c>
      <c r="T309" s="14" t="s">
        <v>106</v>
      </c>
      <c r="U309" s="14" t="n">
        <v>2025</v>
      </c>
      <c r="V309" s="12" t="s">
        <v>198</v>
      </c>
      <c r="W309" s="14" t="s">
        <v>1842</v>
      </c>
      <c r="X309" s="15" t="n">
        <f aca="false">IF(OR($S309="%",$R309=""),"",$R309*INDEX(Cambi!$J$2:$J$5,MATCH($S309,Cambi!$I$2:$I$5,0))/IF($T309="EUR",1,INDEX(Cambi!$D:$D,MATCH($T309&amp;"|"&amp;$U309,Cambi!$C:$C,0))))</f>
        <v>4960</v>
      </c>
      <c r="Y309" s="12" t="s">
        <v>109</v>
      </c>
      <c r="Z309" s="12" t="s">
        <v>109</v>
      </c>
      <c r="AA309" s="12" t="s">
        <v>1830</v>
      </c>
      <c r="AB309" s="16" t="s">
        <v>110</v>
      </c>
      <c r="AC309" s="16" t="s">
        <v>1831</v>
      </c>
      <c r="AD309" s="12" t="s">
        <v>281</v>
      </c>
      <c r="AE309" s="12" t="s">
        <v>282</v>
      </c>
      <c r="AF309" s="12" t="s">
        <v>1843</v>
      </c>
      <c r="AG309" s="12" t="s">
        <v>284</v>
      </c>
      <c r="AH309" s="12" t="s">
        <v>499</v>
      </c>
      <c r="AI309" s="12" t="s">
        <v>285</v>
      </c>
      <c r="AJ309" s="12" t="s">
        <v>1839</v>
      </c>
      <c r="AK309" s="12" t="s">
        <v>4</v>
      </c>
    </row>
    <row r="310" customFormat="false" ht="15" hidden="false" customHeight="false" outlineLevel="0" collapsed="false">
      <c r="A310" s="11" t="n">
        <v>309</v>
      </c>
      <c r="B310" s="12" t="s">
        <v>1821</v>
      </c>
      <c r="C310" s="12" t="s">
        <v>1663</v>
      </c>
      <c r="D310" s="12" t="s">
        <v>1664</v>
      </c>
      <c r="E310" s="12" t="s">
        <v>759</v>
      </c>
      <c r="F310" s="12" t="s">
        <v>1822</v>
      </c>
      <c r="G310" s="12" t="s">
        <v>1055</v>
      </c>
      <c r="H310" s="12" t="s">
        <v>1823</v>
      </c>
      <c r="I310" s="12" t="s">
        <v>1824</v>
      </c>
      <c r="J310" s="13" t="s">
        <v>1825</v>
      </c>
      <c r="K310" s="12" t="s">
        <v>1826</v>
      </c>
      <c r="L310" s="12" t="s">
        <v>1844</v>
      </c>
      <c r="M310" s="12" t="s">
        <v>1845</v>
      </c>
      <c r="N310" s="12" t="s">
        <v>195</v>
      </c>
      <c r="O310" s="12" t="s">
        <v>196</v>
      </c>
      <c r="P310" s="12" t="s">
        <v>103</v>
      </c>
      <c r="Q310" s="12" t="s">
        <v>104</v>
      </c>
      <c r="R310" s="14" t="n">
        <v>11.6</v>
      </c>
      <c r="S310" s="14" t="s">
        <v>197</v>
      </c>
      <c r="T310" s="14"/>
      <c r="U310" s="14" t="n">
        <v>2025</v>
      </c>
      <c r="V310" s="12" t="s">
        <v>198</v>
      </c>
      <c r="W310" s="14"/>
      <c r="X310" s="15" t="str">
        <f aca="false">IF(OR($S310="%",$R310=""),"",$R310*INDEX(Cambi!$J$2:$J$5,MATCH($S310,Cambi!$I$2:$I$5,0))/IF($T310="EUR",1,INDEX(Cambi!$D:$D,MATCH($T310&amp;"|"&amp;$U310,Cambi!$C:$C,0))))</f>
        <v/>
      </c>
      <c r="Y310" s="12" t="s">
        <v>109</v>
      </c>
      <c r="Z310" s="12" t="s">
        <v>109</v>
      </c>
      <c r="AA310" s="12" t="s">
        <v>1830</v>
      </c>
      <c r="AB310" s="16" t="s">
        <v>110</v>
      </c>
      <c r="AC310" s="16" t="s">
        <v>1831</v>
      </c>
      <c r="AD310" s="12" t="s">
        <v>281</v>
      </c>
      <c r="AE310" s="12" t="s">
        <v>282</v>
      </c>
      <c r="AF310" s="12" t="s">
        <v>1846</v>
      </c>
      <c r="AG310" s="12" t="s">
        <v>284</v>
      </c>
      <c r="AH310" s="12" t="s">
        <v>499</v>
      </c>
      <c r="AI310" s="12" t="s">
        <v>285</v>
      </c>
      <c r="AJ310" s="12" t="s">
        <v>1847</v>
      </c>
      <c r="AK310" s="12" t="s">
        <v>4</v>
      </c>
    </row>
    <row r="311" customFormat="false" ht="15" hidden="false" customHeight="false" outlineLevel="0" collapsed="false">
      <c r="A311" s="11" t="n">
        <v>310</v>
      </c>
      <c r="B311" s="12" t="s">
        <v>1821</v>
      </c>
      <c r="C311" s="12" t="s">
        <v>1663</v>
      </c>
      <c r="D311" s="12" t="s">
        <v>1664</v>
      </c>
      <c r="E311" s="12" t="s">
        <v>759</v>
      </c>
      <c r="F311" s="12" t="s">
        <v>1822</v>
      </c>
      <c r="G311" s="12" t="s">
        <v>1055</v>
      </c>
      <c r="H311" s="12" t="s">
        <v>1823</v>
      </c>
      <c r="I311" s="12" t="s">
        <v>1824</v>
      </c>
      <c r="J311" s="13" t="s">
        <v>1825</v>
      </c>
      <c r="K311" s="12" t="s">
        <v>1826</v>
      </c>
      <c r="L311" s="12" t="s">
        <v>1848</v>
      </c>
      <c r="M311" s="12" t="s">
        <v>1849</v>
      </c>
      <c r="N311" s="12" t="s">
        <v>352</v>
      </c>
      <c r="O311" s="12" t="s">
        <v>102</v>
      </c>
      <c r="P311" s="12" t="s">
        <v>103</v>
      </c>
      <c r="Q311" s="12" t="s">
        <v>104</v>
      </c>
      <c r="R311" s="14" t="n">
        <v>11.36</v>
      </c>
      <c r="S311" s="14" t="s">
        <v>129</v>
      </c>
      <c r="T311" s="14" t="s">
        <v>106</v>
      </c>
      <c r="U311" s="14" t="n">
        <v>2029</v>
      </c>
      <c r="V311" s="12" t="s">
        <v>107</v>
      </c>
      <c r="W311" s="14" t="s">
        <v>1850</v>
      </c>
      <c r="X311" s="15" t="n">
        <f aca="false">IF(OR($S311="%",$R311=""),"",$R311*INDEX(Cambi!$J$2:$J$5,MATCH($S311,Cambi!$I$2:$I$5,0))/IF($T311="EUR",1,INDEX(Cambi!$D:$D,MATCH($T311&amp;"|"&amp;$U311,Cambi!$C:$C,0))))</f>
        <v>11360</v>
      </c>
      <c r="Y311" s="12" t="s">
        <v>109</v>
      </c>
      <c r="Z311" s="12" t="s">
        <v>109</v>
      </c>
      <c r="AA311" s="12" t="s">
        <v>1830</v>
      </c>
      <c r="AB311" s="16" t="s">
        <v>110</v>
      </c>
      <c r="AC311" s="16" t="s">
        <v>1831</v>
      </c>
      <c r="AD311" s="12" t="s">
        <v>281</v>
      </c>
      <c r="AE311" s="12" t="s">
        <v>282</v>
      </c>
      <c r="AF311" s="12" t="s">
        <v>1851</v>
      </c>
      <c r="AG311" s="12" t="s">
        <v>284</v>
      </c>
      <c r="AH311" s="12" t="s">
        <v>499</v>
      </c>
      <c r="AI311" s="12" t="s">
        <v>285</v>
      </c>
      <c r="AJ311" s="12" t="s">
        <v>1839</v>
      </c>
      <c r="AK311" s="12" t="s">
        <v>4</v>
      </c>
    </row>
    <row r="312" customFormat="false" ht="15" hidden="false" customHeight="false" outlineLevel="0" collapsed="false">
      <c r="A312" s="11" t="n">
        <v>311</v>
      </c>
      <c r="B312" s="12" t="s">
        <v>1852</v>
      </c>
      <c r="C312" s="12" t="s">
        <v>1663</v>
      </c>
      <c r="D312" s="12" t="s">
        <v>1664</v>
      </c>
      <c r="E312" s="12" t="s">
        <v>759</v>
      </c>
      <c r="F312" s="12" t="s">
        <v>1853</v>
      </c>
      <c r="G312" s="12" t="s">
        <v>771</v>
      </c>
      <c r="H312" s="12" t="s">
        <v>1854</v>
      </c>
      <c r="I312" s="12" t="s">
        <v>181</v>
      </c>
      <c r="J312" s="13" t="s">
        <v>1855</v>
      </c>
      <c r="K312" s="12" t="s">
        <v>1377</v>
      </c>
      <c r="L312" s="12" t="s">
        <v>1856</v>
      </c>
      <c r="M312" s="12" t="s">
        <v>1857</v>
      </c>
      <c r="N312" s="12" t="s">
        <v>956</v>
      </c>
      <c r="O312" s="12" t="s">
        <v>102</v>
      </c>
      <c r="P312" s="12" t="s">
        <v>103</v>
      </c>
      <c r="Q312" s="12" t="s">
        <v>104</v>
      </c>
      <c r="R312" s="14" t="n">
        <v>9.1</v>
      </c>
      <c r="S312" s="14" t="s">
        <v>129</v>
      </c>
      <c r="T312" s="14" t="s">
        <v>106</v>
      </c>
      <c r="U312" s="14" t="n">
        <v>2021</v>
      </c>
      <c r="V312" s="12" t="s">
        <v>157</v>
      </c>
      <c r="W312" s="14" t="s">
        <v>1858</v>
      </c>
      <c r="X312" s="15" t="n">
        <f aca="false">IF(OR($S312="%",$R312=""),"",$R312*INDEX(Cambi!$J$2:$J$5,MATCH($S312,Cambi!$I$2:$I$5,0))/IF($T312="EUR",1,INDEX(Cambi!$D:$D,MATCH($T312&amp;"|"&amp;$U312,Cambi!$C:$C,0))))</f>
        <v>9100</v>
      </c>
      <c r="Y312" s="12" t="s">
        <v>654</v>
      </c>
      <c r="Z312" s="12" t="s">
        <v>109</v>
      </c>
      <c r="AA312" s="12" t="s">
        <v>1859</v>
      </c>
      <c r="AB312" s="16" t="s">
        <v>679</v>
      </c>
      <c r="AC312" s="16" t="s">
        <v>1673</v>
      </c>
      <c r="AD312" s="12" t="s">
        <v>112</v>
      </c>
      <c r="AE312" s="12" t="s">
        <v>1860</v>
      </c>
      <c r="AF312" s="12" t="s">
        <v>1861</v>
      </c>
      <c r="AG312" s="12" t="s">
        <v>498</v>
      </c>
      <c r="AH312" s="12" t="s">
        <v>116</v>
      </c>
      <c r="AI312" s="12" t="s">
        <v>285</v>
      </c>
      <c r="AJ312" s="12" t="s">
        <v>1862</v>
      </c>
      <c r="AK312" s="12" t="s">
        <v>4</v>
      </c>
    </row>
    <row r="313" customFormat="false" ht="15" hidden="false" customHeight="false" outlineLevel="0" collapsed="false">
      <c r="A313" s="11" t="n">
        <v>312</v>
      </c>
      <c r="B313" s="12" t="s">
        <v>1863</v>
      </c>
      <c r="C313" s="12" t="s">
        <v>1663</v>
      </c>
      <c r="D313" s="12" t="s">
        <v>1664</v>
      </c>
      <c r="E313" s="12" t="s">
        <v>759</v>
      </c>
      <c r="F313" s="12" t="s">
        <v>1864</v>
      </c>
      <c r="G313" s="12" t="s">
        <v>771</v>
      </c>
      <c r="H313" s="12" t="s">
        <v>1865</v>
      </c>
      <c r="I313" s="12" t="s">
        <v>832</v>
      </c>
      <c r="J313" s="13" t="s">
        <v>1866</v>
      </c>
      <c r="K313" s="12" t="s">
        <v>1867</v>
      </c>
      <c r="L313" s="12" t="s">
        <v>1868</v>
      </c>
      <c r="M313" s="12" t="s">
        <v>1869</v>
      </c>
      <c r="N313" s="12" t="s">
        <v>956</v>
      </c>
      <c r="O313" s="12" t="s">
        <v>102</v>
      </c>
      <c r="P313" s="12" t="s">
        <v>103</v>
      </c>
      <c r="Q313" s="12" t="s">
        <v>104</v>
      </c>
      <c r="R313" s="14" t="n">
        <v>10.45</v>
      </c>
      <c r="S313" s="14" t="s">
        <v>129</v>
      </c>
      <c r="T313" s="14" t="s">
        <v>106</v>
      </c>
      <c r="U313" s="14" t="n">
        <v>2023</v>
      </c>
      <c r="V313" s="12" t="s">
        <v>157</v>
      </c>
      <c r="W313" s="14"/>
      <c r="X313" s="15" t="n">
        <f aca="false">IF(OR($S313="%",$R313=""),"",$R313*INDEX(Cambi!$J$2:$J$5,MATCH($S313,Cambi!$I$2:$I$5,0))/IF($T313="EUR",1,INDEX(Cambi!$D:$D,MATCH($T313&amp;"|"&amp;$U313,Cambi!$C:$C,0))))</f>
        <v>10450</v>
      </c>
      <c r="Y313" s="12" t="s">
        <v>654</v>
      </c>
      <c r="Z313" s="12" t="s">
        <v>109</v>
      </c>
      <c r="AA313" s="12" t="s">
        <v>1870</v>
      </c>
      <c r="AB313" s="16" t="s">
        <v>679</v>
      </c>
      <c r="AC313" s="16" t="s">
        <v>1673</v>
      </c>
      <c r="AD313" s="12" t="s">
        <v>281</v>
      </c>
      <c r="AE313" s="12" t="s">
        <v>1871</v>
      </c>
      <c r="AF313" s="12" t="s">
        <v>1872</v>
      </c>
      <c r="AG313" s="12" t="s">
        <v>498</v>
      </c>
      <c r="AH313" s="12" t="s">
        <v>116</v>
      </c>
      <c r="AI313" s="12" t="s">
        <v>117</v>
      </c>
      <c r="AJ313" s="12" t="s">
        <v>1873</v>
      </c>
      <c r="AK313" s="12" t="s">
        <v>4</v>
      </c>
    </row>
    <row r="314" customFormat="false" ht="15" hidden="false" customHeight="false" outlineLevel="0" collapsed="false">
      <c r="A314" s="11" t="n">
        <v>313</v>
      </c>
      <c r="B314" s="12" t="s">
        <v>1874</v>
      </c>
      <c r="C314" s="12" t="s">
        <v>1663</v>
      </c>
      <c r="D314" s="12" t="s">
        <v>1664</v>
      </c>
      <c r="E314" s="12" t="s">
        <v>759</v>
      </c>
      <c r="F314" s="12" t="s">
        <v>1875</v>
      </c>
      <c r="G314" s="12" t="s">
        <v>1876</v>
      </c>
      <c r="H314" s="12" t="s">
        <v>1877</v>
      </c>
      <c r="I314" s="12" t="s">
        <v>847</v>
      </c>
      <c r="J314" s="13" t="s">
        <v>1878</v>
      </c>
      <c r="K314" s="12"/>
      <c r="L314" s="12" t="s">
        <v>1879</v>
      </c>
      <c r="M314" s="12" t="s">
        <v>1880</v>
      </c>
      <c r="N314" s="12" t="s">
        <v>352</v>
      </c>
      <c r="O314" s="12" t="s">
        <v>102</v>
      </c>
      <c r="P314" s="12" t="s">
        <v>103</v>
      </c>
      <c r="Q314" s="12" t="s">
        <v>104</v>
      </c>
      <c r="R314" s="14" t="n">
        <v>9</v>
      </c>
      <c r="S314" s="14" t="s">
        <v>129</v>
      </c>
      <c r="T314" s="14" t="s">
        <v>106</v>
      </c>
      <c r="U314" s="14" t="n">
        <v>2029</v>
      </c>
      <c r="V314" s="12" t="s">
        <v>107</v>
      </c>
      <c r="W314" s="14" t="s">
        <v>1881</v>
      </c>
      <c r="X314" s="15" t="n">
        <f aca="false">IF(OR($S314="%",$R314=""),"",$R314*INDEX(Cambi!$J$2:$J$5,MATCH($S314,Cambi!$I$2:$I$5,0))/IF($T314="EUR",1,INDEX(Cambi!$D:$D,MATCH($T314&amp;"|"&amp;$U314,Cambi!$C:$C,0))))</f>
        <v>9000</v>
      </c>
      <c r="Y314" s="12" t="s">
        <v>109</v>
      </c>
      <c r="Z314" s="12" t="s">
        <v>109</v>
      </c>
      <c r="AA314" s="12" t="s">
        <v>1882</v>
      </c>
      <c r="AB314" s="16" t="s">
        <v>679</v>
      </c>
      <c r="AC314" s="16" t="s">
        <v>1883</v>
      </c>
      <c r="AD314" s="12" t="s">
        <v>112</v>
      </c>
      <c r="AE314" s="12" t="s">
        <v>282</v>
      </c>
      <c r="AF314" s="12" t="s">
        <v>1884</v>
      </c>
      <c r="AG314" s="12" t="s">
        <v>284</v>
      </c>
      <c r="AH314" s="12" t="s">
        <v>838</v>
      </c>
      <c r="AI314" s="12" t="s">
        <v>117</v>
      </c>
      <c r="AJ314" s="12" t="s">
        <v>1885</v>
      </c>
      <c r="AK314" s="12" t="s">
        <v>4</v>
      </c>
    </row>
    <row r="315" customFormat="false" ht="15" hidden="false" customHeight="false" outlineLevel="0" collapsed="false">
      <c r="A315" s="11" t="n">
        <v>314</v>
      </c>
      <c r="B315" s="12" t="s">
        <v>1886</v>
      </c>
      <c r="C315" s="12" t="s">
        <v>1663</v>
      </c>
      <c r="D315" s="12" t="s">
        <v>1664</v>
      </c>
      <c r="E315" s="12" t="s">
        <v>759</v>
      </c>
      <c r="F315" s="12" t="s">
        <v>1887</v>
      </c>
      <c r="G315" s="12" t="s">
        <v>771</v>
      </c>
      <c r="H315" s="12" t="s">
        <v>1888</v>
      </c>
      <c r="I315" s="12" t="s">
        <v>1889</v>
      </c>
      <c r="J315" s="13" t="s">
        <v>1890</v>
      </c>
      <c r="K315" s="12"/>
      <c r="L315" s="12" t="s">
        <v>1891</v>
      </c>
      <c r="M315" s="12" t="s">
        <v>1892</v>
      </c>
      <c r="N315" s="12" t="s">
        <v>956</v>
      </c>
      <c r="O315" s="12" t="s">
        <v>102</v>
      </c>
      <c r="P315" s="12" t="s">
        <v>103</v>
      </c>
      <c r="Q315" s="12" t="s">
        <v>104</v>
      </c>
      <c r="R315" s="14" t="n">
        <v>7.3</v>
      </c>
      <c r="S315" s="14" t="s">
        <v>129</v>
      </c>
      <c r="T315" s="14" t="s">
        <v>106</v>
      </c>
      <c r="U315" s="14" t="n">
        <v>2020</v>
      </c>
      <c r="V315" s="12" t="s">
        <v>157</v>
      </c>
      <c r="W315" s="14" t="s">
        <v>1893</v>
      </c>
      <c r="X315" s="15" t="n">
        <f aca="false">IF(OR($S315="%",$R315=""),"",$R315*INDEX(Cambi!$J$2:$J$5,MATCH($S315,Cambi!$I$2:$I$5,0))/IF($T315="EUR",1,INDEX(Cambi!$D:$D,MATCH($T315&amp;"|"&amp;$U315,Cambi!$C:$C,0))))</f>
        <v>7300</v>
      </c>
      <c r="Y315" s="12" t="s">
        <v>109</v>
      </c>
      <c r="Z315" s="12" t="s">
        <v>109</v>
      </c>
      <c r="AA315" s="12" t="s">
        <v>109</v>
      </c>
      <c r="AB315" s="16" t="s">
        <v>679</v>
      </c>
      <c r="AC315" s="16" t="s">
        <v>1894</v>
      </c>
      <c r="AD315" s="12" t="s">
        <v>112</v>
      </c>
      <c r="AE315" s="12" t="s">
        <v>282</v>
      </c>
      <c r="AF315" s="12" t="s">
        <v>1895</v>
      </c>
      <c r="AG315" s="12" t="s">
        <v>284</v>
      </c>
      <c r="AH315" s="12" t="s">
        <v>116</v>
      </c>
      <c r="AI315" s="12" t="s">
        <v>117</v>
      </c>
      <c r="AJ315" s="12" t="s">
        <v>1896</v>
      </c>
      <c r="AK315" s="12" t="s">
        <v>4</v>
      </c>
    </row>
    <row r="316" customFormat="false" ht="15" hidden="false" customHeight="false" outlineLevel="0" collapsed="false">
      <c r="A316" s="11" t="n">
        <v>315</v>
      </c>
      <c r="B316" s="12" t="s">
        <v>1897</v>
      </c>
      <c r="C316" s="12" t="s">
        <v>1663</v>
      </c>
      <c r="D316" s="12" t="s">
        <v>1664</v>
      </c>
      <c r="E316" s="12" t="s">
        <v>759</v>
      </c>
      <c r="F316" s="12" t="s">
        <v>1898</v>
      </c>
      <c r="G316" s="12" t="s">
        <v>830</v>
      </c>
      <c r="H316" s="12" t="s">
        <v>1899</v>
      </c>
      <c r="I316" s="12" t="s">
        <v>847</v>
      </c>
      <c r="J316" s="13" t="s">
        <v>1900</v>
      </c>
      <c r="K316" s="12"/>
      <c r="L316" s="12" t="s">
        <v>1901</v>
      </c>
      <c r="M316" s="12" t="s">
        <v>1902</v>
      </c>
      <c r="N316" s="12" t="s">
        <v>352</v>
      </c>
      <c r="O316" s="12" t="s">
        <v>102</v>
      </c>
      <c r="P316" s="12" t="s">
        <v>103</v>
      </c>
      <c r="Q316" s="12" t="s">
        <v>104</v>
      </c>
      <c r="R316" s="14" t="n">
        <v>9250</v>
      </c>
      <c r="S316" s="14" t="s">
        <v>105</v>
      </c>
      <c r="T316" s="14" t="s">
        <v>653</v>
      </c>
      <c r="U316" s="14" t="n">
        <v>2025</v>
      </c>
      <c r="V316" s="12" t="s">
        <v>157</v>
      </c>
      <c r="W316" s="14"/>
      <c r="X316" s="15" t="n">
        <f aca="false">IF(OR($S316="%",$R316=""),"",$R316*INDEX(Cambi!$J$2:$J$5,MATCH($S316,Cambi!$I$2:$I$5,0))/IF($T316="EUR",1,INDEX(Cambi!$D:$D,MATCH($T316&amp;"|"&amp;$U316,Cambi!$C:$C,0))))</f>
        <v>8185.8407079646</v>
      </c>
      <c r="Y316" s="12" t="s">
        <v>109</v>
      </c>
      <c r="Z316" s="12" t="s">
        <v>109</v>
      </c>
      <c r="AA316" s="12" t="s">
        <v>109</v>
      </c>
      <c r="AB316" s="16" t="s">
        <v>110</v>
      </c>
      <c r="AC316" s="16" t="s">
        <v>836</v>
      </c>
      <c r="AD316" s="12" t="s">
        <v>112</v>
      </c>
      <c r="AE316" s="12" t="s">
        <v>282</v>
      </c>
      <c r="AF316" s="12" t="s">
        <v>1903</v>
      </c>
      <c r="AG316" s="12" t="s">
        <v>284</v>
      </c>
      <c r="AH316" s="12" t="s">
        <v>838</v>
      </c>
      <c r="AI316" s="12" t="s">
        <v>117</v>
      </c>
      <c r="AJ316" s="12" t="s">
        <v>1904</v>
      </c>
      <c r="AK316" s="12" t="s">
        <v>4</v>
      </c>
    </row>
    <row r="317" customFormat="false" ht="15" hidden="false" customHeight="false" outlineLevel="0" collapsed="false">
      <c r="A317" s="11" t="n">
        <v>316</v>
      </c>
      <c r="B317" s="12" t="s">
        <v>1897</v>
      </c>
      <c r="C317" s="12" t="s">
        <v>1663</v>
      </c>
      <c r="D317" s="12" t="s">
        <v>1664</v>
      </c>
      <c r="E317" s="12" t="s">
        <v>759</v>
      </c>
      <c r="F317" s="12" t="s">
        <v>1898</v>
      </c>
      <c r="G317" s="12" t="s">
        <v>830</v>
      </c>
      <c r="H317" s="12" t="s">
        <v>1899</v>
      </c>
      <c r="I317" s="12" t="s">
        <v>847</v>
      </c>
      <c r="J317" s="13" t="s">
        <v>1900</v>
      </c>
      <c r="K317" s="12"/>
      <c r="L317" s="12" t="s">
        <v>1905</v>
      </c>
      <c r="M317" s="12" t="s">
        <v>1906</v>
      </c>
      <c r="N317" s="12" t="s">
        <v>352</v>
      </c>
      <c r="O317" s="12" t="s">
        <v>196</v>
      </c>
      <c r="P317" s="12" t="s">
        <v>155</v>
      </c>
      <c r="Q317" s="12" t="s">
        <v>794</v>
      </c>
      <c r="R317" s="14" t="n">
        <v>56.92</v>
      </c>
      <c r="S317" s="14" t="s">
        <v>197</v>
      </c>
      <c r="T317" s="14"/>
      <c r="U317" s="14" t="n">
        <v>2025</v>
      </c>
      <c r="V317" s="12" t="s">
        <v>157</v>
      </c>
      <c r="W317" s="14"/>
      <c r="X317" s="15" t="str">
        <f aca="false">IF(OR($S317="%",$R317=""),"",$R317*INDEX(Cambi!$J$2:$J$5,MATCH($S317,Cambi!$I$2:$I$5,0))/IF($T317="EUR",1,INDEX(Cambi!$D:$D,MATCH($T317&amp;"|"&amp;$U317,Cambi!$C:$C,0))))</f>
        <v/>
      </c>
      <c r="Y317" s="12" t="s">
        <v>109</v>
      </c>
      <c r="Z317" s="12" t="s">
        <v>109</v>
      </c>
      <c r="AA317" s="12" t="s">
        <v>109</v>
      </c>
      <c r="AB317" s="16" t="s">
        <v>110</v>
      </c>
      <c r="AC317" s="16" t="s">
        <v>836</v>
      </c>
      <c r="AD317" s="12" t="s">
        <v>112</v>
      </c>
      <c r="AE317" s="12" t="s">
        <v>282</v>
      </c>
      <c r="AF317" s="12" t="s">
        <v>1907</v>
      </c>
      <c r="AG317" s="12" t="s">
        <v>284</v>
      </c>
      <c r="AH317" s="12" t="s">
        <v>838</v>
      </c>
      <c r="AI317" s="12" t="s">
        <v>117</v>
      </c>
      <c r="AJ317" s="12" t="s">
        <v>1908</v>
      </c>
      <c r="AK317" s="12" t="s">
        <v>4</v>
      </c>
    </row>
    <row r="318" customFormat="false" ht="15" hidden="false" customHeight="false" outlineLevel="0" collapsed="false">
      <c r="A318" s="11" t="n">
        <v>317</v>
      </c>
      <c r="B318" s="12" t="s">
        <v>1897</v>
      </c>
      <c r="C318" s="12" t="s">
        <v>1663</v>
      </c>
      <c r="D318" s="12" t="s">
        <v>1664</v>
      </c>
      <c r="E318" s="12" t="s">
        <v>759</v>
      </c>
      <c r="F318" s="12" t="s">
        <v>1898</v>
      </c>
      <c r="G318" s="12" t="s">
        <v>830</v>
      </c>
      <c r="H318" s="12" t="s">
        <v>1899</v>
      </c>
      <c r="I318" s="12" t="s">
        <v>847</v>
      </c>
      <c r="J318" s="13" t="s">
        <v>1900</v>
      </c>
      <c r="K318" s="12"/>
      <c r="L318" s="12" t="s">
        <v>1909</v>
      </c>
      <c r="M318" s="12" t="s">
        <v>1910</v>
      </c>
      <c r="N318" s="12" t="s">
        <v>352</v>
      </c>
      <c r="O318" s="12" t="s">
        <v>102</v>
      </c>
      <c r="P318" s="12" t="s">
        <v>103</v>
      </c>
      <c r="Q318" s="12" t="s">
        <v>104</v>
      </c>
      <c r="R318" s="14" t="n">
        <v>22421.7</v>
      </c>
      <c r="S318" s="14" t="s">
        <v>105</v>
      </c>
      <c r="T318" s="14" t="s">
        <v>653</v>
      </c>
      <c r="U318" s="14" t="n">
        <v>2033</v>
      </c>
      <c r="V318" s="12" t="s">
        <v>107</v>
      </c>
      <c r="W318" s="14" t="s">
        <v>1911</v>
      </c>
      <c r="X318" s="15" t="n">
        <f aca="false">IF(OR($S318="%",$R318=""),"",$R318*INDEX(Cambi!$J$2:$J$5,MATCH($S318,Cambi!$I$2:$I$5,0))/IF($T318="EUR",1,INDEX(Cambi!$D:$D,MATCH($T318&amp;"|"&amp;$U318,Cambi!$C:$C,0))))</f>
        <v>19842.2123893805</v>
      </c>
      <c r="Y318" s="12" t="s">
        <v>109</v>
      </c>
      <c r="Z318" s="12" t="s">
        <v>109</v>
      </c>
      <c r="AA318" s="12" t="s">
        <v>109</v>
      </c>
      <c r="AB318" s="16" t="s">
        <v>110</v>
      </c>
      <c r="AC318" s="16" t="s">
        <v>836</v>
      </c>
      <c r="AD318" s="12" t="s">
        <v>112</v>
      </c>
      <c r="AE318" s="12" t="s">
        <v>282</v>
      </c>
      <c r="AF318" s="12" t="s">
        <v>1912</v>
      </c>
      <c r="AG318" s="12" t="s">
        <v>284</v>
      </c>
      <c r="AH318" s="12" t="s">
        <v>838</v>
      </c>
      <c r="AI318" s="12" t="s">
        <v>117</v>
      </c>
      <c r="AJ318" s="12" t="s">
        <v>266</v>
      </c>
      <c r="AK318" s="12" t="s">
        <v>4</v>
      </c>
    </row>
    <row r="319" customFormat="false" ht="15" hidden="false" customHeight="false" outlineLevel="0" collapsed="false">
      <c r="A319" s="11" t="n">
        <v>318</v>
      </c>
      <c r="B319" s="12" t="s">
        <v>1913</v>
      </c>
      <c r="C319" s="12" t="s">
        <v>1663</v>
      </c>
      <c r="D319" s="12" t="s">
        <v>1664</v>
      </c>
      <c r="E319" s="12" t="s">
        <v>759</v>
      </c>
      <c r="F319" s="12" t="s">
        <v>1898</v>
      </c>
      <c r="G319" s="12" t="s">
        <v>830</v>
      </c>
      <c r="H319" s="12" t="s">
        <v>1914</v>
      </c>
      <c r="I319" s="12" t="s">
        <v>181</v>
      </c>
      <c r="J319" s="13" t="s">
        <v>1915</v>
      </c>
      <c r="K319" s="12"/>
      <c r="L319" s="12" t="s">
        <v>1916</v>
      </c>
      <c r="M319" s="12" t="s">
        <v>1917</v>
      </c>
      <c r="N319" s="12" t="s">
        <v>352</v>
      </c>
      <c r="O319" s="12" t="s">
        <v>102</v>
      </c>
      <c r="P319" s="12" t="s">
        <v>155</v>
      </c>
      <c r="Q319" s="12" t="s">
        <v>787</v>
      </c>
      <c r="R319" s="14" t="n">
        <v>3710</v>
      </c>
      <c r="S319" s="14" t="s">
        <v>105</v>
      </c>
      <c r="T319" s="14" t="s">
        <v>653</v>
      </c>
      <c r="U319" s="14" t="n">
        <v>2024</v>
      </c>
      <c r="V319" s="12" t="s">
        <v>157</v>
      </c>
      <c r="W319" s="14"/>
      <c r="X319" s="15" t="n">
        <f aca="false">IF(OR($S319="%",$R319=""),"",$R319*INDEX(Cambi!$J$2:$J$5,MATCH($S319,Cambi!$I$2:$I$5,0))/IF($T319="EUR",1,INDEX(Cambi!$D:$D,MATCH($T319&amp;"|"&amp;$U319,Cambi!$C:$C,0))))</f>
        <v>3427.56836659276</v>
      </c>
      <c r="Y319" s="12" t="s">
        <v>109</v>
      </c>
      <c r="Z319" s="12" t="s">
        <v>109</v>
      </c>
      <c r="AA319" s="12" t="s">
        <v>109</v>
      </c>
      <c r="AB319" s="16" t="s">
        <v>110</v>
      </c>
      <c r="AC319" s="16" t="s">
        <v>836</v>
      </c>
      <c r="AD319" s="12" t="s">
        <v>112</v>
      </c>
      <c r="AE319" s="12" t="s">
        <v>282</v>
      </c>
      <c r="AF319" s="12" t="s">
        <v>1918</v>
      </c>
      <c r="AG319" s="12" t="s">
        <v>284</v>
      </c>
      <c r="AH319" s="12" t="s">
        <v>838</v>
      </c>
      <c r="AI319" s="12" t="s">
        <v>117</v>
      </c>
      <c r="AJ319" s="12" t="s">
        <v>266</v>
      </c>
      <c r="AK319" s="12" t="s">
        <v>4</v>
      </c>
    </row>
    <row r="320" customFormat="false" ht="15" hidden="false" customHeight="false" outlineLevel="0" collapsed="false">
      <c r="A320" s="11" t="n">
        <v>319</v>
      </c>
      <c r="B320" s="12" t="s">
        <v>1913</v>
      </c>
      <c r="C320" s="12" t="s">
        <v>1663</v>
      </c>
      <c r="D320" s="12" t="s">
        <v>1664</v>
      </c>
      <c r="E320" s="12" t="s">
        <v>759</v>
      </c>
      <c r="F320" s="12" t="s">
        <v>1898</v>
      </c>
      <c r="G320" s="12" t="s">
        <v>830</v>
      </c>
      <c r="H320" s="12" t="s">
        <v>1914</v>
      </c>
      <c r="I320" s="12" t="s">
        <v>181</v>
      </c>
      <c r="J320" s="13" t="s">
        <v>1915</v>
      </c>
      <c r="K320" s="12"/>
      <c r="L320" s="12" t="s">
        <v>1919</v>
      </c>
      <c r="M320" s="12" t="s">
        <v>1920</v>
      </c>
      <c r="N320" s="12" t="s">
        <v>352</v>
      </c>
      <c r="O320" s="12" t="s">
        <v>102</v>
      </c>
      <c r="P320" s="12" t="s">
        <v>155</v>
      </c>
      <c r="Q320" s="12" t="s">
        <v>787</v>
      </c>
      <c r="R320" s="14" t="n">
        <v>7657.5</v>
      </c>
      <c r="S320" s="14" t="s">
        <v>105</v>
      </c>
      <c r="T320" s="14" t="s">
        <v>653</v>
      </c>
      <c r="U320" s="14" t="n">
        <v>2030</v>
      </c>
      <c r="V320" s="12" t="s">
        <v>107</v>
      </c>
      <c r="W320" s="14" t="s">
        <v>1921</v>
      </c>
      <c r="X320" s="15" t="n">
        <f aca="false">IF(OR($S320="%",$R320=""),"",$R320*INDEX(Cambi!$J$2:$J$5,MATCH($S320,Cambi!$I$2:$I$5,0))/IF($T320="EUR",1,INDEX(Cambi!$D:$D,MATCH($T320&amp;"|"&amp;$U320,Cambi!$C:$C,0))))</f>
        <v>6776.54867256637</v>
      </c>
      <c r="Y320" s="12" t="s">
        <v>109</v>
      </c>
      <c r="Z320" s="12" t="s">
        <v>109</v>
      </c>
      <c r="AA320" s="12" t="s">
        <v>109</v>
      </c>
      <c r="AB320" s="16" t="s">
        <v>110</v>
      </c>
      <c r="AC320" s="16" t="s">
        <v>836</v>
      </c>
      <c r="AD320" s="12" t="s">
        <v>112</v>
      </c>
      <c r="AE320" s="12" t="s">
        <v>282</v>
      </c>
      <c r="AF320" s="12" t="s">
        <v>1922</v>
      </c>
      <c r="AG320" s="12" t="s">
        <v>284</v>
      </c>
      <c r="AH320" s="12" t="s">
        <v>838</v>
      </c>
      <c r="AI320" s="12" t="s">
        <v>117</v>
      </c>
      <c r="AJ320" s="12" t="s">
        <v>1923</v>
      </c>
      <c r="AK320" s="12" t="s">
        <v>4</v>
      </c>
    </row>
    <row r="321" customFormat="false" ht="15" hidden="false" customHeight="false" outlineLevel="0" collapsed="false">
      <c r="A321" s="11" t="n">
        <v>320</v>
      </c>
      <c r="B321" s="12" t="s">
        <v>1924</v>
      </c>
      <c r="C321" s="12" t="s">
        <v>1663</v>
      </c>
      <c r="D321" s="12" t="s">
        <v>1664</v>
      </c>
      <c r="E321" s="12" t="s">
        <v>759</v>
      </c>
      <c r="F321" s="12" t="s">
        <v>1925</v>
      </c>
      <c r="G321" s="12" t="s">
        <v>1055</v>
      </c>
      <c r="H321" s="12" t="s">
        <v>1926</v>
      </c>
      <c r="I321" s="12" t="s">
        <v>1927</v>
      </c>
      <c r="J321" s="13" t="s">
        <v>1928</v>
      </c>
      <c r="K321" s="12" t="s">
        <v>1929</v>
      </c>
      <c r="L321" s="12" t="s">
        <v>1930</v>
      </c>
      <c r="M321" s="12" t="s">
        <v>1931</v>
      </c>
      <c r="N321" s="12" t="s">
        <v>352</v>
      </c>
      <c r="O321" s="12" t="s">
        <v>102</v>
      </c>
      <c r="P321" s="12" t="s">
        <v>103</v>
      </c>
      <c r="Q321" s="12" t="s">
        <v>104</v>
      </c>
      <c r="R321" s="14" t="n">
        <v>7.34</v>
      </c>
      <c r="S321" s="14" t="s">
        <v>129</v>
      </c>
      <c r="T321" s="14" t="s">
        <v>106</v>
      </c>
      <c r="U321" s="14" t="n">
        <v>2025</v>
      </c>
      <c r="V321" s="12" t="s">
        <v>157</v>
      </c>
      <c r="W321" s="14" t="s">
        <v>1932</v>
      </c>
      <c r="X321" s="15" t="n">
        <f aca="false">IF(OR($S321="%",$R321=""),"",$R321*INDEX(Cambi!$J$2:$J$5,MATCH($S321,Cambi!$I$2:$I$5,0))/IF($T321="EUR",1,INDEX(Cambi!$D:$D,MATCH($T321&amp;"|"&amp;$U321,Cambi!$C:$C,0))))</f>
        <v>7340</v>
      </c>
      <c r="Y321" s="12" t="s">
        <v>109</v>
      </c>
      <c r="Z321" s="12" t="s">
        <v>109</v>
      </c>
      <c r="AA321" s="12" t="s">
        <v>109</v>
      </c>
      <c r="AB321" s="16" t="s">
        <v>110</v>
      </c>
      <c r="AC321" s="16" t="s">
        <v>1831</v>
      </c>
      <c r="AD321" s="12" t="s">
        <v>281</v>
      </c>
      <c r="AE321" s="12" t="s">
        <v>282</v>
      </c>
      <c r="AF321" s="12" t="s">
        <v>1933</v>
      </c>
      <c r="AG321" s="12" t="s">
        <v>284</v>
      </c>
      <c r="AH321" s="12" t="s">
        <v>499</v>
      </c>
      <c r="AI321" s="12" t="s">
        <v>285</v>
      </c>
      <c r="AJ321" s="12" t="s">
        <v>1934</v>
      </c>
      <c r="AK321" s="12" t="s">
        <v>4</v>
      </c>
    </row>
    <row r="322" customFormat="false" ht="15" hidden="false" customHeight="false" outlineLevel="0" collapsed="false">
      <c r="A322" s="11" t="n">
        <v>321</v>
      </c>
      <c r="B322" s="12" t="s">
        <v>1924</v>
      </c>
      <c r="C322" s="12" t="s">
        <v>1663</v>
      </c>
      <c r="D322" s="12" t="s">
        <v>1664</v>
      </c>
      <c r="E322" s="12" t="s">
        <v>759</v>
      </c>
      <c r="F322" s="12" t="s">
        <v>1925</v>
      </c>
      <c r="G322" s="12" t="s">
        <v>1055</v>
      </c>
      <c r="H322" s="12" t="s">
        <v>1926</v>
      </c>
      <c r="I322" s="12" t="s">
        <v>1927</v>
      </c>
      <c r="J322" s="13" t="s">
        <v>1928</v>
      </c>
      <c r="K322" s="12" t="s">
        <v>1929</v>
      </c>
      <c r="L322" s="12" t="s">
        <v>1935</v>
      </c>
      <c r="M322" s="12" t="s">
        <v>1936</v>
      </c>
      <c r="N322" s="12" t="s">
        <v>352</v>
      </c>
      <c r="O322" s="12" t="s">
        <v>102</v>
      </c>
      <c r="P322" s="12" t="s">
        <v>155</v>
      </c>
      <c r="Q322" s="12" t="s">
        <v>1937</v>
      </c>
      <c r="R322" s="14" t="n">
        <v>1.2</v>
      </c>
      <c r="S322" s="14" t="s">
        <v>129</v>
      </c>
      <c r="T322" s="14" t="s">
        <v>106</v>
      </c>
      <c r="U322" s="14" t="n">
        <v>2025</v>
      </c>
      <c r="V322" s="12" t="s">
        <v>157</v>
      </c>
      <c r="W322" s="14"/>
      <c r="X322" s="15" t="n">
        <f aca="false">IF(OR($S322="%",$R322=""),"",$R322*INDEX(Cambi!$J$2:$J$5,MATCH($S322,Cambi!$I$2:$I$5,0))/IF($T322="EUR",1,INDEX(Cambi!$D:$D,MATCH($T322&amp;"|"&amp;$U322,Cambi!$C:$C,0))))</f>
        <v>1200</v>
      </c>
      <c r="Y322" s="12" t="s">
        <v>109</v>
      </c>
      <c r="Z322" s="12" t="s">
        <v>109</v>
      </c>
      <c r="AA322" s="12" t="s">
        <v>109</v>
      </c>
      <c r="AB322" s="16" t="s">
        <v>110</v>
      </c>
      <c r="AC322" s="16" t="s">
        <v>1831</v>
      </c>
      <c r="AD322" s="12" t="s">
        <v>281</v>
      </c>
      <c r="AE322" s="12" t="s">
        <v>282</v>
      </c>
      <c r="AF322" s="12" t="s">
        <v>1938</v>
      </c>
      <c r="AG322" s="12" t="s">
        <v>284</v>
      </c>
      <c r="AH322" s="12" t="s">
        <v>499</v>
      </c>
      <c r="AI322" s="12" t="s">
        <v>285</v>
      </c>
      <c r="AJ322" s="12" t="s">
        <v>1939</v>
      </c>
      <c r="AK322" s="12" t="s">
        <v>4</v>
      </c>
    </row>
    <row r="323" customFormat="false" ht="15" hidden="false" customHeight="false" outlineLevel="0" collapsed="false">
      <c r="A323" s="11" t="n">
        <v>322</v>
      </c>
      <c r="B323" s="12" t="s">
        <v>1924</v>
      </c>
      <c r="C323" s="12" t="s">
        <v>1663</v>
      </c>
      <c r="D323" s="12" t="s">
        <v>1664</v>
      </c>
      <c r="E323" s="12" t="s">
        <v>759</v>
      </c>
      <c r="F323" s="12" t="s">
        <v>1925</v>
      </c>
      <c r="G323" s="12" t="s">
        <v>1055</v>
      </c>
      <c r="H323" s="12" t="s">
        <v>1926</v>
      </c>
      <c r="I323" s="12" t="s">
        <v>1927</v>
      </c>
      <c r="J323" s="13" t="s">
        <v>1928</v>
      </c>
      <c r="K323" s="12" t="s">
        <v>1929</v>
      </c>
      <c r="L323" s="12" t="s">
        <v>1940</v>
      </c>
      <c r="M323" s="12" t="s">
        <v>1941</v>
      </c>
      <c r="N323" s="12" t="s">
        <v>352</v>
      </c>
      <c r="O323" s="12" t="s">
        <v>102</v>
      </c>
      <c r="P323" s="12" t="s">
        <v>155</v>
      </c>
      <c r="Q323" s="12" t="s">
        <v>1937</v>
      </c>
      <c r="R323" s="14" t="n">
        <v>2.1</v>
      </c>
      <c r="S323" s="14" t="s">
        <v>129</v>
      </c>
      <c r="T323" s="14" t="s">
        <v>106</v>
      </c>
      <c r="U323" s="14" t="n">
        <v>2029</v>
      </c>
      <c r="V323" s="12" t="s">
        <v>107</v>
      </c>
      <c r="W323" s="14" t="s">
        <v>1942</v>
      </c>
      <c r="X323" s="15" t="n">
        <f aca="false">IF(OR($S323="%",$R323=""),"",$R323*INDEX(Cambi!$J$2:$J$5,MATCH($S323,Cambi!$I$2:$I$5,0))/IF($T323="EUR",1,INDEX(Cambi!$D:$D,MATCH($T323&amp;"|"&amp;$U323,Cambi!$C:$C,0))))</f>
        <v>2100</v>
      </c>
      <c r="Y323" s="12" t="s">
        <v>109</v>
      </c>
      <c r="Z323" s="12" t="s">
        <v>109</v>
      </c>
      <c r="AA323" s="12" t="s">
        <v>109</v>
      </c>
      <c r="AB323" s="16" t="s">
        <v>110</v>
      </c>
      <c r="AC323" s="16" t="s">
        <v>1831</v>
      </c>
      <c r="AD323" s="12" t="s">
        <v>281</v>
      </c>
      <c r="AE323" s="12" t="s">
        <v>282</v>
      </c>
      <c r="AF323" s="12" t="s">
        <v>1943</v>
      </c>
      <c r="AG323" s="12" t="s">
        <v>284</v>
      </c>
      <c r="AH323" s="12" t="s">
        <v>499</v>
      </c>
      <c r="AI323" s="12" t="s">
        <v>285</v>
      </c>
      <c r="AJ323" s="12" t="s">
        <v>1944</v>
      </c>
      <c r="AK323" s="12" t="s">
        <v>4</v>
      </c>
    </row>
    <row r="324" customFormat="false" ht="15" hidden="false" customHeight="false" outlineLevel="0" collapsed="false">
      <c r="A324" s="11" t="n">
        <v>323</v>
      </c>
      <c r="B324" s="12" t="s">
        <v>1924</v>
      </c>
      <c r="C324" s="12" t="s">
        <v>1663</v>
      </c>
      <c r="D324" s="12" t="s">
        <v>1664</v>
      </c>
      <c r="E324" s="12" t="s">
        <v>759</v>
      </c>
      <c r="F324" s="12" t="s">
        <v>1925</v>
      </c>
      <c r="G324" s="12" t="s">
        <v>1055</v>
      </c>
      <c r="H324" s="12" t="s">
        <v>1926</v>
      </c>
      <c r="I324" s="12" t="s">
        <v>1927</v>
      </c>
      <c r="J324" s="13" t="s">
        <v>1928</v>
      </c>
      <c r="K324" s="12" t="s">
        <v>1929</v>
      </c>
      <c r="L324" s="12" t="s">
        <v>1945</v>
      </c>
      <c r="M324" s="12" t="s">
        <v>1946</v>
      </c>
      <c r="N324" s="12" t="s">
        <v>352</v>
      </c>
      <c r="O324" s="12" t="s">
        <v>102</v>
      </c>
      <c r="P324" s="12" t="s">
        <v>103</v>
      </c>
      <c r="Q324" s="12" t="s">
        <v>104</v>
      </c>
      <c r="R324" s="14" t="n">
        <v>10.7</v>
      </c>
      <c r="S324" s="14" t="s">
        <v>129</v>
      </c>
      <c r="T324" s="14" t="s">
        <v>106</v>
      </c>
      <c r="U324" s="14" t="n">
        <v>2030</v>
      </c>
      <c r="V324" s="12" t="s">
        <v>107</v>
      </c>
      <c r="W324" s="14" t="s">
        <v>1947</v>
      </c>
      <c r="X324" s="15" t="n">
        <f aca="false">IF(OR($S324="%",$R324=""),"",$R324*INDEX(Cambi!$J$2:$J$5,MATCH($S324,Cambi!$I$2:$I$5,0))/IF($T324="EUR",1,INDEX(Cambi!$D:$D,MATCH($T324&amp;"|"&amp;$U324,Cambi!$C:$C,0))))</f>
        <v>10700</v>
      </c>
      <c r="Y324" s="12" t="s">
        <v>109</v>
      </c>
      <c r="Z324" s="12" t="s">
        <v>109</v>
      </c>
      <c r="AA324" s="12" t="s">
        <v>109</v>
      </c>
      <c r="AB324" s="16" t="s">
        <v>110</v>
      </c>
      <c r="AC324" s="16" t="s">
        <v>1831</v>
      </c>
      <c r="AD324" s="12" t="s">
        <v>281</v>
      </c>
      <c r="AE324" s="12" t="s">
        <v>282</v>
      </c>
      <c r="AF324" s="12" t="s">
        <v>1948</v>
      </c>
      <c r="AG324" s="12" t="s">
        <v>284</v>
      </c>
      <c r="AH324" s="12" t="s">
        <v>499</v>
      </c>
      <c r="AI324" s="12" t="s">
        <v>285</v>
      </c>
      <c r="AJ324" s="12" t="s">
        <v>266</v>
      </c>
      <c r="AK324" s="12" t="s">
        <v>4</v>
      </c>
    </row>
    <row r="325" customFormat="false" ht="15" hidden="false" customHeight="false" outlineLevel="0" collapsed="false">
      <c r="A325" s="11" t="n">
        <v>324</v>
      </c>
      <c r="B325" s="12" t="s">
        <v>1949</v>
      </c>
      <c r="C325" s="12" t="s">
        <v>1663</v>
      </c>
      <c r="D325" s="12" t="s">
        <v>1664</v>
      </c>
      <c r="E325" s="12" t="s">
        <v>759</v>
      </c>
      <c r="F325" s="12" t="s">
        <v>1950</v>
      </c>
      <c r="G325" s="12" t="s">
        <v>1055</v>
      </c>
      <c r="H325" s="12" t="s">
        <v>1951</v>
      </c>
      <c r="I325" s="12" t="s">
        <v>1952</v>
      </c>
      <c r="J325" s="13" t="s">
        <v>1953</v>
      </c>
      <c r="K325" s="12" t="s">
        <v>1954</v>
      </c>
      <c r="L325" s="12" t="s">
        <v>1955</v>
      </c>
      <c r="M325" s="12" t="s">
        <v>1956</v>
      </c>
      <c r="N325" s="12" t="s">
        <v>956</v>
      </c>
      <c r="O325" s="12" t="s">
        <v>102</v>
      </c>
      <c r="P325" s="12" t="s">
        <v>103</v>
      </c>
      <c r="Q325" s="12" t="s">
        <v>104</v>
      </c>
      <c r="R325" s="14" t="n">
        <v>8.3</v>
      </c>
      <c r="S325" s="14" t="s">
        <v>129</v>
      </c>
      <c r="T325" s="14" t="s">
        <v>106</v>
      </c>
      <c r="U325" s="14" t="n">
        <v>2020</v>
      </c>
      <c r="V325" s="12" t="s">
        <v>157</v>
      </c>
      <c r="W325" s="14" t="s">
        <v>1957</v>
      </c>
      <c r="X325" s="15" t="n">
        <f aca="false">IF(OR($S325="%",$R325=""),"",$R325*INDEX(Cambi!$J$2:$J$5,MATCH($S325,Cambi!$I$2:$I$5,0))/IF($T325="EUR",1,INDEX(Cambi!$D:$D,MATCH($T325&amp;"|"&amp;$U325,Cambi!$C:$C,0))))</f>
        <v>8300</v>
      </c>
      <c r="Y325" s="12" t="s">
        <v>654</v>
      </c>
      <c r="Z325" s="12" t="s">
        <v>109</v>
      </c>
      <c r="AA325" s="12" t="s">
        <v>1870</v>
      </c>
      <c r="AB325" s="16" t="s">
        <v>679</v>
      </c>
      <c r="AC325" s="16" t="s">
        <v>1673</v>
      </c>
      <c r="AD325" s="12" t="s">
        <v>281</v>
      </c>
      <c r="AE325" s="12" t="s">
        <v>1958</v>
      </c>
      <c r="AF325" s="12" t="s">
        <v>1959</v>
      </c>
      <c r="AG325" s="12" t="s">
        <v>498</v>
      </c>
      <c r="AH325" s="12" t="s">
        <v>499</v>
      </c>
      <c r="AI325" s="12" t="s">
        <v>285</v>
      </c>
      <c r="AJ325" s="12" t="s">
        <v>1960</v>
      </c>
      <c r="AK325" s="12" t="s">
        <v>4</v>
      </c>
    </row>
    <row r="326" customFormat="false" ht="15" hidden="false" customHeight="false" outlineLevel="0" collapsed="false">
      <c r="A326" s="11" t="n">
        <v>325</v>
      </c>
      <c r="B326" s="12" t="s">
        <v>1949</v>
      </c>
      <c r="C326" s="12" t="s">
        <v>1663</v>
      </c>
      <c r="D326" s="12" t="s">
        <v>1664</v>
      </c>
      <c r="E326" s="12" t="s">
        <v>759</v>
      </c>
      <c r="F326" s="12" t="s">
        <v>1950</v>
      </c>
      <c r="G326" s="12" t="s">
        <v>1055</v>
      </c>
      <c r="H326" s="12" t="s">
        <v>1951</v>
      </c>
      <c r="I326" s="12" t="s">
        <v>1952</v>
      </c>
      <c r="J326" s="13" t="s">
        <v>1953</v>
      </c>
      <c r="K326" s="12" t="s">
        <v>1954</v>
      </c>
      <c r="L326" s="12" t="s">
        <v>1961</v>
      </c>
      <c r="M326" s="12" t="s">
        <v>1962</v>
      </c>
      <c r="N326" s="12" t="s">
        <v>956</v>
      </c>
      <c r="O326" s="12" t="s">
        <v>102</v>
      </c>
      <c r="P326" s="12" t="s">
        <v>155</v>
      </c>
      <c r="Q326" s="12" t="s">
        <v>1963</v>
      </c>
      <c r="R326" s="14" t="n">
        <v>4.3</v>
      </c>
      <c r="S326" s="14" t="s">
        <v>129</v>
      </c>
      <c r="T326" s="14" t="s">
        <v>106</v>
      </c>
      <c r="U326" s="14" t="n">
        <v>2020</v>
      </c>
      <c r="V326" s="12" t="s">
        <v>157</v>
      </c>
      <c r="W326" s="14"/>
      <c r="X326" s="15" t="n">
        <f aca="false">IF(OR($S326="%",$R326=""),"",$R326*INDEX(Cambi!$J$2:$J$5,MATCH($S326,Cambi!$I$2:$I$5,0))/IF($T326="EUR",1,INDEX(Cambi!$D:$D,MATCH($T326&amp;"|"&amp;$U326,Cambi!$C:$C,0))))</f>
        <v>4300</v>
      </c>
      <c r="Y326" s="12" t="s">
        <v>654</v>
      </c>
      <c r="Z326" s="12" t="s">
        <v>109</v>
      </c>
      <c r="AA326" s="12" t="s">
        <v>1870</v>
      </c>
      <c r="AB326" s="16" t="s">
        <v>679</v>
      </c>
      <c r="AC326" s="16" t="s">
        <v>1673</v>
      </c>
      <c r="AD326" s="12" t="s">
        <v>281</v>
      </c>
      <c r="AE326" s="12" t="s">
        <v>1958</v>
      </c>
      <c r="AF326" s="12" t="s">
        <v>1964</v>
      </c>
      <c r="AG326" s="12" t="s">
        <v>498</v>
      </c>
      <c r="AH326" s="12" t="s">
        <v>499</v>
      </c>
      <c r="AI326" s="12" t="s">
        <v>285</v>
      </c>
      <c r="AJ326" s="12" t="s">
        <v>1965</v>
      </c>
      <c r="AK326" s="12" t="s">
        <v>4</v>
      </c>
    </row>
    <row r="327" customFormat="false" ht="15" hidden="false" customHeight="false" outlineLevel="0" collapsed="false">
      <c r="A327" s="11" t="n">
        <v>326</v>
      </c>
      <c r="B327" s="12" t="s">
        <v>1949</v>
      </c>
      <c r="C327" s="12" t="s">
        <v>1663</v>
      </c>
      <c r="D327" s="12" t="s">
        <v>1664</v>
      </c>
      <c r="E327" s="12" t="s">
        <v>759</v>
      </c>
      <c r="F327" s="12" t="s">
        <v>1950</v>
      </c>
      <c r="G327" s="12" t="s">
        <v>1055</v>
      </c>
      <c r="H327" s="12" t="s">
        <v>1951</v>
      </c>
      <c r="I327" s="12" t="s">
        <v>1952</v>
      </c>
      <c r="J327" s="13" t="s">
        <v>1953</v>
      </c>
      <c r="K327" s="12" t="s">
        <v>1954</v>
      </c>
      <c r="L327" s="12" t="s">
        <v>1966</v>
      </c>
      <c r="M327" s="12" t="s">
        <v>1967</v>
      </c>
      <c r="N327" s="12" t="s">
        <v>956</v>
      </c>
      <c r="O327" s="12" t="s">
        <v>102</v>
      </c>
      <c r="P327" s="12" t="s">
        <v>155</v>
      </c>
      <c r="Q327" s="12" t="s">
        <v>787</v>
      </c>
      <c r="R327" s="14" t="n">
        <v>4</v>
      </c>
      <c r="S327" s="14" t="s">
        <v>129</v>
      </c>
      <c r="T327" s="14" t="s">
        <v>106</v>
      </c>
      <c r="U327" s="14" t="n">
        <v>2020</v>
      </c>
      <c r="V327" s="12" t="s">
        <v>157</v>
      </c>
      <c r="W327" s="14" t="s">
        <v>1968</v>
      </c>
      <c r="X327" s="15" t="n">
        <f aca="false">IF(OR($S327="%",$R327=""),"",$R327*INDEX(Cambi!$J$2:$J$5,MATCH($S327,Cambi!$I$2:$I$5,0))/IF($T327="EUR",1,INDEX(Cambi!$D:$D,MATCH($T327&amp;"|"&amp;$U327,Cambi!$C:$C,0))))</f>
        <v>4000</v>
      </c>
      <c r="Y327" s="12" t="s">
        <v>654</v>
      </c>
      <c r="Z327" s="12" t="s">
        <v>109</v>
      </c>
      <c r="AA327" s="12" t="s">
        <v>1870</v>
      </c>
      <c r="AB327" s="16" t="s">
        <v>679</v>
      </c>
      <c r="AC327" s="16" t="s">
        <v>1673</v>
      </c>
      <c r="AD327" s="12" t="s">
        <v>281</v>
      </c>
      <c r="AE327" s="12" t="s">
        <v>1958</v>
      </c>
      <c r="AF327" s="12" t="s">
        <v>1969</v>
      </c>
      <c r="AG327" s="12" t="s">
        <v>498</v>
      </c>
      <c r="AH327" s="12" t="s">
        <v>499</v>
      </c>
      <c r="AI327" s="12" t="s">
        <v>285</v>
      </c>
      <c r="AJ327" s="12" t="s">
        <v>1965</v>
      </c>
      <c r="AK327" s="12" t="s">
        <v>4</v>
      </c>
    </row>
    <row r="328" customFormat="false" ht="15" hidden="false" customHeight="false" outlineLevel="0" collapsed="false">
      <c r="A328" s="11" t="n">
        <v>327</v>
      </c>
      <c r="B328" s="12" t="s">
        <v>1970</v>
      </c>
      <c r="C328" s="12" t="s">
        <v>1663</v>
      </c>
      <c r="D328" s="12" t="s">
        <v>1664</v>
      </c>
      <c r="E328" s="12" t="s">
        <v>759</v>
      </c>
      <c r="F328" s="12" t="s">
        <v>1971</v>
      </c>
      <c r="G328" s="12" t="s">
        <v>830</v>
      </c>
      <c r="H328" s="12" t="s">
        <v>1972</v>
      </c>
      <c r="I328" s="12" t="s">
        <v>181</v>
      </c>
      <c r="J328" s="13" t="s">
        <v>1973</v>
      </c>
      <c r="K328" s="12"/>
      <c r="L328" s="12" t="s">
        <v>1974</v>
      </c>
      <c r="M328" s="12" t="s">
        <v>1975</v>
      </c>
      <c r="N328" s="12" t="s">
        <v>352</v>
      </c>
      <c r="O328" s="12" t="s">
        <v>102</v>
      </c>
      <c r="P328" s="12" t="s">
        <v>103</v>
      </c>
      <c r="Q328" s="12" t="s">
        <v>104</v>
      </c>
      <c r="R328" s="14" t="n">
        <v>8.51</v>
      </c>
      <c r="S328" s="14" t="s">
        <v>129</v>
      </c>
      <c r="T328" s="14" t="s">
        <v>653</v>
      </c>
      <c r="U328" s="14" t="n">
        <v>2025</v>
      </c>
      <c r="V328" s="12" t="s">
        <v>107</v>
      </c>
      <c r="W328" s="14"/>
      <c r="X328" s="15" t="n">
        <f aca="false">IF(OR($S328="%",$R328=""),"",$R328*INDEX(Cambi!$J$2:$J$5,MATCH($S328,Cambi!$I$2:$I$5,0))/IF($T328="EUR",1,INDEX(Cambi!$D:$D,MATCH($T328&amp;"|"&amp;$U328,Cambi!$C:$C,0))))</f>
        <v>7530.97345132743</v>
      </c>
      <c r="Y328" s="12" t="s">
        <v>109</v>
      </c>
      <c r="Z328" s="12" t="s">
        <v>109</v>
      </c>
      <c r="AA328" s="12" t="s">
        <v>109</v>
      </c>
      <c r="AB328" s="16" t="s">
        <v>110</v>
      </c>
      <c r="AC328" s="16" t="s">
        <v>836</v>
      </c>
      <c r="AD328" s="12" t="s">
        <v>112</v>
      </c>
      <c r="AE328" s="12" t="s">
        <v>282</v>
      </c>
      <c r="AF328" s="12" t="s">
        <v>1976</v>
      </c>
      <c r="AG328" s="12" t="s">
        <v>284</v>
      </c>
      <c r="AH328" s="12" t="s">
        <v>838</v>
      </c>
      <c r="AI328" s="12" t="s">
        <v>117</v>
      </c>
      <c r="AJ328" s="12" t="s">
        <v>1977</v>
      </c>
      <c r="AK328" s="12" t="s">
        <v>4</v>
      </c>
    </row>
    <row r="329" customFormat="false" ht="15" hidden="false" customHeight="false" outlineLevel="0" collapsed="false">
      <c r="A329" s="11" t="n">
        <v>328</v>
      </c>
      <c r="B329" s="12" t="s">
        <v>1970</v>
      </c>
      <c r="C329" s="12" t="s">
        <v>1663</v>
      </c>
      <c r="D329" s="12" t="s">
        <v>1664</v>
      </c>
      <c r="E329" s="12" t="s">
        <v>759</v>
      </c>
      <c r="F329" s="12" t="s">
        <v>1971</v>
      </c>
      <c r="G329" s="12" t="s">
        <v>830</v>
      </c>
      <c r="H329" s="12" t="s">
        <v>1972</v>
      </c>
      <c r="I329" s="12" t="s">
        <v>181</v>
      </c>
      <c r="J329" s="13" t="s">
        <v>1973</v>
      </c>
      <c r="K329" s="12"/>
      <c r="L329" s="12" t="s">
        <v>1978</v>
      </c>
      <c r="M329" s="12" t="s">
        <v>1979</v>
      </c>
      <c r="N329" s="12" t="s">
        <v>352</v>
      </c>
      <c r="O329" s="12" t="s">
        <v>102</v>
      </c>
      <c r="P329" s="12" t="s">
        <v>103</v>
      </c>
      <c r="Q329" s="12" t="s">
        <v>104</v>
      </c>
      <c r="R329" s="14" t="n">
        <v>22.42</v>
      </c>
      <c r="S329" s="14" t="s">
        <v>129</v>
      </c>
      <c r="T329" s="14" t="s">
        <v>653</v>
      </c>
      <c r="U329" s="14" t="n">
        <v>2035</v>
      </c>
      <c r="V329" s="12" t="s">
        <v>107</v>
      </c>
      <c r="W329" s="14" t="s">
        <v>1980</v>
      </c>
      <c r="X329" s="15" t="n">
        <f aca="false">IF(OR($S329="%",$R329=""),"",$R329*INDEX(Cambi!$J$2:$J$5,MATCH($S329,Cambi!$I$2:$I$5,0))/IF($T329="EUR",1,INDEX(Cambi!$D:$D,MATCH($T329&amp;"|"&amp;$U329,Cambi!$C:$C,0))))</f>
        <v>19840.7079646018</v>
      </c>
      <c r="Y329" s="12" t="s">
        <v>109</v>
      </c>
      <c r="Z329" s="12" t="s">
        <v>109</v>
      </c>
      <c r="AA329" s="12" t="s">
        <v>109</v>
      </c>
      <c r="AB329" s="16" t="s">
        <v>110</v>
      </c>
      <c r="AC329" s="16" t="s">
        <v>836</v>
      </c>
      <c r="AD329" s="12" t="s">
        <v>112</v>
      </c>
      <c r="AE329" s="12" t="s">
        <v>282</v>
      </c>
      <c r="AF329" s="12" t="s">
        <v>1981</v>
      </c>
      <c r="AG329" s="12" t="s">
        <v>284</v>
      </c>
      <c r="AH329" s="12" t="s">
        <v>838</v>
      </c>
      <c r="AI329" s="12" t="s">
        <v>117</v>
      </c>
      <c r="AJ329" s="12" t="s">
        <v>1982</v>
      </c>
      <c r="AK329" s="12" t="s">
        <v>4</v>
      </c>
    </row>
    <row r="330" customFormat="false" ht="15" hidden="false" customHeight="false" outlineLevel="0" collapsed="false">
      <c r="A330" s="11" t="n">
        <v>329</v>
      </c>
      <c r="B330" s="12" t="s">
        <v>1983</v>
      </c>
      <c r="C330" s="12" t="s">
        <v>1663</v>
      </c>
      <c r="D330" s="12" t="s">
        <v>1664</v>
      </c>
      <c r="E330" s="12" t="s">
        <v>759</v>
      </c>
      <c r="F330" s="12" t="s">
        <v>1984</v>
      </c>
      <c r="G330" s="12" t="s">
        <v>830</v>
      </c>
      <c r="H330" s="12" t="s">
        <v>1985</v>
      </c>
      <c r="I330" s="12" t="s">
        <v>181</v>
      </c>
      <c r="J330" s="13" t="s">
        <v>1986</v>
      </c>
      <c r="K330" s="12"/>
      <c r="L330" s="12" t="s">
        <v>1974</v>
      </c>
      <c r="M330" s="12" t="s">
        <v>1987</v>
      </c>
      <c r="N330" s="12" t="s">
        <v>352</v>
      </c>
      <c r="O330" s="12" t="s">
        <v>102</v>
      </c>
      <c r="P330" s="12" t="s">
        <v>103</v>
      </c>
      <c r="Q330" s="12" t="s">
        <v>104</v>
      </c>
      <c r="R330" s="14" t="n">
        <v>5676.9</v>
      </c>
      <c r="S330" s="14" t="s">
        <v>105</v>
      </c>
      <c r="T330" s="14" t="s">
        <v>653</v>
      </c>
      <c r="U330" s="14" t="n">
        <v>2025</v>
      </c>
      <c r="V330" s="12" t="s">
        <v>157</v>
      </c>
      <c r="W330" s="14"/>
      <c r="X330" s="15" t="n">
        <f aca="false">IF(OR($S330="%",$R330=""),"",$R330*INDEX(Cambi!$J$2:$J$5,MATCH($S330,Cambi!$I$2:$I$5,0))/IF($T330="EUR",1,INDEX(Cambi!$D:$D,MATCH($T330&amp;"|"&amp;$U330,Cambi!$C:$C,0))))</f>
        <v>5023.80530973451</v>
      </c>
      <c r="Y330" s="12" t="s">
        <v>109</v>
      </c>
      <c r="Z330" s="12" t="s">
        <v>109</v>
      </c>
      <c r="AA330" s="12" t="s">
        <v>109</v>
      </c>
      <c r="AB330" s="16" t="s">
        <v>110</v>
      </c>
      <c r="AC330" s="16" t="s">
        <v>836</v>
      </c>
      <c r="AD330" s="12" t="s">
        <v>112</v>
      </c>
      <c r="AE330" s="12" t="s">
        <v>282</v>
      </c>
      <c r="AF330" s="12" t="s">
        <v>1988</v>
      </c>
      <c r="AG330" s="12" t="s">
        <v>284</v>
      </c>
      <c r="AH330" s="12" t="s">
        <v>838</v>
      </c>
      <c r="AI330" s="12" t="s">
        <v>117</v>
      </c>
      <c r="AJ330" s="12" t="s">
        <v>1904</v>
      </c>
      <c r="AK330" s="12" t="s">
        <v>4</v>
      </c>
    </row>
    <row r="331" customFormat="false" ht="15" hidden="false" customHeight="false" outlineLevel="0" collapsed="false">
      <c r="A331" s="11" t="n">
        <v>330</v>
      </c>
      <c r="B331" s="12" t="s">
        <v>1983</v>
      </c>
      <c r="C331" s="12" t="s">
        <v>1663</v>
      </c>
      <c r="D331" s="12" t="s">
        <v>1664</v>
      </c>
      <c r="E331" s="12" t="s">
        <v>759</v>
      </c>
      <c r="F331" s="12" t="s">
        <v>1984</v>
      </c>
      <c r="G331" s="12" t="s">
        <v>830</v>
      </c>
      <c r="H331" s="12" t="s">
        <v>1985</v>
      </c>
      <c r="I331" s="12" t="s">
        <v>181</v>
      </c>
      <c r="J331" s="13" t="s">
        <v>1986</v>
      </c>
      <c r="K331" s="12"/>
      <c r="L331" s="12" t="s">
        <v>1989</v>
      </c>
      <c r="M331" s="12" t="s">
        <v>1990</v>
      </c>
      <c r="N331" s="12" t="s">
        <v>352</v>
      </c>
      <c r="O331" s="12" t="s">
        <v>102</v>
      </c>
      <c r="P331" s="12" t="s">
        <v>103</v>
      </c>
      <c r="Q331" s="12" t="s">
        <v>104</v>
      </c>
      <c r="R331" s="14" t="n">
        <v>7907.4</v>
      </c>
      <c r="S331" s="14" t="s">
        <v>105</v>
      </c>
      <c r="T331" s="14" t="s">
        <v>653</v>
      </c>
      <c r="U331" s="14" t="n">
        <v>2030</v>
      </c>
      <c r="V331" s="12" t="s">
        <v>107</v>
      </c>
      <c r="W331" s="14" t="s">
        <v>1991</v>
      </c>
      <c r="X331" s="15" t="n">
        <f aca="false">IF(OR($S331="%",$R331=""),"",$R331*INDEX(Cambi!$J$2:$J$5,MATCH($S331,Cambi!$I$2:$I$5,0))/IF($T331="EUR",1,INDEX(Cambi!$D:$D,MATCH($T331&amp;"|"&amp;$U331,Cambi!$C:$C,0))))</f>
        <v>6997.69911504425</v>
      </c>
      <c r="Y331" s="12" t="s">
        <v>109</v>
      </c>
      <c r="Z331" s="12" t="s">
        <v>109</v>
      </c>
      <c r="AA331" s="12" t="s">
        <v>109</v>
      </c>
      <c r="AB331" s="16" t="s">
        <v>110</v>
      </c>
      <c r="AC331" s="16" t="s">
        <v>836</v>
      </c>
      <c r="AD331" s="12" t="s">
        <v>112</v>
      </c>
      <c r="AE331" s="12" t="s">
        <v>282</v>
      </c>
      <c r="AF331" s="12" t="s">
        <v>1992</v>
      </c>
      <c r="AG331" s="12" t="s">
        <v>284</v>
      </c>
      <c r="AH331" s="12" t="s">
        <v>838</v>
      </c>
      <c r="AI331" s="12" t="s">
        <v>117</v>
      </c>
      <c r="AJ331" s="12" t="s">
        <v>266</v>
      </c>
      <c r="AK331" s="12" t="s">
        <v>4</v>
      </c>
    </row>
    <row r="332" customFormat="false" ht="15" hidden="false" customHeight="false" outlineLevel="0" collapsed="false">
      <c r="A332" s="11" t="n">
        <v>331</v>
      </c>
      <c r="B332" s="12" t="s">
        <v>1993</v>
      </c>
      <c r="C332" s="12" t="s">
        <v>1663</v>
      </c>
      <c r="D332" s="12" t="s">
        <v>1664</v>
      </c>
      <c r="E332" s="12" t="s">
        <v>759</v>
      </c>
      <c r="F332" s="12" t="s">
        <v>1994</v>
      </c>
      <c r="G332" s="12" t="s">
        <v>771</v>
      </c>
      <c r="H332" s="12" t="s">
        <v>1995</v>
      </c>
      <c r="I332" s="12" t="s">
        <v>1996</v>
      </c>
      <c r="J332" s="13" t="s">
        <v>1997</v>
      </c>
      <c r="K332" s="12"/>
      <c r="L332" s="12" t="s">
        <v>1998</v>
      </c>
      <c r="M332" s="12" t="s">
        <v>1999</v>
      </c>
      <c r="N332" s="12" t="s">
        <v>101</v>
      </c>
      <c r="O332" s="12" t="s">
        <v>102</v>
      </c>
      <c r="P332" s="12" t="s">
        <v>103</v>
      </c>
      <c r="Q332" s="12" t="s">
        <v>104</v>
      </c>
      <c r="R332" s="14" t="n">
        <v>720</v>
      </c>
      <c r="S332" s="14" t="s">
        <v>105</v>
      </c>
      <c r="T332" s="14" t="s">
        <v>106</v>
      </c>
      <c r="U332" s="14" t="n">
        <v>2021</v>
      </c>
      <c r="V332" s="12" t="s">
        <v>107</v>
      </c>
      <c r="W332" s="14"/>
      <c r="X332" s="15" t="n">
        <f aca="false">IF(OR($S332="%",$R332=""),"",$R332*INDEX(Cambi!$J$2:$J$5,MATCH($S332,Cambi!$I$2:$I$5,0))/IF($T332="EUR",1,INDEX(Cambi!$D:$D,MATCH($T332&amp;"|"&amp;$U332,Cambi!$C:$C,0))))</f>
        <v>720</v>
      </c>
      <c r="Y332" s="12" t="s">
        <v>109</v>
      </c>
      <c r="Z332" s="12" t="s">
        <v>109</v>
      </c>
      <c r="AA332" s="12" t="s">
        <v>109</v>
      </c>
      <c r="AB332" s="16" t="s">
        <v>394</v>
      </c>
      <c r="AC332" s="16" t="s">
        <v>2000</v>
      </c>
      <c r="AD332" s="12" t="s">
        <v>112</v>
      </c>
      <c r="AE332" s="12" t="s">
        <v>2001</v>
      </c>
      <c r="AF332" s="12" t="s">
        <v>2002</v>
      </c>
      <c r="AG332" s="12" t="s">
        <v>498</v>
      </c>
      <c r="AH332" s="12" t="s">
        <v>116</v>
      </c>
      <c r="AI332" s="12" t="s">
        <v>117</v>
      </c>
      <c r="AJ332" s="12" t="s">
        <v>2003</v>
      </c>
      <c r="AK332" s="12" t="s">
        <v>4</v>
      </c>
    </row>
    <row r="333" customFormat="false" ht="15" hidden="false" customHeight="false" outlineLevel="0" collapsed="false">
      <c r="A333" s="11" t="n">
        <v>332</v>
      </c>
      <c r="B333" s="12" t="s">
        <v>1993</v>
      </c>
      <c r="C333" s="12" t="s">
        <v>1663</v>
      </c>
      <c r="D333" s="12" t="s">
        <v>1664</v>
      </c>
      <c r="E333" s="12" t="s">
        <v>759</v>
      </c>
      <c r="F333" s="12" t="s">
        <v>1994</v>
      </c>
      <c r="G333" s="12" t="s">
        <v>771</v>
      </c>
      <c r="H333" s="12" t="s">
        <v>1995</v>
      </c>
      <c r="I333" s="12" t="s">
        <v>1996</v>
      </c>
      <c r="J333" s="13" t="s">
        <v>1997</v>
      </c>
      <c r="K333" s="12"/>
      <c r="L333" s="12" t="s">
        <v>2004</v>
      </c>
      <c r="M333" s="12" t="s">
        <v>2005</v>
      </c>
      <c r="N333" s="12" t="s">
        <v>101</v>
      </c>
      <c r="O333" s="12" t="s">
        <v>102</v>
      </c>
      <c r="P333" s="12" t="s">
        <v>103</v>
      </c>
      <c r="Q333" s="12" t="s">
        <v>104</v>
      </c>
      <c r="R333" s="14" t="n">
        <v>1039</v>
      </c>
      <c r="S333" s="14" t="s">
        <v>105</v>
      </c>
      <c r="T333" s="14" t="s">
        <v>106</v>
      </c>
      <c r="U333" s="14" t="n">
        <v>2021</v>
      </c>
      <c r="V333" s="12" t="s">
        <v>107</v>
      </c>
      <c r="W333" s="14"/>
      <c r="X333" s="15" t="n">
        <f aca="false">IF(OR($S333="%",$R333=""),"",$R333*INDEX(Cambi!$J$2:$J$5,MATCH($S333,Cambi!$I$2:$I$5,0))/IF($T333="EUR",1,INDEX(Cambi!$D:$D,MATCH($T333&amp;"|"&amp;$U333,Cambi!$C:$C,0))))</f>
        <v>1039</v>
      </c>
      <c r="Y333" s="12" t="s">
        <v>109</v>
      </c>
      <c r="Z333" s="12" t="s">
        <v>109</v>
      </c>
      <c r="AA333" s="12" t="s">
        <v>109</v>
      </c>
      <c r="AB333" s="16" t="s">
        <v>394</v>
      </c>
      <c r="AC333" s="16" t="s">
        <v>2000</v>
      </c>
      <c r="AD333" s="12" t="s">
        <v>112</v>
      </c>
      <c r="AE333" s="12" t="s">
        <v>2001</v>
      </c>
      <c r="AF333" s="12" t="s">
        <v>2006</v>
      </c>
      <c r="AG333" s="12" t="s">
        <v>498</v>
      </c>
      <c r="AH333" s="12" t="s">
        <v>116</v>
      </c>
      <c r="AI333" s="12" t="s">
        <v>117</v>
      </c>
      <c r="AJ333" s="12" t="s">
        <v>2007</v>
      </c>
      <c r="AK333" s="12" t="s">
        <v>4</v>
      </c>
    </row>
    <row r="334" customFormat="false" ht="15" hidden="false" customHeight="false" outlineLevel="0" collapsed="false">
      <c r="A334" s="11" t="n">
        <v>333</v>
      </c>
      <c r="B334" s="12" t="s">
        <v>1993</v>
      </c>
      <c r="C334" s="12" t="s">
        <v>1663</v>
      </c>
      <c r="D334" s="12" t="s">
        <v>1664</v>
      </c>
      <c r="E334" s="12" t="s">
        <v>759</v>
      </c>
      <c r="F334" s="12" t="s">
        <v>1994</v>
      </c>
      <c r="G334" s="12" t="s">
        <v>771</v>
      </c>
      <c r="H334" s="12" t="s">
        <v>1995</v>
      </c>
      <c r="I334" s="12" t="s">
        <v>1996</v>
      </c>
      <c r="J334" s="13" t="s">
        <v>1997</v>
      </c>
      <c r="K334" s="12"/>
      <c r="L334" s="12" t="s">
        <v>2008</v>
      </c>
      <c r="M334" s="12" t="s">
        <v>2009</v>
      </c>
      <c r="N334" s="12" t="s">
        <v>101</v>
      </c>
      <c r="O334" s="12" t="s">
        <v>102</v>
      </c>
      <c r="P334" s="12" t="s">
        <v>103</v>
      </c>
      <c r="Q334" s="12" t="s">
        <v>104</v>
      </c>
      <c r="R334" s="14" t="n">
        <v>136</v>
      </c>
      <c r="S334" s="14" t="s">
        <v>105</v>
      </c>
      <c r="T334" s="14" t="s">
        <v>106</v>
      </c>
      <c r="U334" s="14" t="n">
        <v>2021</v>
      </c>
      <c r="V334" s="12" t="s">
        <v>157</v>
      </c>
      <c r="W334" s="14"/>
      <c r="X334" s="15" t="n">
        <f aca="false">IF(OR($S334="%",$R334=""),"",$R334*INDEX(Cambi!$J$2:$J$5,MATCH($S334,Cambi!$I$2:$I$5,0))/IF($T334="EUR",1,INDEX(Cambi!$D:$D,MATCH($T334&amp;"|"&amp;$U334,Cambi!$C:$C,0))))</f>
        <v>136</v>
      </c>
      <c r="Y334" s="12" t="s">
        <v>108</v>
      </c>
      <c r="Z334" s="12" t="s">
        <v>109</v>
      </c>
      <c r="AA334" s="12" t="s">
        <v>109</v>
      </c>
      <c r="AB334" s="16" t="s">
        <v>394</v>
      </c>
      <c r="AC334" s="16" t="s">
        <v>2000</v>
      </c>
      <c r="AD334" s="12" t="s">
        <v>112</v>
      </c>
      <c r="AE334" s="12" t="s">
        <v>2010</v>
      </c>
      <c r="AF334" s="12" t="s">
        <v>2011</v>
      </c>
      <c r="AG334" s="12" t="s">
        <v>498</v>
      </c>
      <c r="AH334" s="12" t="s">
        <v>116</v>
      </c>
      <c r="AI334" s="12" t="s">
        <v>117</v>
      </c>
      <c r="AJ334" s="12" t="s">
        <v>2012</v>
      </c>
      <c r="AK334" s="12" t="s">
        <v>4</v>
      </c>
    </row>
    <row r="335" customFormat="false" ht="15" hidden="false" customHeight="false" outlineLevel="0" collapsed="false">
      <c r="A335" s="11" t="n">
        <v>334</v>
      </c>
      <c r="B335" s="12" t="s">
        <v>2013</v>
      </c>
      <c r="C335" s="12" t="s">
        <v>1663</v>
      </c>
      <c r="D335" s="12" t="s">
        <v>1664</v>
      </c>
      <c r="E335" s="12" t="s">
        <v>759</v>
      </c>
      <c r="F335" s="12" t="s">
        <v>845</v>
      </c>
      <c r="G335" s="12" t="s">
        <v>830</v>
      </c>
      <c r="H335" s="12" t="s">
        <v>2014</v>
      </c>
      <c r="I335" s="12" t="s">
        <v>847</v>
      </c>
      <c r="J335" s="13" t="s">
        <v>2015</v>
      </c>
      <c r="K335" s="12"/>
      <c r="L335" s="12" t="s">
        <v>2016</v>
      </c>
      <c r="M335" s="12" t="s">
        <v>2017</v>
      </c>
      <c r="N335" s="12" t="s">
        <v>352</v>
      </c>
      <c r="O335" s="12" t="s">
        <v>196</v>
      </c>
      <c r="P335" s="12" t="s">
        <v>856</v>
      </c>
      <c r="Q335" s="12" t="s">
        <v>1467</v>
      </c>
      <c r="R335" s="14" t="n">
        <v>64.05</v>
      </c>
      <c r="S335" s="14" t="s">
        <v>197</v>
      </c>
      <c r="T335" s="14"/>
      <c r="U335" s="14" t="n">
        <v>2025</v>
      </c>
      <c r="V335" s="12" t="s">
        <v>157</v>
      </c>
      <c r="W335" s="14"/>
      <c r="X335" s="15" t="str">
        <f aca="false">IF(OR($S335="%",$R335=""),"",$R335*INDEX(Cambi!$J$2:$J$5,MATCH($S335,Cambi!$I$2:$I$5,0))/IF($T335="EUR",1,INDEX(Cambi!$D:$D,MATCH($T335&amp;"|"&amp;$U335,Cambi!$C:$C,0))))</f>
        <v/>
      </c>
      <c r="Y335" s="12" t="s">
        <v>130</v>
      </c>
      <c r="Z335" s="12" t="s">
        <v>109</v>
      </c>
      <c r="AA335" s="12" t="s">
        <v>851</v>
      </c>
      <c r="AB335" s="16" t="s">
        <v>110</v>
      </c>
      <c r="AC335" s="16" t="s">
        <v>836</v>
      </c>
      <c r="AD335" s="12" t="s">
        <v>112</v>
      </c>
      <c r="AE335" s="12" t="s">
        <v>2018</v>
      </c>
      <c r="AF335" s="12" t="s">
        <v>2019</v>
      </c>
      <c r="AG335" s="12" t="s">
        <v>284</v>
      </c>
      <c r="AH335" s="12" t="s">
        <v>838</v>
      </c>
      <c r="AI335" s="12" t="s">
        <v>117</v>
      </c>
      <c r="AJ335" s="12" t="s">
        <v>266</v>
      </c>
      <c r="AK335" s="12" t="s">
        <v>4</v>
      </c>
    </row>
    <row r="336" customFormat="false" ht="15" hidden="false" customHeight="false" outlineLevel="0" collapsed="false">
      <c r="A336" s="11" t="n">
        <v>335</v>
      </c>
      <c r="B336" s="12" t="s">
        <v>2013</v>
      </c>
      <c r="C336" s="12" t="s">
        <v>1663</v>
      </c>
      <c r="D336" s="12" t="s">
        <v>1664</v>
      </c>
      <c r="E336" s="12" t="s">
        <v>759</v>
      </c>
      <c r="F336" s="12" t="s">
        <v>845</v>
      </c>
      <c r="G336" s="12" t="s">
        <v>830</v>
      </c>
      <c r="H336" s="12" t="s">
        <v>2014</v>
      </c>
      <c r="I336" s="12" t="s">
        <v>847</v>
      </c>
      <c r="J336" s="13" t="s">
        <v>2015</v>
      </c>
      <c r="K336" s="12"/>
      <c r="L336" s="12" t="s">
        <v>2020</v>
      </c>
      <c r="M336" s="12" t="s">
        <v>2021</v>
      </c>
      <c r="N336" s="12" t="s">
        <v>352</v>
      </c>
      <c r="O336" s="12" t="s">
        <v>196</v>
      </c>
      <c r="P336" s="12" t="s">
        <v>155</v>
      </c>
      <c r="Q336" s="12" t="s">
        <v>1027</v>
      </c>
      <c r="R336" s="14" t="n">
        <v>52.1</v>
      </c>
      <c r="S336" s="14" t="s">
        <v>197</v>
      </c>
      <c r="T336" s="14"/>
      <c r="U336" s="14" t="n">
        <v>2025</v>
      </c>
      <c r="V336" s="12" t="s">
        <v>157</v>
      </c>
      <c r="W336" s="14"/>
      <c r="X336" s="15" t="str">
        <f aca="false">IF(OR($S336="%",$R336=""),"",$R336*INDEX(Cambi!$J$2:$J$5,MATCH($S336,Cambi!$I$2:$I$5,0))/IF($T336="EUR",1,INDEX(Cambi!$D:$D,MATCH($T336&amp;"|"&amp;$U336,Cambi!$C:$C,0))))</f>
        <v/>
      </c>
      <c r="Y336" s="12" t="s">
        <v>130</v>
      </c>
      <c r="Z336" s="12" t="s">
        <v>109</v>
      </c>
      <c r="AA336" s="12" t="s">
        <v>851</v>
      </c>
      <c r="AB336" s="16" t="s">
        <v>110</v>
      </c>
      <c r="AC336" s="16" t="s">
        <v>836</v>
      </c>
      <c r="AD336" s="12" t="s">
        <v>112</v>
      </c>
      <c r="AE336" s="12" t="s">
        <v>2018</v>
      </c>
      <c r="AF336" s="12" t="s">
        <v>2022</v>
      </c>
      <c r="AG336" s="12" t="s">
        <v>284</v>
      </c>
      <c r="AH336" s="12" t="s">
        <v>838</v>
      </c>
      <c r="AI336" s="12" t="s">
        <v>117</v>
      </c>
      <c r="AJ336" s="12" t="s">
        <v>2023</v>
      </c>
      <c r="AK336" s="12" t="s">
        <v>4</v>
      </c>
    </row>
    <row r="337" customFormat="false" ht="15" hidden="false" customHeight="false" outlineLevel="0" collapsed="false">
      <c r="A337" s="11" t="n">
        <v>336</v>
      </c>
      <c r="B337" s="12" t="s">
        <v>2013</v>
      </c>
      <c r="C337" s="12" t="s">
        <v>1663</v>
      </c>
      <c r="D337" s="12" t="s">
        <v>1664</v>
      </c>
      <c r="E337" s="12" t="s">
        <v>759</v>
      </c>
      <c r="F337" s="12" t="s">
        <v>845</v>
      </c>
      <c r="G337" s="12" t="s">
        <v>830</v>
      </c>
      <c r="H337" s="12" t="s">
        <v>2014</v>
      </c>
      <c r="I337" s="12" t="s">
        <v>847</v>
      </c>
      <c r="J337" s="13" t="s">
        <v>2015</v>
      </c>
      <c r="K337" s="12"/>
      <c r="L337" s="12" t="s">
        <v>2024</v>
      </c>
      <c r="M337" s="12" t="s">
        <v>2025</v>
      </c>
      <c r="N337" s="12" t="s">
        <v>352</v>
      </c>
      <c r="O337" s="12" t="s">
        <v>196</v>
      </c>
      <c r="P337" s="12" t="s">
        <v>214</v>
      </c>
      <c r="Q337" s="12" t="s">
        <v>1464</v>
      </c>
      <c r="R337" s="14" t="n">
        <v>29.1</v>
      </c>
      <c r="S337" s="14" t="s">
        <v>197</v>
      </c>
      <c r="T337" s="14"/>
      <c r="U337" s="14" t="n">
        <v>2025</v>
      </c>
      <c r="V337" s="12" t="s">
        <v>157</v>
      </c>
      <c r="W337" s="14"/>
      <c r="X337" s="15" t="str">
        <f aca="false">IF(OR($S337="%",$R337=""),"",$R337*INDEX(Cambi!$J$2:$J$5,MATCH($S337,Cambi!$I$2:$I$5,0))/IF($T337="EUR",1,INDEX(Cambi!$D:$D,MATCH($T337&amp;"|"&amp;$U337,Cambi!$C:$C,0))))</f>
        <v/>
      </c>
      <c r="Y337" s="12" t="s">
        <v>130</v>
      </c>
      <c r="Z337" s="12" t="s">
        <v>109</v>
      </c>
      <c r="AA337" s="12" t="s">
        <v>851</v>
      </c>
      <c r="AB337" s="16" t="s">
        <v>110</v>
      </c>
      <c r="AC337" s="16" t="s">
        <v>836</v>
      </c>
      <c r="AD337" s="12" t="s">
        <v>112</v>
      </c>
      <c r="AE337" s="12" t="s">
        <v>2018</v>
      </c>
      <c r="AF337" s="12" t="s">
        <v>2026</v>
      </c>
      <c r="AG337" s="12" t="s">
        <v>284</v>
      </c>
      <c r="AH337" s="12" t="s">
        <v>838</v>
      </c>
      <c r="AI337" s="12" t="s">
        <v>117</v>
      </c>
      <c r="AJ337" s="12" t="s">
        <v>2027</v>
      </c>
      <c r="AK337" s="12" t="s">
        <v>4</v>
      </c>
    </row>
    <row r="338" customFormat="false" ht="15" hidden="false" customHeight="false" outlineLevel="0" collapsed="false">
      <c r="A338" s="11" t="n">
        <v>337</v>
      </c>
      <c r="B338" s="12" t="s">
        <v>2013</v>
      </c>
      <c r="C338" s="12" t="s">
        <v>1663</v>
      </c>
      <c r="D338" s="12" t="s">
        <v>1664</v>
      </c>
      <c r="E338" s="12" t="s">
        <v>759</v>
      </c>
      <c r="F338" s="12" t="s">
        <v>845</v>
      </c>
      <c r="G338" s="12" t="s">
        <v>830</v>
      </c>
      <c r="H338" s="12" t="s">
        <v>2014</v>
      </c>
      <c r="I338" s="12" t="s">
        <v>847</v>
      </c>
      <c r="J338" s="13" t="s">
        <v>2015</v>
      </c>
      <c r="K338" s="12"/>
      <c r="L338" s="12" t="s">
        <v>2028</v>
      </c>
      <c r="M338" s="12" t="s">
        <v>2029</v>
      </c>
      <c r="N338" s="12" t="s">
        <v>352</v>
      </c>
      <c r="O338" s="12" t="s">
        <v>102</v>
      </c>
      <c r="P338" s="12" t="s">
        <v>103</v>
      </c>
      <c r="Q338" s="12" t="s">
        <v>104</v>
      </c>
      <c r="R338" s="14" t="n">
        <v>9.1</v>
      </c>
      <c r="S338" s="14" t="s">
        <v>129</v>
      </c>
      <c r="T338" s="14" t="s">
        <v>653</v>
      </c>
      <c r="U338" s="14" t="n">
        <v>2025</v>
      </c>
      <c r="V338" s="12" t="s">
        <v>157</v>
      </c>
      <c r="W338" s="14"/>
      <c r="X338" s="15" t="n">
        <f aca="false">IF(OR($S338="%",$R338=""),"",$R338*INDEX(Cambi!$J$2:$J$5,MATCH($S338,Cambi!$I$2:$I$5,0))/IF($T338="EUR",1,INDEX(Cambi!$D:$D,MATCH($T338&amp;"|"&amp;$U338,Cambi!$C:$C,0))))</f>
        <v>8053.09734513274</v>
      </c>
      <c r="Y338" s="12" t="s">
        <v>130</v>
      </c>
      <c r="Z338" s="12" t="s">
        <v>109</v>
      </c>
      <c r="AA338" s="12" t="s">
        <v>851</v>
      </c>
      <c r="AB338" s="16" t="s">
        <v>110</v>
      </c>
      <c r="AC338" s="16" t="s">
        <v>836</v>
      </c>
      <c r="AD338" s="12" t="s">
        <v>112</v>
      </c>
      <c r="AE338" s="12" t="s">
        <v>2018</v>
      </c>
      <c r="AF338" s="12" t="s">
        <v>2030</v>
      </c>
      <c r="AG338" s="12" t="s">
        <v>284</v>
      </c>
      <c r="AH338" s="12" t="s">
        <v>838</v>
      </c>
      <c r="AI338" s="12" t="s">
        <v>117</v>
      </c>
      <c r="AJ338" s="12" t="s">
        <v>1904</v>
      </c>
      <c r="AK338" s="12" t="s">
        <v>4</v>
      </c>
    </row>
    <row r="339" customFormat="false" ht="15" hidden="false" customHeight="false" outlineLevel="0" collapsed="false">
      <c r="A339" s="11" t="n">
        <v>338</v>
      </c>
      <c r="B339" s="12" t="s">
        <v>2013</v>
      </c>
      <c r="C339" s="12" t="s">
        <v>1663</v>
      </c>
      <c r="D339" s="12" t="s">
        <v>1664</v>
      </c>
      <c r="E339" s="12" t="s">
        <v>759</v>
      </c>
      <c r="F339" s="12" t="s">
        <v>845</v>
      </c>
      <c r="G339" s="12" t="s">
        <v>830</v>
      </c>
      <c r="H339" s="12" t="s">
        <v>2014</v>
      </c>
      <c r="I339" s="12" t="s">
        <v>847</v>
      </c>
      <c r="J339" s="13" t="s">
        <v>2015</v>
      </c>
      <c r="K339" s="12"/>
      <c r="L339" s="12" t="s">
        <v>2031</v>
      </c>
      <c r="M339" s="12" t="s">
        <v>2032</v>
      </c>
      <c r="N339" s="12" t="s">
        <v>352</v>
      </c>
      <c r="O339" s="12" t="s">
        <v>102</v>
      </c>
      <c r="P339" s="12" t="s">
        <v>103</v>
      </c>
      <c r="Q339" s="12" t="s">
        <v>104</v>
      </c>
      <c r="R339" s="14" t="n">
        <v>10.11</v>
      </c>
      <c r="S339" s="14" t="s">
        <v>129</v>
      </c>
      <c r="T339" s="14" t="s">
        <v>653</v>
      </c>
      <c r="U339" s="14" t="n">
        <v>2026</v>
      </c>
      <c r="V339" s="12" t="s">
        <v>198</v>
      </c>
      <c r="W339" s="14"/>
      <c r="X339" s="15" t="n">
        <f aca="false">IF(OR($S339="%",$R339=""),"",$R339*INDEX(Cambi!$J$2:$J$5,MATCH($S339,Cambi!$I$2:$I$5,0))/IF($T339="EUR",1,INDEX(Cambi!$D:$D,MATCH($T339&amp;"|"&amp;$U339,Cambi!$C:$C,0))))</f>
        <v>8946.90265486726</v>
      </c>
      <c r="Y339" s="12" t="s">
        <v>130</v>
      </c>
      <c r="Z339" s="12" t="s">
        <v>109</v>
      </c>
      <c r="AA339" s="12" t="s">
        <v>851</v>
      </c>
      <c r="AB339" s="16" t="s">
        <v>110</v>
      </c>
      <c r="AC339" s="16" t="s">
        <v>836</v>
      </c>
      <c r="AD339" s="12" t="s">
        <v>112</v>
      </c>
      <c r="AE339" s="12" t="s">
        <v>2018</v>
      </c>
      <c r="AF339" s="12" t="s">
        <v>2033</v>
      </c>
      <c r="AG339" s="12" t="s">
        <v>284</v>
      </c>
      <c r="AH339" s="12" t="s">
        <v>838</v>
      </c>
      <c r="AI339" s="12" t="s">
        <v>117</v>
      </c>
      <c r="AJ339" s="12" t="s">
        <v>2034</v>
      </c>
      <c r="AK339" s="12" t="s">
        <v>4</v>
      </c>
    </row>
    <row r="340" customFormat="false" ht="15" hidden="false" customHeight="false" outlineLevel="0" collapsed="false">
      <c r="A340" s="11" t="n">
        <v>339</v>
      </c>
      <c r="B340" s="12" t="s">
        <v>2013</v>
      </c>
      <c r="C340" s="12" t="s">
        <v>1663</v>
      </c>
      <c r="D340" s="12" t="s">
        <v>1664</v>
      </c>
      <c r="E340" s="12" t="s">
        <v>759</v>
      </c>
      <c r="F340" s="12" t="s">
        <v>845</v>
      </c>
      <c r="G340" s="12" t="s">
        <v>830</v>
      </c>
      <c r="H340" s="12" t="s">
        <v>2014</v>
      </c>
      <c r="I340" s="12" t="s">
        <v>847</v>
      </c>
      <c r="J340" s="13" t="s">
        <v>2015</v>
      </c>
      <c r="K340" s="12"/>
      <c r="L340" s="12" t="s">
        <v>2035</v>
      </c>
      <c r="M340" s="12" t="s">
        <v>2036</v>
      </c>
      <c r="N340" s="12" t="s">
        <v>352</v>
      </c>
      <c r="O340" s="12" t="s">
        <v>102</v>
      </c>
      <c r="P340" s="12" t="s">
        <v>103</v>
      </c>
      <c r="Q340" s="12" t="s">
        <v>104</v>
      </c>
      <c r="R340" s="14" t="n">
        <v>17.09</v>
      </c>
      <c r="S340" s="14" t="s">
        <v>129</v>
      </c>
      <c r="T340" s="14" t="s">
        <v>653</v>
      </c>
      <c r="U340" s="14" t="n">
        <v>2031</v>
      </c>
      <c r="V340" s="12" t="s">
        <v>107</v>
      </c>
      <c r="W340" s="14" t="s">
        <v>2037</v>
      </c>
      <c r="X340" s="15" t="n">
        <f aca="false">IF(OR($S340="%",$R340=""),"",$R340*INDEX(Cambi!$J$2:$J$5,MATCH($S340,Cambi!$I$2:$I$5,0))/IF($T340="EUR",1,INDEX(Cambi!$D:$D,MATCH($T340&amp;"|"&amp;$U340,Cambi!$C:$C,0))))</f>
        <v>15123.8938053097</v>
      </c>
      <c r="Y340" s="12" t="s">
        <v>130</v>
      </c>
      <c r="Z340" s="12" t="s">
        <v>109</v>
      </c>
      <c r="AA340" s="12" t="s">
        <v>851</v>
      </c>
      <c r="AB340" s="16" t="s">
        <v>110</v>
      </c>
      <c r="AC340" s="16" t="s">
        <v>836</v>
      </c>
      <c r="AD340" s="12" t="s">
        <v>112</v>
      </c>
      <c r="AE340" s="12" t="s">
        <v>2018</v>
      </c>
      <c r="AF340" s="12" t="s">
        <v>2038</v>
      </c>
      <c r="AG340" s="12" t="s">
        <v>284</v>
      </c>
      <c r="AH340" s="12" t="s">
        <v>838</v>
      </c>
      <c r="AI340" s="12" t="s">
        <v>117</v>
      </c>
      <c r="AJ340" s="12" t="s">
        <v>266</v>
      </c>
      <c r="AK340" s="12" t="s">
        <v>4</v>
      </c>
    </row>
    <row r="341" customFormat="false" ht="15" hidden="false" customHeight="false" outlineLevel="0" collapsed="false">
      <c r="A341" s="11" t="n">
        <v>340</v>
      </c>
      <c r="B341" s="12" t="s">
        <v>2039</v>
      </c>
      <c r="C341" s="12" t="s">
        <v>1663</v>
      </c>
      <c r="D341" s="12" t="s">
        <v>1664</v>
      </c>
      <c r="E341" s="12" t="s">
        <v>759</v>
      </c>
      <c r="F341" s="12" t="s">
        <v>2040</v>
      </c>
      <c r="G341" s="12" t="s">
        <v>345</v>
      </c>
      <c r="H341" s="12" t="s">
        <v>2041</v>
      </c>
      <c r="I341" s="12" t="s">
        <v>1750</v>
      </c>
      <c r="J341" s="13" t="s">
        <v>2042</v>
      </c>
      <c r="K341" s="12" t="s">
        <v>2043</v>
      </c>
      <c r="L341" s="12" t="s">
        <v>2044</v>
      </c>
      <c r="M341" s="12" t="s">
        <v>2045</v>
      </c>
      <c r="N341" s="12" t="s">
        <v>352</v>
      </c>
      <c r="O341" s="12" t="s">
        <v>102</v>
      </c>
      <c r="P341" s="12" t="s">
        <v>103</v>
      </c>
      <c r="Q341" s="12" t="s">
        <v>104</v>
      </c>
      <c r="R341" s="14" t="n">
        <v>7</v>
      </c>
      <c r="S341" s="14" t="s">
        <v>129</v>
      </c>
      <c r="T341" s="14" t="s">
        <v>106</v>
      </c>
      <c r="U341" s="14" t="n">
        <v>2024</v>
      </c>
      <c r="V341" s="12" t="s">
        <v>198</v>
      </c>
      <c r="W341" s="14" t="s">
        <v>2046</v>
      </c>
      <c r="X341" s="15" t="n">
        <f aca="false">IF(OR($S341="%",$R341=""),"",$R341*INDEX(Cambi!$J$2:$J$5,MATCH($S341,Cambi!$I$2:$I$5,0))/IF($T341="EUR",1,INDEX(Cambi!$D:$D,MATCH($T341&amp;"|"&amp;$U341,Cambi!$C:$C,0))))</f>
        <v>7000</v>
      </c>
      <c r="Y341" s="12" t="s">
        <v>109</v>
      </c>
      <c r="Z341" s="12" t="s">
        <v>109</v>
      </c>
      <c r="AA341" s="12" t="s">
        <v>109</v>
      </c>
      <c r="AB341" s="16" t="s">
        <v>679</v>
      </c>
      <c r="AC341" s="16" t="s">
        <v>2047</v>
      </c>
      <c r="AD341" s="12" t="s">
        <v>201</v>
      </c>
      <c r="AE341" s="12" t="s">
        <v>2048</v>
      </c>
      <c r="AF341" s="12" t="s">
        <v>2049</v>
      </c>
      <c r="AG341" s="12" t="s">
        <v>498</v>
      </c>
      <c r="AH341" s="12" t="s">
        <v>116</v>
      </c>
      <c r="AI341" s="12" t="s">
        <v>285</v>
      </c>
      <c r="AJ341" s="12" t="s">
        <v>2050</v>
      </c>
      <c r="AK341" s="12" t="s">
        <v>4</v>
      </c>
    </row>
    <row r="342" customFormat="false" ht="15" hidden="false" customHeight="false" outlineLevel="0" collapsed="false">
      <c r="A342" s="11" t="n">
        <v>341</v>
      </c>
      <c r="B342" s="12" t="s">
        <v>2051</v>
      </c>
      <c r="C342" s="12" t="s">
        <v>1663</v>
      </c>
      <c r="D342" s="12" t="s">
        <v>1664</v>
      </c>
      <c r="E342" s="12" t="s">
        <v>759</v>
      </c>
      <c r="F342" s="12" t="s">
        <v>2040</v>
      </c>
      <c r="G342" s="12" t="s">
        <v>345</v>
      </c>
      <c r="H342" s="12" t="s">
        <v>2052</v>
      </c>
      <c r="I342" s="12" t="s">
        <v>2053</v>
      </c>
      <c r="J342" s="13" t="s">
        <v>2054</v>
      </c>
      <c r="K342" s="12" t="s">
        <v>2043</v>
      </c>
      <c r="L342" s="12" t="s">
        <v>2055</v>
      </c>
      <c r="M342" s="12" t="s">
        <v>2056</v>
      </c>
      <c r="N342" s="12" t="s">
        <v>352</v>
      </c>
      <c r="O342" s="12" t="s">
        <v>102</v>
      </c>
      <c r="P342" s="12" t="s">
        <v>103</v>
      </c>
      <c r="Q342" s="12" t="s">
        <v>104</v>
      </c>
      <c r="R342" s="14" t="n">
        <v>4.6</v>
      </c>
      <c r="S342" s="14" t="s">
        <v>129</v>
      </c>
      <c r="T342" s="14" t="s">
        <v>106</v>
      </c>
      <c r="U342" s="14" t="n">
        <v>2024</v>
      </c>
      <c r="V342" s="12" t="s">
        <v>198</v>
      </c>
      <c r="W342" s="14" t="s">
        <v>2057</v>
      </c>
      <c r="X342" s="15" t="n">
        <f aca="false">IF(OR($S342="%",$R342=""),"",$R342*INDEX(Cambi!$J$2:$J$5,MATCH($S342,Cambi!$I$2:$I$5,0))/IF($T342="EUR",1,INDEX(Cambi!$D:$D,MATCH($T342&amp;"|"&amp;$U342,Cambi!$C:$C,0))))</f>
        <v>4600</v>
      </c>
      <c r="Y342" s="12" t="s">
        <v>109</v>
      </c>
      <c r="Z342" s="12" t="s">
        <v>109</v>
      </c>
      <c r="AA342" s="12" t="s">
        <v>109</v>
      </c>
      <c r="AB342" s="12" t="s">
        <v>679</v>
      </c>
      <c r="AC342" s="12" t="s">
        <v>395</v>
      </c>
      <c r="AD342" s="12" t="s">
        <v>112</v>
      </c>
      <c r="AE342" s="12" t="s">
        <v>2058</v>
      </c>
      <c r="AF342" s="12" t="s">
        <v>2059</v>
      </c>
      <c r="AG342" s="12" t="s">
        <v>498</v>
      </c>
      <c r="AH342" s="12" t="s">
        <v>116</v>
      </c>
      <c r="AI342" s="12" t="s">
        <v>285</v>
      </c>
      <c r="AJ342" s="12" t="s">
        <v>2060</v>
      </c>
      <c r="AK342" s="12" t="s">
        <v>4</v>
      </c>
    </row>
    <row r="343" customFormat="false" ht="15" hidden="false" customHeight="false" outlineLevel="0" collapsed="false">
      <c r="A343" s="11" t="n">
        <v>342</v>
      </c>
      <c r="B343" s="12" t="s">
        <v>625</v>
      </c>
      <c r="C343" s="12" t="s">
        <v>1663</v>
      </c>
      <c r="D343" s="12" t="s">
        <v>1664</v>
      </c>
      <c r="E343" s="12" t="s">
        <v>759</v>
      </c>
      <c r="F343" s="12" t="s">
        <v>626</v>
      </c>
      <c r="G343" s="12" t="s">
        <v>95</v>
      </c>
      <c r="H343" s="12" t="s">
        <v>627</v>
      </c>
      <c r="I343" s="12" t="s">
        <v>628</v>
      </c>
      <c r="J343" s="13" t="s">
        <v>629</v>
      </c>
      <c r="K343" s="12" t="s">
        <v>630</v>
      </c>
      <c r="L343" s="12" t="s">
        <v>1110</v>
      </c>
      <c r="M343" s="12" t="s">
        <v>1111</v>
      </c>
      <c r="N343" s="12" t="s">
        <v>101</v>
      </c>
      <c r="O343" s="12" t="s">
        <v>102</v>
      </c>
      <c r="P343" s="12" t="s">
        <v>103</v>
      </c>
      <c r="Q343" s="12" t="s">
        <v>104</v>
      </c>
      <c r="R343" s="14" t="n">
        <v>336</v>
      </c>
      <c r="S343" s="14" t="s">
        <v>105</v>
      </c>
      <c r="T343" s="14" t="s">
        <v>106</v>
      </c>
      <c r="U343" s="14" t="n">
        <v>2026</v>
      </c>
      <c r="V343" s="12" t="s">
        <v>107</v>
      </c>
      <c r="W343" s="14"/>
      <c r="X343" s="15" t="n">
        <f aca="false">IF(OR($S343="%",$R343=""),"",$R343*INDEX(Cambi!$J$2:$J$5,MATCH($S343,Cambi!$I$2:$I$5,0))/IF($T343="EUR",1,INDEX(Cambi!$D:$D,MATCH($T343&amp;"|"&amp;$U343,Cambi!$C:$C,0))))</f>
        <v>336</v>
      </c>
      <c r="Y343" s="12" t="s">
        <v>130</v>
      </c>
      <c r="Z343" s="12" t="s">
        <v>109</v>
      </c>
      <c r="AA343" s="12" t="s">
        <v>633</v>
      </c>
      <c r="AB343" s="16" t="s">
        <v>110</v>
      </c>
      <c r="AC343" s="16" t="s">
        <v>634</v>
      </c>
      <c r="AD343" s="12" t="s">
        <v>281</v>
      </c>
      <c r="AE343" s="12" t="s">
        <v>635</v>
      </c>
      <c r="AF343" s="12" t="s">
        <v>2061</v>
      </c>
      <c r="AG343" s="12" t="s">
        <v>115</v>
      </c>
      <c r="AH343" s="12" t="s">
        <v>116</v>
      </c>
      <c r="AI343" s="12" t="s">
        <v>285</v>
      </c>
      <c r="AJ343" s="12" t="s">
        <v>1225</v>
      </c>
      <c r="AK343" s="12" t="s">
        <v>4</v>
      </c>
    </row>
    <row r="344" customFormat="false" ht="15" hidden="false" customHeight="false" outlineLevel="0" collapsed="false">
      <c r="A344" s="11" t="n">
        <v>343</v>
      </c>
      <c r="B344" s="12" t="s">
        <v>2062</v>
      </c>
      <c r="C344" s="12" t="s">
        <v>1663</v>
      </c>
      <c r="D344" s="12" t="s">
        <v>1664</v>
      </c>
      <c r="E344" s="12" t="s">
        <v>759</v>
      </c>
      <c r="F344" s="12" t="s">
        <v>2063</v>
      </c>
      <c r="G344" s="12" t="s">
        <v>771</v>
      </c>
      <c r="H344" s="12" t="s">
        <v>2064</v>
      </c>
      <c r="I344" s="12" t="s">
        <v>583</v>
      </c>
      <c r="J344" s="13" t="s">
        <v>2065</v>
      </c>
      <c r="K344" s="12"/>
      <c r="L344" s="12" t="s">
        <v>2066</v>
      </c>
      <c r="M344" s="12" t="s">
        <v>2067</v>
      </c>
      <c r="N344" s="12" t="s">
        <v>101</v>
      </c>
      <c r="O344" s="12" t="s">
        <v>102</v>
      </c>
      <c r="P344" s="12" t="s">
        <v>103</v>
      </c>
      <c r="Q344" s="12" t="s">
        <v>104</v>
      </c>
      <c r="R344" s="14" t="n">
        <v>120</v>
      </c>
      <c r="S344" s="14" t="s">
        <v>105</v>
      </c>
      <c r="T344" s="14" t="s">
        <v>106</v>
      </c>
      <c r="U344" s="14" t="n">
        <v>2023</v>
      </c>
      <c r="V344" s="12" t="s">
        <v>157</v>
      </c>
      <c r="W344" s="14"/>
      <c r="X344" s="15" t="n">
        <f aca="false">IF(OR($S344="%",$R344=""),"",$R344*INDEX(Cambi!$J$2:$J$5,MATCH($S344,Cambi!$I$2:$I$5,0))/IF($T344="EUR",1,INDEX(Cambi!$D:$D,MATCH($T344&amp;"|"&amp;$U344,Cambi!$C:$C,0))))</f>
        <v>120</v>
      </c>
      <c r="Y344" s="12" t="s">
        <v>108</v>
      </c>
      <c r="Z344" s="12" t="s">
        <v>109</v>
      </c>
      <c r="AA344" s="12" t="s">
        <v>109</v>
      </c>
      <c r="AB344" s="16" t="s">
        <v>394</v>
      </c>
      <c r="AC344" s="16" t="s">
        <v>2000</v>
      </c>
      <c r="AD344" s="12" t="s">
        <v>112</v>
      </c>
      <c r="AE344" s="12" t="s">
        <v>2068</v>
      </c>
      <c r="AF344" s="12" t="s">
        <v>2069</v>
      </c>
      <c r="AG344" s="12" t="s">
        <v>498</v>
      </c>
      <c r="AH344" s="12" t="s">
        <v>116</v>
      </c>
      <c r="AI344" s="12" t="s">
        <v>117</v>
      </c>
      <c r="AJ344" s="12" t="s">
        <v>2070</v>
      </c>
      <c r="AK344" s="12" t="s">
        <v>4</v>
      </c>
    </row>
    <row r="345" customFormat="false" ht="15" hidden="false" customHeight="false" outlineLevel="0" collapsed="false">
      <c r="A345" s="11" t="n">
        <v>344</v>
      </c>
      <c r="B345" s="12" t="s">
        <v>2062</v>
      </c>
      <c r="C345" s="12" t="s">
        <v>1663</v>
      </c>
      <c r="D345" s="12" t="s">
        <v>1664</v>
      </c>
      <c r="E345" s="12" t="s">
        <v>759</v>
      </c>
      <c r="F345" s="12" t="s">
        <v>2063</v>
      </c>
      <c r="G345" s="12" t="s">
        <v>771</v>
      </c>
      <c r="H345" s="12" t="s">
        <v>2064</v>
      </c>
      <c r="I345" s="12" t="s">
        <v>583</v>
      </c>
      <c r="J345" s="13" t="s">
        <v>2065</v>
      </c>
      <c r="K345" s="12"/>
      <c r="L345" s="12" t="s">
        <v>2071</v>
      </c>
      <c r="M345" s="12" t="s">
        <v>2072</v>
      </c>
      <c r="N345" s="12" t="s">
        <v>101</v>
      </c>
      <c r="O345" s="12" t="s">
        <v>102</v>
      </c>
      <c r="P345" s="12" t="s">
        <v>103</v>
      </c>
      <c r="Q345" s="12" t="s">
        <v>104</v>
      </c>
      <c r="R345" s="14" t="n">
        <v>4</v>
      </c>
      <c r="S345" s="14" t="s">
        <v>129</v>
      </c>
      <c r="T345" s="14" t="s">
        <v>106</v>
      </c>
      <c r="U345" s="14" t="n">
        <v>2024</v>
      </c>
      <c r="V345" s="12" t="s">
        <v>107</v>
      </c>
      <c r="W345" s="14"/>
      <c r="X345" s="15" t="n">
        <f aca="false">IF(OR($S345="%",$R345=""),"",$R345*INDEX(Cambi!$J$2:$J$5,MATCH($S345,Cambi!$I$2:$I$5,0))/IF($T345="EUR",1,INDEX(Cambi!$D:$D,MATCH($T345&amp;"|"&amp;$U345,Cambi!$C:$C,0))))</f>
        <v>4000</v>
      </c>
      <c r="Y345" s="12" t="s">
        <v>108</v>
      </c>
      <c r="Z345" s="12" t="s">
        <v>109</v>
      </c>
      <c r="AA345" s="12" t="s">
        <v>109</v>
      </c>
      <c r="AB345" s="16" t="s">
        <v>394</v>
      </c>
      <c r="AC345" s="16" t="s">
        <v>2000</v>
      </c>
      <c r="AD345" s="12" t="s">
        <v>112</v>
      </c>
      <c r="AE345" s="12" t="s">
        <v>2068</v>
      </c>
      <c r="AF345" s="12" t="s">
        <v>2073</v>
      </c>
      <c r="AG345" s="12" t="s">
        <v>498</v>
      </c>
      <c r="AH345" s="12" t="s">
        <v>116</v>
      </c>
      <c r="AI345" s="12" t="s">
        <v>117</v>
      </c>
      <c r="AJ345" s="12" t="s">
        <v>2074</v>
      </c>
      <c r="AK345" s="12" t="s">
        <v>4</v>
      </c>
    </row>
    <row r="346" customFormat="false" ht="15" hidden="false" customHeight="false" outlineLevel="0" collapsed="false">
      <c r="A346" s="11" t="n">
        <v>345</v>
      </c>
      <c r="B346" s="12" t="s">
        <v>2062</v>
      </c>
      <c r="C346" s="12" t="s">
        <v>1663</v>
      </c>
      <c r="D346" s="12" t="s">
        <v>1664</v>
      </c>
      <c r="E346" s="12" t="s">
        <v>759</v>
      </c>
      <c r="F346" s="12" t="s">
        <v>2063</v>
      </c>
      <c r="G346" s="12" t="s">
        <v>771</v>
      </c>
      <c r="H346" s="12" t="s">
        <v>2064</v>
      </c>
      <c r="I346" s="12" t="s">
        <v>583</v>
      </c>
      <c r="J346" s="13" t="s">
        <v>2065</v>
      </c>
      <c r="K346" s="12"/>
      <c r="L346" s="12" t="s">
        <v>2075</v>
      </c>
      <c r="M346" s="12" t="s">
        <v>2076</v>
      </c>
      <c r="N346" s="12" t="s">
        <v>101</v>
      </c>
      <c r="O346" s="12" t="s">
        <v>102</v>
      </c>
      <c r="P346" s="12" t="s">
        <v>103</v>
      </c>
      <c r="Q346" s="12" t="s">
        <v>104</v>
      </c>
      <c r="R346" s="14" t="n">
        <v>1.6</v>
      </c>
      <c r="S346" s="14" t="s">
        <v>129</v>
      </c>
      <c r="T346" s="14" t="s">
        <v>106</v>
      </c>
      <c r="U346" s="14" t="n">
        <v>2025</v>
      </c>
      <c r="V346" s="12" t="s">
        <v>157</v>
      </c>
      <c r="W346" s="14"/>
      <c r="X346" s="15" t="n">
        <f aca="false">IF(OR($S346="%",$R346=""),"",$R346*INDEX(Cambi!$J$2:$J$5,MATCH($S346,Cambi!$I$2:$I$5,0))/IF($T346="EUR",1,INDEX(Cambi!$D:$D,MATCH($T346&amp;"|"&amp;$U346,Cambi!$C:$C,0))))</f>
        <v>1600</v>
      </c>
      <c r="Y346" s="12" t="s">
        <v>108</v>
      </c>
      <c r="Z346" s="12" t="s">
        <v>109</v>
      </c>
      <c r="AA346" s="12" t="s">
        <v>109</v>
      </c>
      <c r="AB346" s="16" t="s">
        <v>394</v>
      </c>
      <c r="AC346" s="16" t="s">
        <v>2000</v>
      </c>
      <c r="AD346" s="12" t="s">
        <v>112</v>
      </c>
      <c r="AE346" s="12" t="s">
        <v>2068</v>
      </c>
      <c r="AF346" s="12" t="s">
        <v>2073</v>
      </c>
      <c r="AG346" s="12" t="s">
        <v>498</v>
      </c>
      <c r="AH346" s="12" t="s">
        <v>116</v>
      </c>
      <c r="AI346" s="12" t="s">
        <v>117</v>
      </c>
      <c r="AJ346" s="12" t="s">
        <v>2077</v>
      </c>
      <c r="AK346" s="12" t="s">
        <v>4</v>
      </c>
    </row>
    <row r="347" customFormat="false" ht="15" hidden="false" customHeight="false" outlineLevel="0" collapsed="false">
      <c r="A347" s="11" t="n">
        <v>346</v>
      </c>
      <c r="B347" s="12" t="s">
        <v>2078</v>
      </c>
      <c r="C347" s="12" t="s">
        <v>1663</v>
      </c>
      <c r="D347" s="12" t="s">
        <v>1664</v>
      </c>
      <c r="E347" s="12" t="s">
        <v>759</v>
      </c>
      <c r="F347" s="12" t="s">
        <v>2079</v>
      </c>
      <c r="G347" s="12" t="s">
        <v>1055</v>
      </c>
      <c r="H347" s="12" t="s">
        <v>2080</v>
      </c>
      <c r="I347" s="12" t="s">
        <v>2081</v>
      </c>
      <c r="J347" s="13" t="s">
        <v>2082</v>
      </c>
      <c r="K347" s="12" t="s">
        <v>2083</v>
      </c>
      <c r="L347" s="12" t="s">
        <v>2084</v>
      </c>
      <c r="M347" s="12" t="s">
        <v>2085</v>
      </c>
      <c r="N347" s="12" t="s">
        <v>352</v>
      </c>
      <c r="O347" s="12" t="s">
        <v>102</v>
      </c>
      <c r="P347" s="12" t="s">
        <v>103</v>
      </c>
      <c r="Q347" s="12" t="s">
        <v>104</v>
      </c>
      <c r="R347" s="14" t="n">
        <v>7.2</v>
      </c>
      <c r="S347" s="14" t="s">
        <v>129</v>
      </c>
      <c r="T347" s="14" t="s">
        <v>106</v>
      </c>
      <c r="U347" s="14" t="n">
        <v>2024</v>
      </c>
      <c r="V347" s="12" t="s">
        <v>157</v>
      </c>
      <c r="W347" s="14" t="s">
        <v>2086</v>
      </c>
      <c r="X347" s="15" t="n">
        <f aca="false">IF(OR($S347="%",$R347=""),"",$R347*INDEX(Cambi!$J$2:$J$5,MATCH($S347,Cambi!$I$2:$I$5,0))/IF($T347="EUR",1,INDEX(Cambi!$D:$D,MATCH($T347&amp;"|"&amp;$U347,Cambi!$C:$C,0))))</f>
        <v>7200</v>
      </c>
      <c r="Y347" s="12" t="s">
        <v>109</v>
      </c>
      <c r="Z347" s="12" t="s">
        <v>109</v>
      </c>
      <c r="AA347" s="12" t="s">
        <v>109</v>
      </c>
      <c r="AB347" s="16" t="s">
        <v>110</v>
      </c>
      <c r="AC347" s="16" t="s">
        <v>2087</v>
      </c>
      <c r="AD347" s="12" t="s">
        <v>281</v>
      </c>
      <c r="AE347" s="12" t="s">
        <v>282</v>
      </c>
      <c r="AF347" s="12" t="s">
        <v>2088</v>
      </c>
      <c r="AG347" s="12" t="s">
        <v>284</v>
      </c>
      <c r="AH347" s="12" t="s">
        <v>499</v>
      </c>
      <c r="AI347" s="12" t="s">
        <v>285</v>
      </c>
      <c r="AJ347" s="12" t="s">
        <v>2089</v>
      </c>
      <c r="AK347" s="12" t="s">
        <v>4</v>
      </c>
    </row>
    <row r="348" customFormat="false" ht="15" hidden="false" customHeight="false" outlineLevel="0" collapsed="false">
      <c r="A348" s="11" t="n">
        <v>347</v>
      </c>
      <c r="B348" s="12" t="s">
        <v>2090</v>
      </c>
      <c r="C348" s="12" t="s">
        <v>1663</v>
      </c>
      <c r="D348" s="12" t="s">
        <v>1664</v>
      </c>
      <c r="E348" s="12" t="s">
        <v>759</v>
      </c>
      <c r="F348" s="12" t="s">
        <v>2091</v>
      </c>
      <c r="G348" s="12" t="s">
        <v>1516</v>
      </c>
      <c r="H348" s="12" t="s">
        <v>2092</v>
      </c>
      <c r="I348" s="12" t="s">
        <v>2093</v>
      </c>
      <c r="J348" s="13" t="s">
        <v>2094</v>
      </c>
      <c r="K348" s="12" t="s">
        <v>2095</v>
      </c>
      <c r="L348" s="12" t="s">
        <v>2096</v>
      </c>
      <c r="M348" s="12" t="s">
        <v>2097</v>
      </c>
      <c r="N348" s="12" t="s">
        <v>956</v>
      </c>
      <c r="O348" s="12" t="s">
        <v>102</v>
      </c>
      <c r="P348" s="12" t="s">
        <v>155</v>
      </c>
      <c r="Q348" s="12" t="s">
        <v>2098</v>
      </c>
      <c r="R348" s="14" t="n">
        <v>2.189</v>
      </c>
      <c r="S348" s="14" t="s">
        <v>129</v>
      </c>
      <c r="T348" s="14" t="s">
        <v>106</v>
      </c>
      <c r="U348" s="14" t="n">
        <v>2024</v>
      </c>
      <c r="V348" s="12" t="s">
        <v>157</v>
      </c>
      <c r="W348" s="14"/>
      <c r="X348" s="15" t="n">
        <f aca="false">IF(OR($S348="%",$R348=""),"",$R348*INDEX(Cambi!$J$2:$J$5,MATCH($S348,Cambi!$I$2:$I$5,0))/IF($T348="EUR",1,INDEX(Cambi!$D:$D,MATCH($T348&amp;"|"&amp;$U348,Cambi!$C:$C,0))))</f>
        <v>2189</v>
      </c>
      <c r="Y348" s="12" t="s">
        <v>654</v>
      </c>
      <c r="Z348" s="12" t="s">
        <v>109</v>
      </c>
      <c r="AA348" s="12" t="s">
        <v>2099</v>
      </c>
      <c r="AB348" s="16" t="s">
        <v>679</v>
      </c>
      <c r="AC348" s="16" t="s">
        <v>1673</v>
      </c>
      <c r="AD348" s="12" t="s">
        <v>281</v>
      </c>
      <c r="AE348" s="12" t="s">
        <v>1674</v>
      </c>
      <c r="AF348" s="12" t="s">
        <v>2100</v>
      </c>
      <c r="AG348" s="12" t="s">
        <v>498</v>
      </c>
      <c r="AH348" s="12" t="s">
        <v>499</v>
      </c>
      <c r="AI348" s="12" t="s">
        <v>285</v>
      </c>
      <c r="AJ348" s="12" t="s">
        <v>2101</v>
      </c>
      <c r="AK348" s="12" t="s">
        <v>4</v>
      </c>
    </row>
    <row r="349" customFormat="false" ht="15" hidden="false" customHeight="false" outlineLevel="0" collapsed="false">
      <c r="A349" s="11" t="n">
        <v>348</v>
      </c>
      <c r="B349" s="12" t="s">
        <v>2090</v>
      </c>
      <c r="C349" s="12" t="s">
        <v>1663</v>
      </c>
      <c r="D349" s="12" t="s">
        <v>1664</v>
      </c>
      <c r="E349" s="12" t="s">
        <v>759</v>
      </c>
      <c r="F349" s="12" t="s">
        <v>2091</v>
      </c>
      <c r="G349" s="12" t="s">
        <v>1516</v>
      </c>
      <c r="H349" s="12" t="s">
        <v>2092</v>
      </c>
      <c r="I349" s="12" t="s">
        <v>2093</v>
      </c>
      <c r="J349" s="13" t="s">
        <v>2094</v>
      </c>
      <c r="K349" s="12" t="s">
        <v>2095</v>
      </c>
      <c r="L349" s="12" t="s">
        <v>2102</v>
      </c>
      <c r="M349" s="12" t="s">
        <v>2103</v>
      </c>
      <c r="N349" s="12" t="s">
        <v>956</v>
      </c>
      <c r="O349" s="12" t="s">
        <v>102</v>
      </c>
      <c r="P349" s="12" t="s">
        <v>155</v>
      </c>
      <c r="Q349" s="12" t="s">
        <v>2104</v>
      </c>
      <c r="R349" s="14" t="n">
        <v>1.614</v>
      </c>
      <c r="S349" s="14" t="s">
        <v>129</v>
      </c>
      <c r="T349" s="14" t="s">
        <v>106</v>
      </c>
      <c r="U349" s="14" t="n">
        <v>2024</v>
      </c>
      <c r="V349" s="12" t="s">
        <v>157</v>
      </c>
      <c r="W349" s="14"/>
      <c r="X349" s="15" t="n">
        <f aca="false">IF(OR($S349="%",$R349=""),"",$R349*INDEX(Cambi!$J$2:$J$5,MATCH($S349,Cambi!$I$2:$I$5,0))/IF($T349="EUR",1,INDEX(Cambi!$D:$D,MATCH($T349&amp;"|"&amp;$U349,Cambi!$C:$C,0))))</f>
        <v>1614</v>
      </c>
      <c r="Y349" s="12" t="s">
        <v>654</v>
      </c>
      <c r="Z349" s="12" t="s">
        <v>109</v>
      </c>
      <c r="AA349" s="12" t="s">
        <v>2099</v>
      </c>
      <c r="AB349" s="16" t="s">
        <v>679</v>
      </c>
      <c r="AC349" s="16" t="s">
        <v>1673</v>
      </c>
      <c r="AD349" s="12" t="s">
        <v>281</v>
      </c>
      <c r="AE349" s="12" t="s">
        <v>1674</v>
      </c>
      <c r="AF349" s="12" t="s">
        <v>2105</v>
      </c>
      <c r="AG349" s="12" t="s">
        <v>498</v>
      </c>
      <c r="AH349" s="12" t="s">
        <v>499</v>
      </c>
      <c r="AI349" s="12" t="s">
        <v>285</v>
      </c>
      <c r="AJ349" s="12" t="s">
        <v>2101</v>
      </c>
      <c r="AK349" s="12" t="s">
        <v>4</v>
      </c>
    </row>
    <row r="350" customFormat="false" ht="15" hidden="false" customHeight="false" outlineLevel="0" collapsed="false">
      <c r="A350" s="11" t="n">
        <v>349</v>
      </c>
      <c r="B350" s="12" t="s">
        <v>2090</v>
      </c>
      <c r="C350" s="12" t="s">
        <v>1663</v>
      </c>
      <c r="D350" s="12" t="s">
        <v>1664</v>
      </c>
      <c r="E350" s="12" t="s">
        <v>759</v>
      </c>
      <c r="F350" s="12" t="s">
        <v>2091</v>
      </c>
      <c r="G350" s="12" t="s">
        <v>1516</v>
      </c>
      <c r="H350" s="12" t="s">
        <v>2092</v>
      </c>
      <c r="I350" s="12" t="s">
        <v>2093</v>
      </c>
      <c r="J350" s="13" t="s">
        <v>2094</v>
      </c>
      <c r="K350" s="12" t="s">
        <v>2095</v>
      </c>
      <c r="L350" s="12" t="s">
        <v>2106</v>
      </c>
      <c r="M350" s="12" t="s">
        <v>2107</v>
      </c>
      <c r="N350" s="12" t="s">
        <v>956</v>
      </c>
      <c r="O350" s="12" t="s">
        <v>102</v>
      </c>
      <c r="P350" s="12" t="s">
        <v>155</v>
      </c>
      <c r="Q350" s="12" t="s">
        <v>2108</v>
      </c>
      <c r="R350" s="14" t="n">
        <v>1.119</v>
      </c>
      <c r="S350" s="14" t="s">
        <v>129</v>
      </c>
      <c r="T350" s="14" t="s">
        <v>106</v>
      </c>
      <c r="U350" s="14" t="n">
        <v>2024</v>
      </c>
      <c r="V350" s="12" t="s">
        <v>157</v>
      </c>
      <c r="W350" s="14"/>
      <c r="X350" s="15" t="n">
        <f aca="false">IF(OR($S350="%",$R350=""),"",$R350*INDEX(Cambi!$J$2:$J$5,MATCH($S350,Cambi!$I$2:$I$5,0))/IF($T350="EUR",1,INDEX(Cambi!$D:$D,MATCH($T350&amp;"|"&amp;$U350,Cambi!$C:$C,0))))</f>
        <v>1119</v>
      </c>
      <c r="Y350" s="12" t="s">
        <v>654</v>
      </c>
      <c r="Z350" s="12" t="s">
        <v>109</v>
      </c>
      <c r="AA350" s="12" t="s">
        <v>2099</v>
      </c>
      <c r="AB350" s="16" t="s">
        <v>679</v>
      </c>
      <c r="AC350" s="16" t="s">
        <v>1673</v>
      </c>
      <c r="AD350" s="12" t="s">
        <v>281</v>
      </c>
      <c r="AE350" s="12" t="s">
        <v>1674</v>
      </c>
      <c r="AF350" s="12" t="s">
        <v>2109</v>
      </c>
      <c r="AG350" s="12" t="s">
        <v>498</v>
      </c>
      <c r="AH350" s="12" t="s">
        <v>499</v>
      </c>
      <c r="AI350" s="12" t="s">
        <v>285</v>
      </c>
      <c r="AJ350" s="12" t="s">
        <v>2101</v>
      </c>
      <c r="AK350" s="12" t="s">
        <v>4</v>
      </c>
    </row>
    <row r="351" customFormat="false" ht="15" hidden="false" customHeight="false" outlineLevel="0" collapsed="false">
      <c r="A351" s="11" t="n">
        <v>350</v>
      </c>
      <c r="B351" s="12" t="s">
        <v>2090</v>
      </c>
      <c r="C351" s="12" t="s">
        <v>1663</v>
      </c>
      <c r="D351" s="12" t="s">
        <v>1664</v>
      </c>
      <c r="E351" s="12" t="s">
        <v>759</v>
      </c>
      <c r="F351" s="12" t="s">
        <v>2091</v>
      </c>
      <c r="G351" s="12" t="s">
        <v>1516</v>
      </c>
      <c r="H351" s="12" t="s">
        <v>2092</v>
      </c>
      <c r="I351" s="12" t="s">
        <v>2093</v>
      </c>
      <c r="J351" s="13" t="s">
        <v>2094</v>
      </c>
      <c r="K351" s="12" t="s">
        <v>2095</v>
      </c>
      <c r="L351" s="12" t="s">
        <v>2110</v>
      </c>
      <c r="M351" s="12" t="s">
        <v>2111</v>
      </c>
      <c r="N351" s="12" t="s">
        <v>956</v>
      </c>
      <c r="O351" s="12" t="s">
        <v>102</v>
      </c>
      <c r="P351" s="12" t="s">
        <v>155</v>
      </c>
      <c r="Q351" s="12" t="s">
        <v>2112</v>
      </c>
      <c r="R351" s="14" t="n">
        <v>5.036</v>
      </c>
      <c r="S351" s="14" t="s">
        <v>129</v>
      </c>
      <c r="T351" s="14" t="s">
        <v>106</v>
      </c>
      <c r="U351" s="14" t="n">
        <v>2024</v>
      </c>
      <c r="V351" s="12" t="s">
        <v>157</v>
      </c>
      <c r="W351" s="14"/>
      <c r="X351" s="15" t="n">
        <f aca="false">IF(OR($S351="%",$R351=""),"",$R351*INDEX(Cambi!$J$2:$J$5,MATCH($S351,Cambi!$I$2:$I$5,0))/IF($T351="EUR",1,INDEX(Cambi!$D:$D,MATCH($T351&amp;"|"&amp;$U351,Cambi!$C:$C,0))))</f>
        <v>5036</v>
      </c>
      <c r="Y351" s="12" t="s">
        <v>654</v>
      </c>
      <c r="Z351" s="12" t="s">
        <v>109</v>
      </c>
      <c r="AA351" s="12" t="s">
        <v>2099</v>
      </c>
      <c r="AB351" s="16" t="s">
        <v>679</v>
      </c>
      <c r="AC351" s="16" t="s">
        <v>1673</v>
      </c>
      <c r="AD351" s="12" t="s">
        <v>281</v>
      </c>
      <c r="AE351" s="12" t="s">
        <v>1674</v>
      </c>
      <c r="AF351" s="12" t="s">
        <v>2113</v>
      </c>
      <c r="AG351" s="12" t="s">
        <v>498</v>
      </c>
      <c r="AH351" s="12" t="s">
        <v>499</v>
      </c>
      <c r="AI351" s="12" t="s">
        <v>285</v>
      </c>
      <c r="AJ351" s="12" t="s">
        <v>2101</v>
      </c>
      <c r="AK351" s="12" t="s">
        <v>4</v>
      </c>
    </row>
    <row r="352" customFormat="false" ht="15" hidden="false" customHeight="false" outlineLevel="0" collapsed="false">
      <c r="A352" s="11" t="n">
        <v>351</v>
      </c>
      <c r="B352" s="12" t="s">
        <v>2114</v>
      </c>
      <c r="C352" s="12" t="s">
        <v>1663</v>
      </c>
      <c r="D352" s="12" t="s">
        <v>1664</v>
      </c>
      <c r="E352" s="12" t="s">
        <v>759</v>
      </c>
      <c r="F352" s="12" t="s">
        <v>2115</v>
      </c>
      <c r="G352" s="12" t="s">
        <v>1876</v>
      </c>
      <c r="H352" s="12" t="s">
        <v>2116</v>
      </c>
      <c r="I352" s="12" t="s">
        <v>915</v>
      </c>
      <c r="J352" s="13" t="s">
        <v>2117</v>
      </c>
      <c r="K352" s="12"/>
      <c r="L352" s="12" t="s">
        <v>1955</v>
      </c>
      <c r="M352" s="12" t="s">
        <v>2118</v>
      </c>
      <c r="N352" s="12" t="s">
        <v>352</v>
      </c>
      <c r="O352" s="12" t="s">
        <v>102</v>
      </c>
      <c r="P352" s="12" t="s">
        <v>103</v>
      </c>
      <c r="Q352" s="12" t="s">
        <v>104</v>
      </c>
      <c r="R352" s="14" t="n">
        <v>6.4</v>
      </c>
      <c r="S352" s="14" t="s">
        <v>129</v>
      </c>
      <c r="T352" s="14" t="s">
        <v>106</v>
      </c>
      <c r="U352" s="14" t="n">
        <v>2025</v>
      </c>
      <c r="V352" s="12" t="s">
        <v>157</v>
      </c>
      <c r="W352" s="14"/>
      <c r="X352" s="15" t="n">
        <f aca="false">IF(OR($S352="%",$R352=""),"",$R352*INDEX(Cambi!$J$2:$J$5,MATCH($S352,Cambi!$I$2:$I$5,0))/IF($T352="EUR",1,INDEX(Cambi!$D:$D,MATCH($T352&amp;"|"&amp;$U352,Cambi!$C:$C,0))))</f>
        <v>6400</v>
      </c>
      <c r="Y352" s="12" t="s">
        <v>654</v>
      </c>
      <c r="Z352" s="12" t="s">
        <v>109</v>
      </c>
      <c r="AA352" s="12" t="s">
        <v>2119</v>
      </c>
      <c r="AB352" s="16" t="s">
        <v>679</v>
      </c>
      <c r="AC352" s="16" t="s">
        <v>2120</v>
      </c>
      <c r="AD352" s="12" t="s">
        <v>112</v>
      </c>
      <c r="AE352" s="12" t="s">
        <v>2121</v>
      </c>
      <c r="AF352" s="12" t="s">
        <v>2122</v>
      </c>
      <c r="AG352" s="12" t="s">
        <v>284</v>
      </c>
      <c r="AH352" s="12" t="s">
        <v>838</v>
      </c>
      <c r="AI352" s="12" t="s">
        <v>117</v>
      </c>
      <c r="AJ352" s="12" t="s">
        <v>2123</v>
      </c>
      <c r="AK352" s="12" t="s">
        <v>4</v>
      </c>
    </row>
    <row r="353" customFormat="false" ht="15" hidden="false" customHeight="false" outlineLevel="0" collapsed="false">
      <c r="A353" s="11" t="n">
        <v>352</v>
      </c>
      <c r="B353" s="12" t="s">
        <v>2124</v>
      </c>
      <c r="C353" s="12" t="s">
        <v>2125</v>
      </c>
      <c r="D353" s="12" t="s">
        <v>2126</v>
      </c>
      <c r="E353" s="12" t="s">
        <v>759</v>
      </c>
      <c r="F353" s="12" t="s">
        <v>2127</v>
      </c>
      <c r="G353" s="12" t="s">
        <v>830</v>
      </c>
      <c r="H353" s="12" t="s">
        <v>2128</v>
      </c>
      <c r="I353" s="12" t="s">
        <v>847</v>
      </c>
      <c r="J353" s="13" t="s">
        <v>2129</v>
      </c>
      <c r="K353" s="12"/>
      <c r="L353" s="12" t="s">
        <v>2130</v>
      </c>
      <c r="M353" s="12" t="s">
        <v>2131</v>
      </c>
      <c r="N353" s="12" t="s">
        <v>352</v>
      </c>
      <c r="O353" s="12" t="s">
        <v>102</v>
      </c>
      <c r="P353" s="12" t="s">
        <v>103</v>
      </c>
      <c r="Q353" s="12" t="s">
        <v>104</v>
      </c>
      <c r="R353" s="14" t="n">
        <v>107</v>
      </c>
      <c r="S353" s="14" t="s">
        <v>105</v>
      </c>
      <c r="T353" s="14" t="s">
        <v>653</v>
      </c>
      <c r="U353" s="14" t="n">
        <v>2025</v>
      </c>
      <c r="V353" s="12" t="s">
        <v>157</v>
      </c>
      <c r="W353" s="14"/>
      <c r="X353" s="15" t="n">
        <f aca="false">IF(OR($S353="%",$R353=""),"",$R353*INDEX(Cambi!$J$2:$J$5,MATCH($S353,Cambi!$I$2:$I$5,0))/IF($T353="EUR",1,INDEX(Cambi!$D:$D,MATCH($T353&amp;"|"&amp;$U353,Cambi!$C:$C,0))))</f>
        <v>94.6902654867257</v>
      </c>
      <c r="Y353" s="12" t="s">
        <v>109</v>
      </c>
      <c r="Z353" s="12" t="s">
        <v>109</v>
      </c>
      <c r="AA353" s="12" t="s">
        <v>109</v>
      </c>
      <c r="AB353" s="16" t="s">
        <v>110</v>
      </c>
      <c r="AC353" s="16" t="s">
        <v>836</v>
      </c>
      <c r="AD353" s="12" t="s">
        <v>112</v>
      </c>
      <c r="AE353" s="12" t="s">
        <v>282</v>
      </c>
      <c r="AF353" s="12" t="s">
        <v>2132</v>
      </c>
      <c r="AG353" s="12" t="s">
        <v>284</v>
      </c>
      <c r="AH353" s="12" t="s">
        <v>838</v>
      </c>
      <c r="AI353" s="12" t="s">
        <v>117</v>
      </c>
      <c r="AJ353" s="12" t="s">
        <v>2133</v>
      </c>
      <c r="AK353" s="12" t="s">
        <v>4</v>
      </c>
    </row>
    <row r="354" customFormat="false" ht="15" hidden="false" customHeight="false" outlineLevel="0" collapsed="false">
      <c r="A354" s="11" t="n">
        <v>353</v>
      </c>
      <c r="B354" s="12" t="s">
        <v>2124</v>
      </c>
      <c r="C354" s="12" t="s">
        <v>2125</v>
      </c>
      <c r="D354" s="12" t="s">
        <v>2126</v>
      </c>
      <c r="E354" s="12" t="s">
        <v>759</v>
      </c>
      <c r="F354" s="12" t="s">
        <v>2127</v>
      </c>
      <c r="G354" s="12" t="s">
        <v>830</v>
      </c>
      <c r="H354" s="12" t="s">
        <v>2128</v>
      </c>
      <c r="I354" s="12" t="s">
        <v>847</v>
      </c>
      <c r="J354" s="13" t="s">
        <v>2129</v>
      </c>
      <c r="K354" s="12"/>
      <c r="L354" s="12" t="s">
        <v>2134</v>
      </c>
      <c r="M354" s="12" t="s">
        <v>2135</v>
      </c>
      <c r="N354" s="12" t="s">
        <v>352</v>
      </c>
      <c r="O354" s="12" t="s">
        <v>102</v>
      </c>
      <c r="P354" s="12" t="s">
        <v>103</v>
      </c>
      <c r="Q354" s="12" t="s">
        <v>104</v>
      </c>
      <c r="R354" s="14" t="n">
        <v>115</v>
      </c>
      <c r="S354" s="14" t="s">
        <v>105</v>
      </c>
      <c r="T354" s="14" t="s">
        <v>653</v>
      </c>
      <c r="U354" s="14" t="n">
        <v>2032</v>
      </c>
      <c r="V354" s="12" t="s">
        <v>107</v>
      </c>
      <c r="W354" s="14" t="s">
        <v>2136</v>
      </c>
      <c r="X354" s="15" t="n">
        <f aca="false">IF(OR($S354="%",$R354=""),"",$R354*INDEX(Cambi!$J$2:$J$5,MATCH($S354,Cambi!$I$2:$I$5,0))/IF($T354="EUR",1,INDEX(Cambi!$D:$D,MATCH($T354&amp;"|"&amp;$U354,Cambi!$C:$C,0))))</f>
        <v>101.769911504425</v>
      </c>
      <c r="Y354" s="12" t="s">
        <v>109</v>
      </c>
      <c r="Z354" s="12" t="s">
        <v>109</v>
      </c>
      <c r="AA354" s="12" t="s">
        <v>109</v>
      </c>
      <c r="AB354" s="16" t="s">
        <v>110</v>
      </c>
      <c r="AC354" s="16" t="s">
        <v>836</v>
      </c>
      <c r="AD354" s="12" t="s">
        <v>112</v>
      </c>
      <c r="AE354" s="12" t="s">
        <v>282</v>
      </c>
      <c r="AF354" s="12" t="s">
        <v>2137</v>
      </c>
      <c r="AG354" s="12" t="s">
        <v>284</v>
      </c>
      <c r="AH354" s="12" t="s">
        <v>838</v>
      </c>
      <c r="AI354" s="12" t="s">
        <v>117</v>
      </c>
      <c r="AJ354" s="12" t="s">
        <v>2138</v>
      </c>
      <c r="AK354" s="12" t="s">
        <v>4</v>
      </c>
    </row>
    <row r="355" customFormat="false" ht="15" hidden="false" customHeight="false" outlineLevel="0" collapsed="false">
      <c r="A355" s="11" t="n">
        <v>354</v>
      </c>
      <c r="B355" s="12" t="s">
        <v>1009</v>
      </c>
      <c r="C355" s="12" t="s">
        <v>2125</v>
      </c>
      <c r="D355" s="12" t="s">
        <v>2126</v>
      </c>
      <c r="E355" s="12" t="s">
        <v>759</v>
      </c>
      <c r="F355" s="12" t="s">
        <v>1010</v>
      </c>
      <c r="G355" s="12" t="s">
        <v>581</v>
      </c>
      <c r="H355" s="12" t="s">
        <v>1011</v>
      </c>
      <c r="I355" s="12" t="s">
        <v>1012</v>
      </c>
      <c r="J355" s="13" t="s">
        <v>1013</v>
      </c>
      <c r="K355" s="12"/>
      <c r="L355" s="12" t="s">
        <v>2139</v>
      </c>
      <c r="M355" s="12" t="s">
        <v>2140</v>
      </c>
      <c r="N355" s="12" t="s">
        <v>352</v>
      </c>
      <c r="O355" s="12" t="s">
        <v>102</v>
      </c>
      <c r="P355" s="12" t="s">
        <v>103</v>
      </c>
      <c r="Q355" s="12" t="s">
        <v>104</v>
      </c>
      <c r="R355" s="14" t="n">
        <v>6.4</v>
      </c>
      <c r="S355" s="14" t="s">
        <v>129</v>
      </c>
      <c r="T355" s="14" t="s">
        <v>106</v>
      </c>
      <c r="U355" s="14" t="n">
        <v>2023</v>
      </c>
      <c r="V355" s="12" t="s">
        <v>157</v>
      </c>
      <c r="W355" s="14" t="s">
        <v>2141</v>
      </c>
      <c r="X355" s="15" t="n">
        <f aca="false">IF(OR($S355="%",$R355=""),"",$R355*INDEX(Cambi!$J$2:$J$5,MATCH($S355,Cambi!$I$2:$I$5,0))/IF($T355="EUR",1,INDEX(Cambi!$D:$D,MATCH($T355&amp;"|"&amp;$U355,Cambi!$C:$C,0))))</f>
        <v>6400</v>
      </c>
      <c r="Y355" s="12" t="s">
        <v>109</v>
      </c>
      <c r="Z355" s="12" t="s">
        <v>109</v>
      </c>
      <c r="AA355" s="12" t="s">
        <v>1016</v>
      </c>
      <c r="AB355" s="16" t="s">
        <v>110</v>
      </c>
      <c r="AC355" s="16" t="s">
        <v>1017</v>
      </c>
      <c r="AD355" s="12" t="s">
        <v>112</v>
      </c>
      <c r="AE355" s="12" t="s">
        <v>1018</v>
      </c>
      <c r="AF355" s="12" t="s">
        <v>2142</v>
      </c>
      <c r="AG355" s="12" t="s">
        <v>284</v>
      </c>
      <c r="AH355" s="12" t="s">
        <v>116</v>
      </c>
      <c r="AI355" s="12" t="s">
        <v>117</v>
      </c>
      <c r="AJ355" s="12" t="s">
        <v>2143</v>
      </c>
      <c r="AK355" s="12" t="s">
        <v>4</v>
      </c>
    </row>
    <row r="356" customFormat="false" ht="15" hidden="false" customHeight="false" outlineLevel="0" collapsed="false">
      <c r="A356" s="11" t="n">
        <v>355</v>
      </c>
      <c r="B356" s="12" t="s">
        <v>1009</v>
      </c>
      <c r="C356" s="12" t="s">
        <v>2125</v>
      </c>
      <c r="D356" s="12" t="s">
        <v>2126</v>
      </c>
      <c r="E356" s="12" t="s">
        <v>759</v>
      </c>
      <c r="F356" s="12" t="s">
        <v>1010</v>
      </c>
      <c r="G356" s="12" t="s">
        <v>581</v>
      </c>
      <c r="H356" s="12" t="s">
        <v>1011</v>
      </c>
      <c r="I356" s="12" t="s">
        <v>1012</v>
      </c>
      <c r="J356" s="13" t="s">
        <v>1013</v>
      </c>
      <c r="K356" s="12"/>
      <c r="L356" s="12" t="s">
        <v>2144</v>
      </c>
      <c r="M356" s="12" t="s">
        <v>2145</v>
      </c>
      <c r="N356" s="12" t="s">
        <v>352</v>
      </c>
      <c r="O356" s="12" t="s">
        <v>196</v>
      </c>
      <c r="P356" s="12" t="s">
        <v>155</v>
      </c>
      <c r="Q356" s="12" t="s">
        <v>787</v>
      </c>
      <c r="R356" s="14" t="n">
        <v>56</v>
      </c>
      <c r="S356" s="14" t="s">
        <v>197</v>
      </c>
      <c r="T356" s="14"/>
      <c r="U356" s="14" t="n">
        <v>2023</v>
      </c>
      <c r="V356" s="12" t="s">
        <v>157</v>
      </c>
      <c r="W356" s="14"/>
      <c r="X356" s="15" t="str">
        <f aca="false">IF(OR($S356="%",$R356=""),"",$R356*INDEX(Cambi!$J$2:$J$5,MATCH($S356,Cambi!$I$2:$I$5,0))/IF($T356="EUR",1,INDEX(Cambi!$D:$D,MATCH($T356&amp;"|"&amp;$U356,Cambi!$C:$C,0))))</f>
        <v/>
      </c>
      <c r="Y356" s="12" t="s">
        <v>109</v>
      </c>
      <c r="Z356" s="12" t="s">
        <v>109</v>
      </c>
      <c r="AA356" s="12" t="s">
        <v>1016</v>
      </c>
      <c r="AB356" s="16" t="s">
        <v>110</v>
      </c>
      <c r="AC356" s="16" t="s">
        <v>1017</v>
      </c>
      <c r="AD356" s="12" t="s">
        <v>112</v>
      </c>
      <c r="AE356" s="12" t="s">
        <v>1018</v>
      </c>
      <c r="AF356" s="12" t="s">
        <v>2146</v>
      </c>
      <c r="AG356" s="12" t="s">
        <v>284</v>
      </c>
      <c r="AH356" s="12" t="s">
        <v>116</v>
      </c>
      <c r="AI356" s="12" t="s">
        <v>117</v>
      </c>
      <c r="AJ356" s="12" t="s">
        <v>2147</v>
      </c>
      <c r="AK356" s="12" t="s">
        <v>4</v>
      </c>
    </row>
    <row r="357" customFormat="false" ht="15" hidden="false" customHeight="false" outlineLevel="0" collapsed="false">
      <c r="A357" s="11" t="n">
        <v>356</v>
      </c>
      <c r="B357" s="12" t="s">
        <v>1009</v>
      </c>
      <c r="C357" s="12" t="s">
        <v>2125</v>
      </c>
      <c r="D357" s="12" t="s">
        <v>2126</v>
      </c>
      <c r="E357" s="12" t="s">
        <v>759</v>
      </c>
      <c r="F357" s="12" t="s">
        <v>1010</v>
      </c>
      <c r="G357" s="12" t="s">
        <v>581</v>
      </c>
      <c r="H357" s="12" t="s">
        <v>1011</v>
      </c>
      <c r="I357" s="12" t="s">
        <v>1012</v>
      </c>
      <c r="J357" s="13" t="s">
        <v>1013</v>
      </c>
      <c r="K357" s="12"/>
      <c r="L357" s="12" t="s">
        <v>2148</v>
      </c>
      <c r="M357" s="12" t="s">
        <v>2149</v>
      </c>
      <c r="N357" s="12" t="s">
        <v>352</v>
      </c>
      <c r="O357" s="12" t="s">
        <v>196</v>
      </c>
      <c r="P357" s="12" t="s">
        <v>155</v>
      </c>
      <c r="Q357" s="12" t="s">
        <v>1027</v>
      </c>
      <c r="R357" s="14" t="n">
        <v>44</v>
      </c>
      <c r="S357" s="14" t="s">
        <v>197</v>
      </c>
      <c r="T357" s="14"/>
      <c r="U357" s="14" t="n">
        <v>2023</v>
      </c>
      <c r="V357" s="12" t="s">
        <v>157</v>
      </c>
      <c r="W357" s="14"/>
      <c r="X357" s="15" t="str">
        <f aca="false">IF(OR($S357="%",$R357=""),"",$R357*INDEX(Cambi!$J$2:$J$5,MATCH($S357,Cambi!$I$2:$I$5,0))/IF($T357="EUR",1,INDEX(Cambi!$D:$D,MATCH($T357&amp;"|"&amp;$U357,Cambi!$C:$C,0))))</f>
        <v/>
      </c>
      <c r="Y357" s="12" t="s">
        <v>109</v>
      </c>
      <c r="Z357" s="12" t="s">
        <v>109</v>
      </c>
      <c r="AA357" s="12" t="s">
        <v>1016</v>
      </c>
      <c r="AB357" s="16" t="s">
        <v>110</v>
      </c>
      <c r="AC357" s="16" t="s">
        <v>1017</v>
      </c>
      <c r="AD357" s="12" t="s">
        <v>112</v>
      </c>
      <c r="AE357" s="12" t="s">
        <v>1018</v>
      </c>
      <c r="AF357" s="12" t="s">
        <v>2146</v>
      </c>
      <c r="AG357" s="12" t="s">
        <v>284</v>
      </c>
      <c r="AH357" s="12" t="s">
        <v>116</v>
      </c>
      <c r="AI357" s="12" t="s">
        <v>117</v>
      </c>
      <c r="AJ357" s="12" t="s">
        <v>2147</v>
      </c>
      <c r="AK357" s="12" t="s">
        <v>4</v>
      </c>
    </row>
    <row r="358" customFormat="false" ht="15" hidden="false" customHeight="false" outlineLevel="0" collapsed="false">
      <c r="A358" s="11" t="n">
        <v>357</v>
      </c>
      <c r="B358" s="12" t="s">
        <v>1009</v>
      </c>
      <c r="C358" s="12" t="s">
        <v>2125</v>
      </c>
      <c r="D358" s="12" t="s">
        <v>2126</v>
      </c>
      <c r="E358" s="12" t="s">
        <v>759</v>
      </c>
      <c r="F358" s="12" t="s">
        <v>1010</v>
      </c>
      <c r="G358" s="12" t="s">
        <v>581</v>
      </c>
      <c r="H358" s="12" t="s">
        <v>1011</v>
      </c>
      <c r="I358" s="12" t="s">
        <v>1012</v>
      </c>
      <c r="J358" s="13" t="s">
        <v>1013</v>
      </c>
      <c r="K358" s="12"/>
      <c r="L358" s="12" t="s">
        <v>2139</v>
      </c>
      <c r="M358" s="12" t="s">
        <v>2150</v>
      </c>
      <c r="N358" s="12" t="s">
        <v>352</v>
      </c>
      <c r="O358" s="12" t="s">
        <v>102</v>
      </c>
      <c r="P358" s="12" t="s">
        <v>103</v>
      </c>
      <c r="Q358" s="12" t="s">
        <v>104</v>
      </c>
      <c r="R358" s="14" t="n">
        <v>6.9</v>
      </c>
      <c r="S358" s="14" t="s">
        <v>129</v>
      </c>
      <c r="T358" s="14" t="s">
        <v>106</v>
      </c>
      <c r="U358" s="14" t="n">
        <v>2024</v>
      </c>
      <c r="V358" s="12" t="s">
        <v>157</v>
      </c>
      <c r="W358" s="14" t="s">
        <v>2141</v>
      </c>
      <c r="X358" s="15" t="n">
        <f aca="false">IF(OR($S358="%",$R358=""),"",$R358*INDEX(Cambi!$J$2:$J$5,MATCH($S358,Cambi!$I$2:$I$5,0))/IF($T358="EUR",1,INDEX(Cambi!$D:$D,MATCH($T358&amp;"|"&amp;$U358,Cambi!$C:$C,0))))</f>
        <v>6900</v>
      </c>
      <c r="Y358" s="12" t="s">
        <v>109</v>
      </c>
      <c r="Z358" s="12" t="s">
        <v>109</v>
      </c>
      <c r="AA358" s="12" t="s">
        <v>1016</v>
      </c>
      <c r="AB358" s="16" t="s">
        <v>110</v>
      </c>
      <c r="AC358" s="16" t="s">
        <v>1017</v>
      </c>
      <c r="AD358" s="12" t="s">
        <v>112</v>
      </c>
      <c r="AE358" s="12" t="s">
        <v>1018</v>
      </c>
      <c r="AF358" s="12" t="s">
        <v>2142</v>
      </c>
      <c r="AG358" s="12" t="s">
        <v>284</v>
      </c>
      <c r="AH358" s="12" t="s">
        <v>116</v>
      </c>
      <c r="AI358" s="12" t="s">
        <v>117</v>
      </c>
      <c r="AJ358" s="12" t="s">
        <v>2151</v>
      </c>
      <c r="AK358" s="12" t="s">
        <v>4</v>
      </c>
    </row>
    <row r="359" customFormat="false" ht="15" hidden="false" customHeight="false" outlineLevel="0" collapsed="false">
      <c r="A359" s="11" t="n">
        <v>358</v>
      </c>
      <c r="B359" s="12" t="s">
        <v>1009</v>
      </c>
      <c r="C359" s="12" t="s">
        <v>2125</v>
      </c>
      <c r="D359" s="12" t="s">
        <v>2126</v>
      </c>
      <c r="E359" s="12" t="s">
        <v>759</v>
      </c>
      <c r="F359" s="12" t="s">
        <v>1010</v>
      </c>
      <c r="G359" s="12" t="s">
        <v>581</v>
      </c>
      <c r="H359" s="12" t="s">
        <v>1011</v>
      </c>
      <c r="I359" s="12" t="s">
        <v>1012</v>
      </c>
      <c r="J359" s="13" t="s">
        <v>1013</v>
      </c>
      <c r="K359" s="12"/>
      <c r="L359" s="12" t="s">
        <v>2139</v>
      </c>
      <c r="M359" s="12" t="s">
        <v>2152</v>
      </c>
      <c r="N359" s="12" t="s">
        <v>352</v>
      </c>
      <c r="O359" s="12" t="s">
        <v>102</v>
      </c>
      <c r="P359" s="12" t="s">
        <v>103</v>
      </c>
      <c r="Q359" s="12" t="s">
        <v>104</v>
      </c>
      <c r="R359" s="14" t="n">
        <v>7.5</v>
      </c>
      <c r="S359" s="14" t="s">
        <v>129</v>
      </c>
      <c r="T359" s="14" t="s">
        <v>106</v>
      </c>
      <c r="U359" s="14" t="n">
        <v>2025</v>
      </c>
      <c r="V359" s="12" t="s">
        <v>198</v>
      </c>
      <c r="W359" s="14" t="s">
        <v>2141</v>
      </c>
      <c r="X359" s="15" t="n">
        <f aca="false">IF(OR($S359="%",$R359=""),"",$R359*INDEX(Cambi!$J$2:$J$5,MATCH($S359,Cambi!$I$2:$I$5,0))/IF($T359="EUR",1,INDEX(Cambi!$D:$D,MATCH($T359&amp;"|"&amp;$U359,Cambi!$C:$C,0))))</f>
        <v>7500</v>
      </c>
      <c r="Y359" s="12" t="s">
        <v>109</v>
      </c>
      <c r="Z359" s="12" t="s">
        <v>109</v>
      </c>
      <c r="AA359" s="12" t="s">
        <v>1016</v>
      </c>
      <c r="AB359" s="16" t="s">
        <v>110</v>
      </c>
      <c r="AC359" s="16" t="s">
        <v>1017</v>
      </c>
      <c r="AD359" s="12" t="s">
        <v>112</v>
      </c>
      <c r="AE359" s="12" t="s">
        <v>1018</v>
      </c>
      <c r="AF359" s="12" t="s">
        <v>2142</v>
      </c>
      <c r="AG359" s="12" t="s">
        <v>284</v>
      </c>
      <c r="AH359" s="12" t="s">
        <v>116</v>
      </c>
      <c r="AI359" s="12" t="s">
        <v>117</v>
      </c>
      <c r="AJ359" s="12" t="s">
        <v>2143</v>
      </c>
      <c r="AK359" s="12" t="s">
        <v>4</v>
      </c>
    </row>
    <row r="360" customFormat="false" ht="15" hidden="false" customHeight="false" outlineLevel="0" collapsed="false">
      <c r="A360" s="11" t="n">
        <v>359</v>
      </c>
      <c r="B360" s="12" t="s">
        <v>1009</v>
      </c>
      <c r="C360" s="12" t="s">
        <v>2125</v>
      </c>
      <c r="D360" s="12" t="s">
        <v>2126</v>
      </c>
      <c r="E360" s="12" t="s">
        <v>759</v>
      </c>
      <c r="F360" s="12" t="s">
        <v>1010</v>
      </c>
      <c r="G360" s="12" t="s">
        <v>581</v>
      </c>
      <c r="H360" s="12" t="s">
        <v>1011</v>
      </c>
      <c r="I360" s="12" t="s">
        <v>1012</v>
      </c>
      <c r="J360" s="13" t="s">
        <v>1013</v>
      </c>
      <c r="K360" s="12"/>
      <c r="L360" s="12" t="s">
        <v>2139</v>
      </c>
      <c r="M360" s="12" t="s">
        <v>2153</v>
      </c>
      <c r="N360" s="12" t="s">
        <v>352</v>
      </c>
      <c r="O360" s="12" t="s">
        <v>102</v>
      </c>
      <c r="P360" s="12" t="s">
        <v>103</v>
      </c>
      <c r="Q360" s="12" t="s">
        <v>104</v>
      </c>
      <c r="R360" s="14" t="n">
        <v>8</v>
      </c>
      <c r="S360" s="14" t="s">
        <v>129</v>
      </c>
      <c r="T360" s="14" t="s">
        <v>106</v>
      </c>
      <c r="U360" s="14" t="n">
        <v>2026</v>
      </c>
      <c r="V360" s="12" t="s">
        <v>198</v>
      </c>
      <c r="W360" s="14" t="s">
        <v>2141</v>
      </c>
      <c r="X360" s="15" t="n">
        <f aca="false">IF(OR($S360="%",$R360=""),"",$R360*INDEX(Cambi!$J$2:$J$5,MATCH($S360,Cambi!$I$2:$I$5,0))/IF($T360="EUR",1,INDEX(Cambi!$D:$D,MATCH($T360&amp;"|"&amp;$U360,Cambi!$C:$C,0))))</f>
        <v>8000</v>
      </c>
      <c r="Y360" s="12" t="s">
        <v>109</v>
      </c>
      <c r="Z360" s="12" t="s">
        <v>109</v>
      </c>
      <c r="AA360" s="12" t="s">
        <v>1016</v>
      </c>
      <c r="AB360" s="16" t="s">
        <v>110</v>
      </c>
      <c r="AC360" s="16" t="s">
        <v>1017</v>
      </c>
      <c r="AD360" s="12" t="s">
        <v>112</v>
      </c>
      <c r="AE360" s="12" t="s">
        <v>1018</v>
      </c>
      <c r="AF360" s="12" t="s">
        <v>2142</v>
      </c>
      <c r="AG360" s="12" t="s">
        <v>284</v>
      </c>
      <c r="AH360" s="12" t="s">
        <v>116</v>
      </c>
      <c r="AI360" s="12" t="s">
        <v>117</v>
      </c>
      <c r="AJ360" s="12" t="s">
        <v>2143</v>
      </c>
      <c r="AK360" s="12" t="s">
        <v>4</v>
      </c>
    </row>
    <row r="361" customFormat="false" ht="15" hidden="false" customHeight="false" outlineLevel="0" collapsed="false">
      <c r="A361" s="11" t="n">
        <v>360</v>
      </c>
      <c r="B361" s="12" t="s">
        <v>1009</v>
      </c>
      <c r="C361" s="12" t="s">
        <v>2125</v>
      </c>
      <c r="D361" s="12" t="s">
        <v>2126</v>
      </c>
      <c r="E361" s="12" t="s">
        <v>759</v>
      </c>
      <c r="F361" s="12" t="s">
        <v>1010</v>
      </c>
      <c r="G361" s="12" t="s">
        <v>581</v>
      </c>
      <c r="H361" s="12" t="s">
        <v>1011</v>
      </c>
      <c r="I361" s="12" t="s">
        <v>1012</v>
      </c>
      <c r="J361" s="13" t="s">
        <v>1013</v>
      </c>
      <c r="K361" s="12"/>
      <c r="L361" s="12" t="s">
        <v>2139</v>
      </c>
      <c r="M361" s="12" t="s">
        <v>2154</v>
      </c>
      <c r="N361" s="12" t="s">
        <v>352</v>
      </c>
      <c r="O361" s="12" t="s">
        <v>102</v>
      </c>
      <c r="P361" s="12" t="s">
        <v>103</v>
      </c>
      <c r="Q361" s="12" t="s">
        <v>104</v>
      </c>
      <c r="R361" s="14" t="n">
        <v>8.5</v>
      </c>
      <c r="S361" s="14" t="s">
        <v>129</v>
      </c>
      <c r="T361" s="14" t="s">
        <v>106</v>
      </c>
      <c r="U361" s="14" t="n">
        <v>2027</v>
      </c>
      <c r="V361" s="12" t="s">
        <v>107</v>
      </c>
      <c r="W361" s="14" t="s">
        <v>2141</v>
      </c>
      <c r="X361" s="15" t="n">
        <f aca="false">IF(OR($S361="%",$R361=""),"",$R361*INDEX(Cambi!$J$2:$J$5,MATCH($S361,Cambi!$I$2:$I$5,0))/IF($T361="EUR",1,INDEX(Cambi!$D:$D,MATCH($T361&amp;"|"&amp;$U361,Cambi!$C:$C,0))))</f>
        <v>8500</v>
      </c>
      <c r="Y361" s="12" t="s">
        <v>109</v>
      </c>
      <c r="Z361" s="12" t="s">
        <v>109</v>
      </c>
      <c r="AA361" s="12" t="s">
        <v>1016</v>
      </c>
      <c r="AB361" s="16" t="s">
        <v>110</v>
      </c>
      <c r="AC361" s="16" t="s">
        <v>1017</v>
      </c>
      <c r="AD361" s="12" t="s">
        <v>112</v>
      </c>
      <c r="AE361" s="12" t="s">
        <v>1018</v>
      </c>
      <c r="AF361" s="12" t="s">
        <v>2142</v>
      </c>
      <c r="AG361" s="12" t="s">
        <v>284</v>
      </c>
      <c r="AH361" s="12" t="s">
        <v>116</v>
      </c>
      <c r="AI361" s="12" t="s">
        <v>117</v>
      </c>
      <c r="AJ361" s="12" t="s">
        <v>2143</v>
      </c>
      <c r="AK361" s="12" t="s">
        <v>4</v>
      </c>
    </row>
    <row r="362" customFormat="false" ht="15" hidden="false" customHeight="false" outlineLevel="0" collapsed="false">
      <c r="A362" s="11" t="n">
        <v>361</v>
      </c>
      <c r="B362" s="12" t="s">
        <v>1009</v>
      </c>
      <c r="C362" s="12" t="s">
        <v>2125</v>
      </c>
      <c r="D362" s="12" t="s">
        <v>2126</v>
      </c>
      <c r="E362" s="12" t="s">
        <v>759</v>
      </c>
      <c r="F362" s="12" t="s">
        <v>1010</v>
      </c>
      <c r="G362" s="12" t="s">
        <v>581</v>
      </c>
      <c r="H362" s="12" t="s">
        <v>1011</v>
      </c>
      <c r="I362" s="12" t="s">
        <v>1012</v>
      </c>
      <c r="J362" s="13" t="s">
        <v>1013</v>
      </c>
      <c r="K362" s="12"/>
      <c r="L362" s="12" t="s">
        <v>2139</v>
      </c>
      <c r="M362" s="12" t="s">
        <v>2155</v>
      </c>
      <c r="N362" s="12" t="s">
        <v>352</v>
      </c>
      <c r="O362" s="12" t="s">
        <v>102</v>
      </c>
      <c r="P362" s="12" t="s">
        <v>103</v>
      </c>
      <c r="Q362" s="12" t="s">
        <v>104</v>
      </c>
      <c r="R362" s="14" t="n">
        <v>9</v>
      </c>
      <c r="S362" s="14" t="s">
        <v>129</v>
      </c>
      <c r="T362" s="14" t="s">
        <v>106</v>
      </c>
      <c r="U362" s="14" t="n">
        <v>2028</v>
      </c>
      <c r="V362" s="12" t="s">
        <v>107</v>
      </c>
      <c r="W362" s="14" t="s">
        <v>2141</v>
      </c>
      <c r="X362" s="15" t="n">
        <f aca="false">IF(OR($S362="%",$R362=""),"",$R362*INDEX(Cambi!$J$2:$J$5,MATCH($S362,Cambi!$I$2:$I$5,0))/IF($T362="EUR",1,INDEX(Cambi!$D:$D,MATCH($T362&amp;"|"&amp;$U362,Cambi!$C:$C,0))))</f>
        <v>9000</v>
      </c>
      <c r="Y362" s="12" t="s">
        <v>109</v>
      </c>
      <c r="Z362" s="12" t="s">
        <v>109</v>
      </c>
      <c r="AA362" s="12" t="s">
        <v>1016</v>
      </c>
      <c r="AB362" s="16" t="s">
        <v>110</v>
      </c>
      <c r="AC362" s="16" t="s">
        <v>1017</v>
      </c>
      <c r="AD362" s="12" t="s">
        <v>112</v>
      </c>
      <c r="AE362" s="12" t="s">
        <v>1018</v>
      </c>
      <c r="AF362" s="12" t="s">
        <v>2142</v>
      </c>
      <c r="AG362" s="12" t="s">
        <v>284</v>
      </c>
      <c r="AH362" s="12" t="s">
        <v>116</v>
      </c>
      <c r="AI362" s="12" t="s">
        <v>117</v>
      </c>
      <c r="AJ362" s="12" t="s">
        <v>2143</v>
      </c>
      <c r="AK362" s="12" t="s">
        <v>4</v>
      </c>
    </row>
    <row r="363" customFormat="false" ht="15" hidden="false" customHeight="false" outlineLevel="0" collapsed="false">
      <c r="A363" s="11" t="n">
        <v>362</v>
      </c>
      <c r="B363" s="12" t="s">
        <v>1009</v>
      </c>
      <c r="C363" s="12" t="s">
        <v>2125</v>
      </c>
      <c r="D363" s="12" t="s">
        <v>2126</v>
      </c>
      <c r="E363" s="12" t="s">
        <v>759</v>
      </c>
      <c r="F363" s="12" t="s">
        <v>1010</v>
      </c>
      <c r="G363" s="12" t="s">
        <v>581</v>
      </c>
      <c r="H363" s="12" t="s">
        <v>1011</v>
      </c>
      <c r="I363" s="12" t="s">
        <v>1012</v>
      </c>
      <c r="J363" s="13" t="s">
        <v>1013</v>
      </c>
      <c r="K363" s="12"/>
      <c r="L363" s="12" t="s">
        <v>2144</v>
      </c>
      <c r="M363" s="12" t="s">
        <v>2156</v>
      </c>
      <c r="N363" s="12" t="s">
        <v>352</v>
      </c>
      <c r="O363" s="12" t="s">
        <v>196</v>
      </c>
      <c r="P363" s="12" t="s">
        <v>155</v>
      </c>
      <c r="Q363" s="12" t="s">
        <v>787</v>
      </c>
      <c r="R363" s="14" t="n">
        <v>50</v>
      </c>
      <c r="S363" s="14" t="s">
        <v>197</v>
      </c>
      <c r="T363" s="14"/>
      <c r="U363" s="14" t="n">
        <v>2028</v>
      </c>
      <c r="V363" s="12" t="s">
        <v>107</v>
      </c>
      <c r="W363" s="14"/>
      <c r="X363" s="15" t="str">
        <f aca="false">IF(OR($S363="%",$R363=""),"",$R363*INDEX(Cambi!$J$2:$J$5,MATCH($S363,Cambi!$I$2:$I$5,0))/IF($T363="EUR",1,INDEX(Cambi!$D:$D,MATCH($T363&amp;"|"&amp;$U363,Cambi!$C:$C,0))))</f>
        <v/>
      </c>
      <c r="Y363" s="12" t="s">
        <v>109</v>
      </c>
      <c r="Z363" s="12" t="s">
        <v>109</v>
      </c>
      <c r="AA363" s="12" t="s">
        <v>1016</v>
      </c>
      <c r="AB363" s="16" t="s">
        <v>110</v>
      </c>
      <c r="AC363" s="16" t="s">
        <v>1017</v>
      </c>
      <c r="AD363" s="12" t="s">
        <v>112</v>
      </c>
      <c r="AE363" s="12" t="s">
        <v>1018</v>
      </c>
      <c r="AF363" s="12" t="s">
        <v>2146</v>
      </c>
      <c r="AG363" s="12" t="s">
        <v>284</v>
      </c>
      <c r="AH363" s="12" t="s">
        <v>116</v>
      </c>
      <c r="AI363" s="12" t="s">
        <v>117</v>
      </c>
      <c r="AJ363" s="12" t="s">
        <v>2147</v>
      </c>
      <c r="AK363" s="12" t="s">
        <v>4</v>
      </c>
    </row>
    <row r="364" customFormat="false" ht="15" hidden="false" customHeight="false" outlineLevel="0" collapsed="false">
      <c r="A364" s="11" t="n">
        <v>363</v>
      </c>
      <c r="B364" s="12" t="s">
        <v>1009</v>
      </c>
      <c r="C364" s="12" t="s">
        <v>2125</v>
      </c>
      <c r="D364" s="12" t="s">
        <v>2126</v>
      </c>
      <c r="E364" s="12" t="s">
        <v>759</v>
      </c>
      <c r="F364" s="12" t="s">
        <v>1010</v>
      </c>
      <c r="G364" s="12" t="s">
        <v>581</v>
      </c>
      <c r="H364" s="12" t="s">
        <v>1011</v>
      </c>
      <c r="I364" s="12" t="s">
        <v>1012</v>
      </c>
      <c r="J364" s="13" t="s">
        <v>1013</v>
      </c>
      <c r="K364" s="12"/>
      <c r="L364" s="12" t="s">
        <v>2148</v>
      </c>
      <c r="M364" s="12" t="s">
        <v>2157</v>
      </c>
      <c r="N364" s="12" t="s">
        <v>352</v>
      </c>
      <c r="O364" s="12" t="s">
        <v>196</v>
      </c>
      <c r="P364" s="12" t="s">
        <v>155</v>
      </c>
      <c r="Q364" s="12" t="s">
        <v>1027</v>
      </c>
      <c r="R364" s="14" t="n">
        <v>50</v>
      </c>
      <c r="S364" s="14" t="s">
        <v>197</v>
      </c>
      <c r="T364" s="14"/>
      <c r="U364" s="14" t="n">
        <v>2028</v>
      </c>
      <c r="V364" s="12" t="s">
        <v>107</v>
      </c>
      <c r="W364" s="14"/>
      <c r="X364" s="15" t="str">
        <f aca="false">IF(OR($S364="%",$R364=""),"",$R364*INDEX(Cambi!$J$2:$J$5,MATCH($S364,Cambi!$I$2:$I$5,0))/IF($T364="EUR",1,INDEX(Cambi!$D:$D,MATCH($T364&amp;"|"&amp;$U364,Cambi!$C:$C,0))))</f>
        <v/>
      </c>
      <c r="Y364" s="12" t="s">
        <v>109</v>
      </c>
      <c r="Z364" s="12" t="s">
        <v>109</v>
      </c>
      <c r="AA364" s="12" t="s">
        <v>1016</v>
      </c>
      <c r="AB364" s="16" t="s">
        <v>110</v>
      </c>
      <c r="AC364" s="16" t="s">
        <v>1017</v>
      </c>
      <c r="AD364" s="12" t="s">
        <v>112</v>
      </c>
      <c r="AE364" s="12" t="s">
        <v>1018</v>
      </c>
      <c r="AF364" s="12" t="s">
        <v>2146</v>
      </c>
      <c r="AG364" s="12" t="s">
        <v>284</v>
      </c>
      <c r="AH364" s="12" t="s">
        <v>116</v>
      </c>
      <c r="AI364" s="12" t="s">
        <v>117</v>
      </c>
      <c r="AJ364" s="12" t="s">
        <v>2147</v>
      </c>
      <c r="AK364" s="12" t="s">
        <v>4</v>
      </c>
    </row>
    <row r="365" customFormat="false" ht="15" hidden="false" customHeight="false" outlineLevel="0" collapsed="false">
      <c r="A365" s="11" t="n">
        <v>364</v>
      </c>
      <c r="B365" s="12" t="s">
        <v>2158</v>
      </c>
      <c r="C365" s="12" t="s">
        <v>2125</v>
      </c>
      <c r="D365" s="12" t="s">
        <v>2126</v>
      </c>
      <c r="E365" s="12" t="s">
        <v>759</v>
      </c>
      <c r="F365" s="12" t="s">
        <v>2159</v>
      </c>
      <c r="G365" s="12" t="s">
        <v>345</v>
      </c>
      <c r="H365" s="12" t="s">
        <v>2160</v>
      </c>
      <c r="I365" s="12" t="s">
        <v>2161</v>
      </c>
      <c r="J365" s="13" t="s">
        <v>2162</v>
      </c>
      <c r="K365" s="12" t="s">
        <v>2163</v>
      </c>
      <c r="L365" s="12" t="s">
        <v>2164</v>
      </c>
      <c r="M365" s="12" t="s">
        <v>2165</v>
      </c>
      <c r="N365" s="12" t="s">
        <v>352</v>
      </c>
      <c r="O365" s="12" t="s">
        <v>102</v>
      </c>
      <c r="P365" s="12" t="s">
        <v>155</v>
      </c>
      <c r="Q365" s="12" t="s">
        <v>799</v>
      </c>
      <c r="R365" s="14" t="n">
        <v>4.7</v>
      </c>
      <c r="S365" s="14" t="s">
        <v>129</v>
      </c>
      <c r="T365" s="14" t="s">
        <v>106</v>
      </c>
      <c r="U365" s="14" t="n">
        <v>2024</v>
      </c>
      <c r="V365" s="12" t="s">
        <v>198</v>
      </c>
      <c r="W365" s="14" t="s">
        <v>2166</v>
      </c>
      <c r="X365" s="15" t="n">
        <f aca="false">IF(OR($S365="%",$R365=""),"",$R365*INDEX(Cambi!$J$2:$J$5,MATCH($S365,Cambi!$I$2:$I$5,0))/IF($T365="EUR",1,INDEX(Cambi!$D:$D,MATCH($T365&amp;"|"&amp;$U365,Cambi!$C:$C,0))))</f>
        <v>4700</v>
      </c>
      <c r="Y365" s="12" t="s">
        <v>109</v>
      </c>
      <c r="Z365" s="12" t="s">
        <v>109</v>
      </c>
      <c r="AA365" s="12" t="s">
        <v>109</v>
      </c>
      <c r="AB365" s="16" t="s">
        <v>679</v>
      </c>
      <c r="AC365" s="16" t="s">
        <v>2167</v>
      </c>
      <c r="AD365" s="12" t="s">
        <v>112</v>
      </c>
      <c r="AE365" s="12" t="s">
        <v>2168</v>
      </c>
      <c r="AF365" s="12" t="s">
        <v>2169</v>
      </c>
      <c r="AG365" s="12" t="s">
        <v>498</v>
      </c>
      <c r="AH365" s="12" t="s">
        <v>116</v>
      </c>
      <c r="AI365" s="12" t="s">
        <v>285</v>
      </c>
      <c r="AJ365" s="12" t="s">
        <v>266</v>
      </c>
      <c r="AK365" s="12" t="s">
        <v>4</v>
      </c>
    </row>
    <row r="366" customFormat="false" ht="15" hidden="false" customHeight="false" outlineLevel="0" collapsed="false">
      <c r="A366" s="11" t="n">
        <v>365</v>
      </c>
      <c r="B366" s="12" t="s">
        <v>2158</v>
      </c>
      <c r="C366" s="12" t="s">
        <v>2125</v>
      </c>
      <c r="D366" s="12" t="s">
        <v>2126</v>
      </c>
      <c r="E366" s="12" t="s">
        <v>759</v>
      </c>
      <c r="F366" s="12" t="s">
        <v>2159</v>
      </c>
      <c r="G366" s="12" t="s">
        <v>345</v>
      </c>
      <c r="H366" s="12" t="s">
        <v>2160</v>
      </c>
      <c r="I366" s="12" t="s">
        <v>2161</v>
      </c>
      <c r="J366" s="13" t="s">
        <v>2162</v>
      </c>
      <c r="K366" s="12" t="s">
        <v>2163</v>
      </c>
      <c r="L366" s="12" t="s">
        <v>2170</v>
      </c>
      <c r="M366" s="12" t="s">
        <v>2171</v>
      </c>
      <c r="N366" s="12" t="s">
        <v>352</v>
      </c>
      <c r="O366" s="12" t="s">
        <v>102</v>
      </c>
      <c r="P366" s="12" t="s">
        <v>155</v>
      </c>
      <c r="Q366" s="12" t="s">
        <v>794</v>
      </c>
      <c r="R366" s="14" t="n">
        <v>1.2</v>
      </c>
      <c r="S366" s="14" t="s">
        <v>129</v>
      </c>
      <c r="T366" s="14" t="s">
        <v>106</v>
      </c>
      <c r="U366" s="14" t="n">
        <v>2024</v>
      </c>
      <c r="V366" s="12" t="s">
        <v>198</v>
      </c>
      <c r="W366" s="14" t="s">
        <v>2172</v>
      </c>
      <c r="X366" s="15" t="n">
        <f aca="false">IF(OR($S366="%",$R366=""),"",$R366*INDEX(Cambi!$J$2:$J$5,MATCH($S366,Cambi!$I$2:$I$5,0))/IF($T366="EUR",1,INDEX(Cambi!$D:$D,MATCH($T366&amp;"|"&amp;$U366,Cambi!$C:$C,0))))</f>
        <v>1200</v>
      </c>
      <c r="Y366" s="12" t="s">
        <v>109</v>
      </c>
      <c r="Z366" s="12" t="s">
        <v>109</v>
      </c>
      <c r="AA366" s="12" t="s">
        <v>109</v>
      </c>
      <c r="AB366" s="16" t="s">
        <v>679</v>
      </c>
      <c r="AC366" s="16" t="s">
        <v>2167</v>
      </c>
      <c r="AD366" s="12" t="s">
        <v>112</v>
      </c>
      <c r="AE366" s="12" t="s">
        <v>2168</v>
      </c>
      <c r="AF366" s="12" t="s">
        <v>2173</v>
      </c>
      <c r="AG366" s="12" t="s">
        <v>498</v>
      </c>
      <c r="AH366" s="12" t="s">
        <v>116</v>
      </c>
      <c r="AI366" s="12" t="s">
        <v>285</v>
      </c>
      <c r="AJ366" s="12" t="s">
        <v>2174</v>
      </c>
      <c r="AK366" s="12" t="s">
        <v>4</v>
      </c>
    </row>
    <row r="367" customFormat="false" ht="15" hidden="false" customHeight="false" outlineLevel="0" collapsed="false">
      <c r="A367" s="11" t="n">
        <v>366</v>
      </c>
      <c r="B367" s="12" t="s">
        <v>2175</v>
      </c>
      <c r="C367" s="12" t="s">
        <v>2125</v>
      </c>
      <c r="D367" s="12" t="s">
        <v>2126</v>
      </c>
      <c r="E367" s="12" t="s">
        <v>759</v>
      </c>
      <c r="F367" s="12" t="s">
        <v>2159</v>
      </c>
      <c r="G367" s="12" t="s">
        <v>345</v>
      </c>
      <c r="H367" s="12" t="s">
        <v>2176</v>
      </c>
      <c r="I367" s="12" t="s">
        <v>2177</v>
      </c>
      <c r="J367" s="13" t="s">
        <v>2178</v>
      </c>
      <c r="K367" s="12" t="s">
        <v>2163</v>
      </c>
      <c r="L367" s="12" t="s">
        <v>2179</v>
      </c>
      <c r="M367" s="12" t="s">
        <v>2180</v>
      </c>
      <c r="N367" s="12" t="s">
        <v>352</v>
      </c>
      <c r="O367" s="12" t="s">
        <v>102</v>
      </c>
      <c r="P367" s="12" t="s">
        <v>155</v>
      </c>
      <c r="Q367" s="12" t="s">
        <v>799</v>
      </c>
      <c r="R367" s="14" t="n">
        <v>5.1</v>
      </c>
      <c r="S367" s="14" t="s">
        <v>129</v>
      </c>
      <c r="T367" s="14" t="s">
        <v>106</v>
      </c>
      <c r="U367" s="14" t="n">
        <v>2025</v>
      </c>
      <c r="V367" s="12" t="s">
        <v>107</v>
      </c>
      <c r="W367" s="14" t="s">
        <v>2181</v>
      </c>
      <c r="X367" s="15" t="n">
        <f aca="false">IF(OR($S367="%",$R367=""),"",$R367*INDEX(Cambi!$J$2:$J$5,MATCH($S367,Cambi!$I$2:$I$5,0))/IF($T367="EUR",1,INDEX(Cambi!$D:$D,MATCH($T367&amp;"|"&amp;$U367,Cambi!$C:$C,0))))</f>
        <v>5100</v>
      </c>
      <c r="Y367" s="12" t="s">
        <v>109</v>
      </c>
      <c r="Z367" s="12" t="s">
        <v>109</v>
      </c>
      <c r="AA367" s="12" t="s">
        <v>109</v>
      </c>
      <c r="AB367" s="16" t="s">
        <v>679</v>
      </c>
      <c r="AC367" s="16" t="s">
        <v>2167</v>
      </c>
      <c r="AD367" s="12" t="s">
        <v>112</v>
      </c>
      <c r="AE367" s="12" t="s">
        <v>2168</v>
      </c>
      <c r="AF367" s="12" t="s">
        <v>2182</v>
      </c>
      <c r="AG367" s="12" t="s">
        <v>498</v>
      </c>
      <c r="AH367" s="12" t="s">
        <v>116</v>
      </c>
      <c r="AI367" s="12" t="s">
        <v>285</v>
      </c>
      <c r="AJ367" s="12" t="s">
        <v>2183</v>
      </c>
      <c r="AK367" s="12" t="s">
        <v>4</v>
      </c>
    </row>
    <row r="368" customFormat="false" ht="15" hidden="false" customHeight="false" outlineLevel="0" collapsed="false">
      <c r="A368" s="11" t="n">
        <v>367</v>
      </c>
      <c r="B368" s="12" t="s">
        <v>2184</v>
      </c>
      <c r="C368" s="12" t="s">
        <v>2125</v>
      </c>
      <c r="D368" s="12" t="s">
        <v>2126</v>
      </c>
      <c r="E368" s="12" t="s">
        <v>759</v>
      </c>
      <c r="F368" s="12" t="s">
        <v>2159</v>
      </c>
      <c r="G368" s="12" t="s">
        <v>345</v>
      </c>
      <c r="H368" s="12" t="s">
        <v>2185</v>
      </c>
      <c r="I368" s="12" t="s">
        <v>2186</v>
      </c>
      <c r="J368" s="13" t="s">
        <v>2187</v>
      </c>
      <c r="K368" s="12" t="s">
        <v>2188</v>
      </c>
      <c r="L368" s="12" t="s">
        <v>2189</v>
      </c>
      <c r="M368" s="12" t="s">
        <v>2190</v>
      </c>
      <c r="N368" s="12" t="s">
        <v>352</v>
      </c>
      <c r="O368" s="12" t="s">
        <v>102</v>
      </c>
      <c r="P368" s="12" t="s">
        <v>155</v>
      </c>
      <c r="Q368" s="12" t="s">
        <v>787</v>
      </c>
      <c r="R368" s="14" t="n">
        <v>2.4</v>
      </c>
      <c r="S368" s="14" t="s">
        <v>129</v>
      </c>
      <c r="T368" s="14" t="s">
        <v>106</v>
      </c>
      <c r="U368" s="14" t="n">
        <v>2019</v>
      </c>
      <c r="V368" s="12" t="s">
        <v>198</v>
      </c>
      <c r="W368" s="14" t="s">
        <v>2191</v>
      </c>
      <c r="X368" s="15" t="n">
        <f aca="false">IF(OR($S368="%",$R368=""),"",$R368*INDEX(Cambi!$J$2:$J$5,MATCH($S368,Cambi!$I$2:$I$5,0))/IF($T368="EUR",1,INDEX(Cambi!$D:$D,MATCH($T368&amp;"|"&amp;$U368,Cambi!$C:$C,0))))</f>
        <v>2400</v>
      </c>
      <c r="Y368" s="12" t="s">
        <v>109</v>
      </c>
      <c r="Z368" s="12" t="s">
        <v>109</v>
      </c>
      <c r="AA368" s="12" t="s">
        <v>851</v>
      </c>
      <c r="AB368" s="16" t="s">
        <v>679</v>
      </c>
      <c r="AC368" s="16" t="s">
        <v>2192</v>
      </c>
      <c r="AD368" s="12" t="s">
        <v>281</v>
      </c>
      <c r="AE368" s="12" t="s">
        <v>2193</v>
      </c>
      <c r="AF368" s="12" t="s">
        <v>2194</v>
      </c>
      <c r="AG368" s="12" t="s">
        <v>284</v>
      </c>
      <c r="AH368" s="12" t="s">
        <v>116</v>
      </c>
      <c r="AI368" s="12" t="s">
        <v>285</v>
      </c>
      <c r="AJ368" s="12" t="s">
        <v>2195</v>
      </c>
      <c r="AK368" s="12" t="s">
        <v>4</v>
      </c>
    </row>
    <row r="369" customFormat="false" ht="15" hidden="false" customHeight="false" outlineLevel="0" collapsed="false">
      <c r="A369" s="11" t="n">
        <v>368</v>
      </c>
      <c r="B369" s="12" t="s">
        <v>2184</v>
      </c>
      <c r="C369" s="12" t="s">
        <v>2125</v>
      </c>
      <c r="D369" s="12" t="s">
        <v>2126</v>
      </c>
      <c r="E369" s="12" t="s">
        <v>759</v>
      </c>
      <c r="F369" s="12" t="s">
        <v>2159</v>
      </c>
      <c r="G369" s="12" t="s">
        <v>345</v>
      </c>
      <c r="H369" s="12" t="s">
        <v>2185</v>
      </c>
      <c r="I369" s="12" t="s">
        <v>2186</v>
      </c>
      <c r="J369" s="13" t="s">
        <v>2187</v>
      </c>
      <c r="K369" s="12" t="s">
        <v>2188</v>
      </c>
      <c r="L369" s="12" t="s">
        <v>2196</v>
      </c>
      <c r="M369" s="12" t="s">
        <v>2197</v>
      </c>
      <c r="N369" s="12" t="s">
        <v>352</v>
      </c>
      <c r="O369" s="12" t="s">
        <v>102</v>
      </c>
      <c r="P369" s="12" t="s">
        <v>155</v>
      </c>
      <c r="Q369" s="12" t="s">
        <v>794</v>
      </c>
      <c r="R369" s="14" t="n">
        <v>780</v>
      </c>
      <c r="S369" s="14" t="s">
        <v>105</v>
      </c>
      <c r="T369" s="14" t="s">
        <v>106</v>
      </c>
      <c r="U369" s="14" t="n">
        <v>2019</v>
      </c>
      <c r="V369" s="12" t="s">
        <v>198</v>
      </c>
      <c r="W369" s="14" t="s">
        <v>2198</v>
      </c>
      <c r="X369" s="15" t="n">
        <f aca="false">IF(OR($S369="%",$R369=""),"",$R369*INDEX(Cambi!$J$2:$J$5,MATCH($S369,Cambi!$I$2:$I$5,0))/IF($T369="EUR",1,INDEX(Cambi!$D:$D,MATCH($T369&amp;"|"&amp;$U369,Cambi!$C:$C,0))))</f>
        <v>780</v>
      </c>
      <c r="Y369" s="12" t="s">
        <v>109</v>
      </c>
      <c r="Z369" s="12" t="s">
        <v>109</v>
      </c>
      <c r="AA369" s="12" t="s">
        <v>851</v>
      </c>
      <c r="AB369" s="16" t="s">
        <v>679</v>
      </c>
      <c r="AC369" s="16" t="s">
        <v>2192</v>
      </c>
      <c r="AD369" s="12" t="s">
        <v>281</v>
      </c>
      <c r="AE369" s="12" t="s">
        <v>2193</v>
      </c>
      <c r="AF369" s="12" t="s">
        <v>2199</v>
      </c>
      <c r="AG369" s="12" t="s">
        <v>284</v>
      </c>
      <c r="AH369" s="12" t="s">
        <v>116</v>
      </c>
      <c r="AI369" s="12" t="s">
        <v>285</v>
      </c>
      <c r="AJ369" s="12" t="s">
        <v>2200</v>
      </c>
      <c r="AK369" s="12" t="s">
        <v>4</v>
      </c>
    </row>
    <row r="370" customFormat="false" ht="15" hidden="false" customHeight="false" outlineLevel="0" collapsed="false">
      <c r="A370" s="11" t="n">
        <v>369</v>
      </c>
      <c r="B370" s="12" t="s">
        <v>2184</v>
      </c>
      <c r="C370" s="12" t="s">
        <v>2125</v>
      </c>
      <c r="D370" s="12" t="s">
        <v>2126</v>
      </c>
      <c r="E370" s="12" t="s">
        <v>759</v>
      </c>
      <c r="F370" s="12" t="s">
        <v>2159</v>
      </c>
      <c r="G370" s="12" t="s">
        <v>345</v>
      </c>
      <c r="H370" s="12" t="s">
        <v>2185</v>
      </c>
      <c r="I370" s="12" t="s">
        <v>2186</v>
      </c>
      <c r="J370" s="13" t="s">
        <v>2187</v>
      </c>
      <c r="K370" s="12" t="s">
        <v>2188</v>
      </c>
      <c r="L370" s="12" t="s">
        <v>2201</v>
      </c>
      <c r="M370" s="12" t="s">
        <v>2202</v>
      </c>
      <c r="N370" s="12" t="s">
        <v>352</v>
      </c>
      <c r="O370" s="12" t="s">
        <v>102</v>
      </c>
      <c r="P370" s="12" t="s">
        <v>103</v>
      </c>
      <c r="Q370" s="12" t="s">
        <v>104</v>
      </c>
      <c r="R370" s="14" t="n">
        <v>4.6</v>
      </c>
      <c r="S370" s="14" t="s">
        <v>129</v>
      </c>
      <c r="T370" s="14" t="s">
        <v>106</v>
      </c>
      <c r="U370" s="14" t="n">
        <v>2019</v>
      </c>
      <c r="V370" s="12" t="s">
        <v>198</v>
      </c>
      <c r="W370" s="14" t="s">
        <v>2203</v>
      </c>
      <c r="X370" s="15" t="n">
        <f aca="false">IF(OR($S370="%",$R370=""),"",$R370*INDEX(Cambi!$J$2:$J$5,MATCH($S370,Cambi!$I$2:$I$5,0))/IF($T370="EUR",1,INDEX(Cambi!$D:$D,MATCH($T370&amp;"|"&amp;$U370,Cambi!$C:$C,0))))</f>
        <v>4600</v>
      </c>
      <c r="Y370" s="12" t="s">
        <v>109</v>
      </c>
      <c r="Z370" s="12" t="s">
        <v>109</v>
      </c>
      <c r="AA370" s="12" t="s">
        <v>851</v>
      </c>
      <c r="AB370" s="16" t="s">
        <v>679</v>
      </c>
      <c r="AC370" s="16" t="s">
        <v>2192</v>
      </c>
      <c r="AD370" s="12" t="s">
        <v>281</v>
      </c>
      <c r="AE370" s="12" t="s">
        <v>2193</v>
      </c>
      <c r="AF370" s="12" t="s">
        <v>2204</v>
      </c>
      <c r="AG370" s="12" t="s">
        <v>284</v>
      </c>
      <c r="AH370" s="12" t="s">
        <v>116</v>
      </c>
      <c r="AI370" s="12" t="s">
        <v>285</v>
      </c>
      <c r="AJ370" s="12" t="s">
        <v>2205</v>
      </c>
      <c r="AK370" s="12" t="s">
        <v>4</v>
      </c>
    </row>
    <row r="371" customFormat="false" ht="15" hidden="false" customHeight="false" outlineLevel="0" collapsed="false">
      <c r="A371" s="11" t="n">
        <v>370</v>
      </c>
      <c r="B371" s="12" t="s">
        <v>2184</v>
      </c>
      <c r="C371" s="12" t="s">
        <v>2125</v>
      </c>
      <c r="D371" s="12" t="s">
        <v>2126</v>
      </c>
      <c r="E371" s="12" t="s">
        <v>759</v>
      </c>
      <c r="F371" s="12" t="s">
        <v>2159</v>
      </c>
      <c r="G371" s="12" t="s">
        <v>345</v>
      </c>
      <c r="H371" s="12" t="s">
        <v>2185</v>
      </c>
      <c r="I371" s="12" t="s">
        <v>2186</v>
      </c>
      <c r="J371" s="13" t="s">
        <v>2187</v>
      </c>
      <c r="K371" s="12" t="s">
        <v>2188</v>
      </c>
      <c r="L371" s="12" t="s">
        <v>2206</v>
      </c>
      <c r="M371" s="12" t="s">
        <v>2207</v>
      </c>
      <c r="N371" s="12" t="s">
        <v>352</v>
      </c>
      <c r="O371" s="12" t="s">
        <v>102</v>
      </c>
      <c r="P371" s="12" t="s">
        <v>155</v>
      </c>
      <c r="Q371" s="12" t="s">
        <v>799</v>
      </c>
      <c r="R371" s="14" t="n">
        <v>1.4</v>
      </c>
      <c r="S371" s="14" t="s">
        <v>129</v>
      </c>
      <c r="T371" s="14" t="s">
        <v>106</v>
      </c>
      <c r="U371" s="14" t="n">
        <v>2019</v>
      </c>
      <c r="V371" s="12" t="s">
        <v>198</v>
      </c>
      <c r="W371" s="14" t="s">
        <v>2208</v>
      </c>
      <c r="X371" s="15" t="n">
        <f aca="false">IF(OR($S371="%",$R371=""),"",$R371*INDEX(Cambi!$J$2:$J$5,MATCH($S371,Cambi!$I$2:$I$5,0))/IF($T371="EUR",1,INDEX(Cambi!$D:$D,MATCH($T371&amp;"|"&amp;$U371,Cambi!$C:$C,0))))</f>
        <v>1400</v>
      </c>
      <c r="Y371" s="12" t="s">
        <v>109</v>
      </c>
      <c r="Z371" s="12" t="s">
        <v>109</v>
      </c>
      <c r="AA371" s="12" t="s">
        <v>851</v>
      </c>
      <c r="AB371" s="16" t="s">
        <v>679</v>
      </c>
      <c r="AC371" s="16" t="s">
        <v>2192</v>
      </c>
      <c r="AD371" s="12" t="s">
        <v>281</v>
      </c>
      <c r="AE371" s="12" t="s">
        <v>2193</v>
      </c>
      <c r="AF371" s="12" t="s">
        <v>2209</v>
      </c>
      <c r="AG371" s="12" t="s">
        <v>284</v>
      </c>
      <c r="AH371" s="12" t="s">
        <v>116</v>
      </c>
      <c r="AI371" s="12" t="s">
        <v>285</v>
      </c>
      <c r="AJ371" s="12" t="s">
        <v>2195</v>
      </c>
      <c r="AK371" s="12" t="s">
        <v>4</v>
      </c>
    </row>
    <row r="372" customFormat="false" ht="15" hidden="false" customHeight="false" outlineLevel="0" collapsed="false">
      <c r="A372" s="11" t="n">
        <v>371</v>
      </c>
      <c r="B372" s="12" t="s">
        <v>2184</v>
      </c>
      <c r="C372" s="12" t="s">
        <v>2125</v>
      </c>
      <c r="D372" s="12" t="s">
        <v>2126</v>
      </c>
      <c r="E372" s="12" t="s">
        <v>759</v>
      </c>
      <c r="F372" s="12" t="s">
        <v>2159</v>
      </c>
      <c r="G372" s="12" t="s">
        <v>345</v>
      </c>
      <c r="H372" s="12" t="s">
        <v>2185</v>
      </c>
      <c r="I372" s="12" t="s">
        <v>2186</v>
      </c>
      <c r="J372" s="13" t="s">
        <v>2187</v>
      </c>
      <c r="K372" s="12" t="s">
        <v>2188</v>
      </c>
      <c r="L372" s="12" t="s">
        <v>2210</v>
      </c>
      <c r="M372" s="12" t="s">
        <v>2211</v>
      </c>
      <c r="N372" s="12" t="s">
        <v>352</v>
      </c>
      <c r="O372" s="12" t="s">
        <v>102</v>
      </c>
      <c r="P372" s="12" t="s">
        <v>103</v>
      </c>
      <c r="Q372" s="12" t="s">
        <v>104</v>
      </c>
      <c r="R372" s="14" t="n">
        <v>4.9</v>
      </c>
      <c r="S372" s="14" t="s">
        <v>129</v>
      </c>
      <c r="T372" s="14" t="s">
        <v>106</v>
      </c>
      <c r="U372" s="14" t="n">
        <v>2020</v>
      </c>
      <c r="V372" s="12" t="s">
        <v>107</v>
      </c>
      <c r="W372" s="14" t="s">
        <v>2212</v>
      </c>
      <c r="X372" s="15" t="n">
        <f aca="false">IF(OR($S372="%",$R372=""),"",$R372*INDEX(Cambi!$J$2:$J$5,MATCH($S372,Cambi!$I$2:$I$5,0))/IF($T372="EUR",1,INDEX(Cambi!$D:$D,MATCH($T372&amp;"|"&amp;$U372,Cambi!$C:$C,0))))</f>
        <v>4900</v>
      </c>
      <c r="Y372" s="12" t="s">
        <v>109</v>
      </c>
      <c r="Z372" s="12" t="s">
        <v>109</v>
      </c>
      <c r="AA372" s="12" t="s">
        <v>851</v>
      </c>
      <c r="AB372" s="16" t="s">
        <v>679</v>
      </c>
      <c r="AC372" s="16" t="s">
        <v>2192</v>
      </c>
      <c r="AD372" s="12" t="s">
        <v>281</v>
      </c>
      <c r="AE372" s="12" t="s">
        <v>2193</v>
      </c>
      <c r="AF372" s="12" t="s">
        <v>2213</v>
      </c>
      <c r="AG372" s="12" t="s">
        <v>284</v>
      </c>
      <c r="AH372" s="12" t="s">
        <v>116</v>
      </c>
      <c r="AI372" s="12" t="s">
        <v>285</v>
      </c>
      <c r="AJ372" s="12" t="s">
        <v>2195</v>
      </c>
      <c r="AK372" s="12" t="s">
        <v>4</v>
      </c>
    </row>
    <row r="373" customFormat="false" ht="15" hidden="false" customHeight="false" outlineLevel="0" collapsed="false">
      <c r="A373" s="11" t="n">
        <v>372</v>
      </c>
      <c r="B373" s="12" t="s">
        <v>2214</v>
      </c>
      <c r="C373" s="12" t="s">
        <v>2125</v>
      </c>
      <c r="D373" s="12" t="s">
        <v>2126</v>
      </c>
      <c r="E373" s="12" t="s">
        <v>759</v>
      </c>
      <c r="F373" s="12" t="s">
        <v>2159</v>
      </c>
      <c r="G373" s="12" t="s">
        <v>345</v>
      </c>
      <c r="H373" s="12" t="s">
        <v>2215</v>
      </c>
      <c r="I373" s="12" t="s">
        <v>2216</v>
      </c>
      <c r="J373" s="13" t="s">
        <v>2217</v>
      </c>
      <c r="K373" s="12" t="s">
        <v>2188</v>
      </c>
      <c r="L373" s="12" t="s">
        <v>2189</v>
      </c>
      <c r="M373" s="12" t="s">
        <v>2218</v>
      </c>
      <c r="N373" s="12" t="s">
        <v>352</v>
      </c>
      <c r="O373" s="12" t="s">
        <v>102</v>
      </c>
      <c r="P373" s="12" t="s">
        <v>155</v>
      </c>
      <c r="Q373" s="12" t="s">
        <v>787</v>
      </c>
      <c r="R373" s="14" t="n">
        <v>2.8</v>
      </c>
      <c r="S373" s="14" t="s">
        <v>129</v>
      </c>
      <c r="T373" s="14" t="s">
        <v>106</v>
      </c>
      <c r="U373" s="14" t="n">
        <v>2020</v>
      </c>
      <c r="V373" s="12" t="s">
        <v>198</v>
      </c>
      <c r="W373" s="14" t="s">
        <v>2219</v>
      </c>
      <c r="X373" s="15" t="n">
        <f aca="false">IF(OR($S373="%",$R373=""),"",$R373*INDEX(Cambi!$J$2:$J$5,MATCH($S373,Cambi!$I$2:$I$5,0))/IF($T373="EUR",1,INDEX(Cambi!$D:$D,MATCH($T373&amp;"|"&amp;$U373,Cambi!$C:$C,0))))</f>
        <v>2800</v>
      </c>
      <c r="Y373" s="12" t="s">
        <v>109</v>
      </c>
      <c r="Z373" s="12" t="s">
        <v>109</v>
      </c>
      <c r="AA373" s="12" t="s">
        <v>851</v>
      </c>
      <c r="AB373" s="16" t="s">
        <v>679</v>
      </c>
      <c r="AC373" s="16" t="s">
        <v>2192</v>
      </c>
      <c r="AD373" s="12" t="s">
        <v>281</v>
      </c>
      <c r="AE373" s="12" t="s">
        <v>2193</v>
      </c>
      <c r="AF373" s="12" t="s">
        <v>2220</v>
      </c>
      <c r="AG373" s="12" t="s">
        <v>284</v>
      </c>
      <c r="AH373" s="12" t="s">
        <v>116</v>
      </c>
      <c r="AI373" s="12" t="s">
        <v>285</v>
      </c>
      <c r="AJ373" s="12" t="s">
        <v>2195</v>
      </c>
      <c r="AK373" s="12" t="s">
        <v>4</v>
      </c>
    </row>
    <row r="374" customFormat="false" ht="15" hidden="false" customHeight="false" outlineLevel="0" collapsed="false">
      <c r="A374" s="11" t="n">
        <v>373</v>
      </c>
      <c r="B374" s="12" t="s">
        <v>2214</v>
      </c>
      <c r="C374" s="12" t="s">
        <v>2125</v>
      </c>
      <c r="D374" s="12" t="s">
        <v>2126</v>
      </c>
      <c r="E374" s="12" t="s">
        <v>759</v>
      </c>
      <c r="F374" s="12" t="s">
        <v>2159</v>
      </c>
      <c r="G374" s="12" t="s">
        <v>345</v>
      </c>
      <c r="H374" s="12" t="s">
        <v>2215</v>
      </c>
      <c r="I374" s="12" t="s">
        <v>2216</v>
      </c>
      <c r="J374" s="13" t="s">
        <v>2217</v>
      </c>
      <c r="K374" s="12" t="s">
        <v>2188</v>
      </c>
      <c r="L374" s="12" t="s">
        <v>2196</v>
      </c>
      <c r="M374" s="12" t="s">
        <v>2197</v>
      </c>
      <c r="N374" s="12" t="s">
        <v>352</v>
      </c>
      <c r="O374" s="12" t="s">
        <v>102</v>
      </c>
      <c r="P374" s="12" t="s">
        <v>155</v>
      </c>
      <c r="Q374" s="12" t="s">
        <v>794</v>
      </c>
      <c r="R374" s="14" t="n">
        <v>750</v>
      </c>
      <c r="S374" s="14" t="s">
        <v>105</v>
      </c>
      <c r="T374" s="14" t="s">
        <v>106</v>
      </c>
      <c r="U374" s="14" t="n">
        <v>2020</v>
      </c>
      <c r="V374" s="12" t="s">
        <v>198</v>
      </c>
      <c r="W374" s="14" t="s">
        <v>2221</v>
      </c>
      <c r="X374" s="15" t="n">
        <f aca="false">IF(OR($S374="%",$R374=""),"",$R374*INDEX(Cambi!$J$2:$J$5,MATCH($S374,Cambi!$I$2:$I$5,0))/IF($T374="EUR",1,INDEX(Cambi!$D:$D,MATCH($T374&amp;"|"&amp;$U374,Cambi!$C:$C,0))))</f>
        <v>750</v>
      </c>
      <c r="Y374" s="12" t="s">
        <v>109</v>
      </c>
      <c r="Z374" s="12" t="s">
        <v>109</v>
      </c>
      <c r="AA374" s="12" t="s">
        <v>851</v>
      </c>
      <c r="AB374" s="16" t="s">
        <v>679</v>
      </c>
      <c r="AC374" s="16" t="s">
        <v>2192</v>
      </c>
      <c r="AD374" s="12" t="s">
        <v>281</v>
      </c>
      <c r="AE374" s="12" t="s">
        <v>2193</v>
      </c>
      <c r="AF374" s="12" t="s">
        <v>2222</v>
      </c>
      <c r="AG374" s="12" t="s">
        <v>284</v>
      </c>
      <c r="AH374" s="12" t="s">
        <v>116</v>
      </c>
      <c r="AI374" s="12" t="s">
        <v>285</v>
      </c>
      <c r="AJ374" s="12" t="s">
        <v>2223</v>
      </c>
      <c r="AK374" s="12" t="s">
        <v>4</v>
      </c>
    </row>
    <row r="375" customFormat="false" ht="15" hidden="false" customHeight="false" outlineLevel="0" collapsed="false">
      <c r="A375" s="11" t="n">
        <v>374</v>
      </c>
      <c r="B375" s="12" t="s">
        <v>2214</v>
      </c>
      <c r="C375" s="12" t="s">
        <v>2125</v>
      </c>
      <c r="D375" s="12" t="s">
        <v>2126</v>
      </c>
      <c r="E375" s="12" t="s">
        <v>759</v>
      </c>
      <c r="F375" s="12" t="s">
        <v>2159</v>
      </c>
      <c r="G375" s="12" t="s">
        <v>345</v>
      </c>
      <c r="H375" s="12" t="s">
        <v>2215</v>
      </c>
      <c r="I375" s="12" t="s">
        <v>2216</v>
      </c>
      <c r="J375" s="13" t="s">
        <v>2217</v>
      </c>
      <c r="K375" s="12" t="s">
        <v>2188</v>
      </c>
      <c r="L375" s="12" t="s">
        <v>2201</v>
      </c>
      <c r="M375" s="12" t="s">
        <v>2202</v>
      </c>
      <c r="N375" s="12" t="s">
        <v>352</v>
      </c>
      <c r="O375" s="12" t="s">
        <v>102</v>
      </c>
      <c r="P375" s="12" t="s">
        <v>103</v>
      </c>
      <c r="Q375" s="12" t="s">
        <v>104</v>
      </c>
      <c r="R375" s="14" t="n">
        <v>5.2</v>
      </c>
      <c r="S375" s="14" t="s">
        <v>129</v>
      </c>
      <c r="T375" s="14" t="s">
        <v>106</v>
      </c>
      <c r="U375" s="14" t="n">
        <v>2020</v>
      </c>
      <c r="V375" s="12" t="s">
        <v>198</v>
      </c>
      <c r="W375" s="14" t="s">
        <v>2224</v>
      </c>
      <c r="X375" s="15" t="n">
        <f aca="false">IF(OR($S375="%",$R375=""),"",$R375*INDEX(Cambi!$J$2:$J$5,MATCH($S375,Cambi!$I$2:$I$5,0))/IF($T375="EUR",1,INDEX(Cambi!$D:$D,MATCH($T375&amp;"|"&amp;$U375,Cambi!$C:$C,0))))</f>
        <v>5200</v>
      </c>
      <c r="Y375" s="12" t="s">
        <v>109</v>
      </c>
      <c r="Z375" s="12" t="s">
        <v>109</v>
      </c>
      <c r="AA375" s="12" t="s">
        <v>851</v>
      </c>
      <c r="AB375" s="16" t="s">
        <v>679</v>
      </c>
      <c r="AC375" s="16" t="s">
        <v>2192</v>
      </c>
      <c r="AD375" s="12" t="s">
        <v>281</v>
      </c>
      <c r="AE375" s="12" t="s">
        <v>2193</v>
      </c>
      <c r="AF375" s="12" t="s">
        <v>2225</v>
      </c>
      <c r="AG375" s="12" t="s">
        <v>284</v>
      </c>
      <c r="AH375" s="12" t="s">
        <v>116</v>
      </c>
      <c r="AI375" s="12" t="s">
        <v>285</v>
      </c>
      <c r="AJ375" s="12" t="s">
        <v>2226</v>
      </c>
      <c r="AK375" s="12" t="s">
        <v>4</v>
      </c>
    </row>
    <row r="376" customFormat="false" ht="15" hidden="false" customHeight="false" outlineLevel="0" collapsed="false">
      <c r="A376" s="11" t="n">
        <v>375</v>
      </c>
      <c r="B376" s="12" t="s">
        <v>2214</v>
      </c>
      <c r="C376" s="12" t="s">
        <v>2125</v>
      </c>
      <c r="D376" s="12" t="s">
        <v>2126</v>
      </c>
      <c r="E376" s="12" t="s">
        <v>759</v>
      </c>
      <c r="F376" s="12" t="s">
        <v>2159</v>
      </c>
      <c r="G376" s="12" t="s">
        <v>345</v>
      </c>
      <c r="H376" s="12" t="s">
        <v>2215</v>
      </c>
      <c r="I376" s="12" t="s">
        <v>2216</v>
      </c>
      <c r="J376" s="13" t="s">
        <v>2217</v>
      </c>
      <c r="K376" s="12" t="s">
        <v>2188</v>
      </c>
      <c r="L376" s="12" t="s">
        <v>2206</v>
      </c>
      <c r="M376" s="12" t="s">
        <v>2207</v>
      </c>
      <c r="N376" s="12" t="s">
        <v>352</v>
      </c>
      <c r="O376" s="12" t="s">
        <v>102</v>
      </c>
      <c r="P376" s="12" t="s">
        <v>155</v>
      </c>
      <c r="Q376" s="12" t="s">
        <v>799</v>
      </c>
      <c r="R376" s="14" t="n">
        <v>1.6</v>
      </c>
      <c r="S376" s="14" t="s">
        <v>129</v>
      </c>
      <c r="T376" s="14" t="s">
        <v>106</v>
      </c>
      <c r="U376" s="14" t="n">
        <v>2020</v>
      </c>
      <c r="V376" s="12" t="s">
        <v>198</v>
      </c>
      <c r="W376" s="14" t="s">
        <v>2227</v>
      </c>
      <c r="X376" s="15" t="n">
        <f aca="false">IF(OR($S376="%",$R376=""),"",$R376*INDEX(Cambi!$J$2:$J$5,MATCH($S376,Cambi!$I$2:$I$5,0))/IF($T376="EUR",1,INDEX(Cambi!$D:$D,MATCH($T376&amp;"|"&amp;$U376,Cambi!$C:$C,0))))</f>
        <v>1600</v>
      </c>
      <c r="Y376" s="12" t="s">
        <v>109</v>
      </c>
      <c r="Z376" s="12" t="s">
        <v>109</v>
      </c>
      <c r="AA376" s="12" t="s">
        <v>851</v>
      </c>
      <c r="AB376" s="16" t="s">
        <v>679</v>
      </c>
      <c r="AC376" s="16" t="s">
        <v>2192</v>
      </c>
      <c r="AD376" s="12" t="s">
        <v>281</v>
      </c>
      <c r="AE376" s="12" t="s">
        <v>2193</v>
      </c>
      <c r="AF376" s="12" t="s">
        <v>2228</v>
      </c>
      <c r="AG376" s="12" t="s">
        <v>284</v>
      </c>
      <c r="AH376" s="12" t="s">
        <v>116</v>
      </c>
      <c r="AI376" s="12" t="s">
        <v>285</v>
      </c>
      <c r="AJ376" s="12" t="s">
        <v>2195</v>
      </c>
      <c r="AK376" s="12" t="s">
        <v>4</v>
      </c>
    </row>
    <row r="377" customFormat="false" ht="15" hidden="false" customHeight="false" outlineLevel="0" collapsed="false">
      <c r="A377" s="11" t="n">
        <v>376</v>
      </c>
      <c r="B377" s="12" t="s">
        <v>2214</v>
      </c>
      <c r="C377" s="12" t="s">
        <v>2125</v>
      </c>
      <c r="D377" s="12" t="s">
        <v>2126</v>
      </c>
      <c r="E377" s="12" t="s">
        <v>759</v>
      </c>
      <c r="F377" s="12" t="s">
        <v>2159</v>
      </c>
      <c r="G377" s="12" t="s">
        <v>345</v>
      </c>
      <c r="H377" s="12" t="s">
        <v>2215</v>
      </c>
      <c r="I377" s="12" t="s">
        <v>2216</v>
      </c>
      <c r="J377" s="13" t="s">
        <v>2217</v>
      </c>
      <c r="K377" s="12" t="s">
        <v>2188</v>
      </c>
      <c r="L377" s="12" t="s">
        <v>2210</v>
      </c>
      <c r="M377" s="12" t="s">
        <v>2211</v>
      </c>
      <c r="N377" s="12" t="s">
        <v>352</v>
      </c>
      <c r="O377" s="12" t="s">
        <v>102</v>
      </c>
      <c r="P377" s="12" t="s">
        <v>103</v>
      </c>
      <c r="Q377" s="12" t="s">
        <v>104</v>
      </c>
      <c r="R377" s="14" t="n">
        <v>5.7</v>
      </c>
      <c r="S377" s="14" t="s">
        <v>129</v>
      </c>
      <c r="T377" s="14" t="s">
        <v>106</v>
      </c>
      <c r="U377" s="14" t="n">
        <v>2021</v>
      </c>
      <c r="V377" s="12" t="s">
        <v>107</v>
      </c>
      <c r="W377" s="14" t="s">
        <v>2229</v>
      </c>
      <c r="X377" s="15" t="n">
        <f aca="false">IF(OR($S377="%",$R377=""),"",$R377*INDEX(Cambi!$J$2:$J$5,MATCH($S377,Cambi!$I$2:$I$5,0))/IF($T377="EUR",1,INDEX(Cambi!$D:$D,MATCH($T377&amp;"|"&amp;$U377,Cambi!$C:$C,0))))</f>
        <v>5700</v>
      </c>
      <c r="Y377" s="12" t="s">
        <v>109</v>
      </c>
      <c r="Z377" s="12" t="s">
        <v>109</v>
      </c>
      <c r="AA377" s="12" t="s">
        <v>851</v>
      </c>
      <c r="AB377" s="16" t="s">
        <v>679</v>
      </c>
      <c r="AC377" s="16" t="s">
        <v>2192</v>
      </c>
      <c r="AD377" s="12" t="s">
        <v>281</v>
      </c>
      <c r="AE377" s="12" t="s">
        <v>2193</v>
      </c>
      <c r="AF377" s="12" t="s">
        <v>2230</v>
      </c>
      <c r="AG377" s="12" t="s">
        <v>284</v>
      </c>
      <c r="AH377" s="12" t="s">
        <v>116</v>
      </c>
      <c r="AI377" s="12" t="s">
        <v>285</v>
      </c>
      <c r="AJ377" s="12" t="s">
        <v>2195</v>
      </c>
      <c r="AK377" s="12" t="s">
        <v>4</v>
      </c>
    </row>
    <row r="378" customFormat="false" ht="15" hidden="false" customHeight="false" outlineLevel="0" collapsed="false">
      <c r="A378" s="11" t="n">
        <v>377</v>
      </c>
      <c r="B378" s="12" t="s">
        <v>2231</v>
      </c>
      <c r="C378" s="12" t="s">
        <v>2125</v>
      </c>
      <c r="D378" s="12" t="s">
        <v>2126</v>
      </c>
      <c r="E378" s="12" t="s">
        <v>759</v>
      </c>
      <c r="F378" s="12" t="s">
        <v>2159</v>
      </c>
      <c r="G378" s="12" t="s">
        <v>345</v>
      </c>
      <c r="H378" s="12" t="s">
        <v>2232</v>
      </c>
      <c r="I378" s="12" t="s">
        <v>2233</v>
      </c>
      <c r="J378" s="13" t="s">
        <v>2234</v>
      </c>
      <c r="K378" s="12" t="s">
        <v>2235</v>
      </c>
      <c r="L378" s="12" t="s">
        <v>2236</v>
      </c>
      <c r="M378" s="12" t="s">
        <v>2237</v>
      </c>
      <c r="N378" s="12" t="s">
        <v>352</v>
      </c>
      <c r="O378" s="12" t="s">
        <v>102</v>
      </c>
      <c r="P378" s="12" t="s">
        <v>103</v>
      </c>
      <c r="Q378" s="12" t="s">
        <v>104</v>
      </c>
      <c r="R378" s="14" t="n">
        <v>5.6</v>
      </c>
      <c r="S378" s="14" t="s">
        <v>129</v>
      </c>
      <c r="T378" s="14" t="s">
        <v>106</v>
      </c>
      <c r="U378" s="14" t="n">
        <v>2020</v>
      </c>
      <c r="V378" s="12" t="s">
        <v>157</v>
      </c>
      <c r="W378" s="14"/>
      <c r="X378" s="15" t="n">
        <f aca="false">IF(OR($S378="%",$R378=""),"",$R378*INDEX(Cambi!$J$2:$J$5,MATCH($S378,Cambi!$I$2:$I$5,0))/IF($T378="EUR",1,INDEX(Cambi!$D:$D,MATCH($T378&amp;"|"&amp;$U378,Cambi!$C:$C,0))))</f>
        <v>5600</v>
      </c>
      <c r="Y378" s="12" t="s">
        <v>109</v>
      </c>
      <c r="Z378" s="12" t="s">
        <v>109</v>
      </c>
      <c r="AA378" s="12" t="s">
        <v>851</v>
      </c>
      <c r="AB378" s="16" t="s">
        <v>679</v>
      </c>
      <c r="AC378" s="16" t="s">
        <v>2192</v>
      </c>
      <c r="AD378" s="12" t="s">
        <v>281</v>
      </c>
      <c r="AE378" s="12" t="s">
        <v>2238</v>
      </c>
      <c r="AF378" s="12" t="s">
        <v>2239</v>
      </c>
      <c r="AG378" s="12" t="s">
        <v>284</v>
      </c>
      <c r="AH378" s="12" t="s">
        <v>116</v>
      </c>
      <c r="AI378" s="12" t="s">
        <v>285</v>
      </c>
      <c r="AJ378" s="12" t="s">
        <v>2240</v>
      </c>
      <c r="AK378" s="12" t="s">
        <v>4</v>
      </c>
    </row>
    <row r="379" customFormat="false" ht="15" hidden="false" customHeight="false" outlineLevel="0" collapsed="false">
      <c r="A379" s="11" t="n">
        <v>378</v>
      </c>
      <c r="B379" s="12" t="s">
        <v>2231</v>
      </c>
      <c r="C379" s="12" t="s">
        <v>2125</v>
      </c>
      <c r="D379" s="12" t="s">
        <v>2126</v>
      </c>
      <c r="E379" s="12" t="s">
        <v>759</v>
      </c>
      <c r="F379" s="12" t="s">
        <v>2159</v>
      </c>
      <c r="G379" s="12" t="s">
        <v>345</v>
      </c>
      <c r="H379" s="12" t="s">
        <v>2232</v>
      </c>
      <c r="I379" s="12" t="s">
        <v>2233</v>
      </c>
      <c r="J379" s="13" t="s">
        <v>2234</v>
      </c>
      <c r="K379" s="12" t="s">
        <v>2235</v>
      </c>
      <c r="L379" s="12" t="s">
        <v>2189</v>
      </c>
      <c r="M379" s="12" t="s">
        <v>2241</v>
      </c>
      <c r="N379" s="12" t="s">
        <v>352</v>
      </c>
      <c r="O379" s="12" t="s">
        <v>102</v>
      </c>
      <c r="P379" s="12" t="s">
        <v>155</v>
      </c>
      <c r="Q379" s="12" t="s">
        <v>787</v>
      </c>
      <c r="R379" s="14" t="n">
        <v>3.1</v>
      </c>
      <c r="S379" s="14" t="s">
        <v>129</v>
      </c>
      <c r="T379" s="14" t="s">
        <v>106</v>
      </c>
      <c r="U379" s="14" t="n">
        <v>2021</v>
      </c>
      <c r="V379" s="12" t="s">
        <v>198</v>
      </c>
      <c r="W379" s="14" t="s">
        <v>2242</v>
      </c>
      <c r="X379" s="15" t="n">
        <f aca="false">IF(OR($S379="%",$R379=""),"",$R379*INDEX(Cambi!$J$2:$J$5,MATCH($S379,Cambi!$I$2:$I$5,0))/IF($T379="EUR",1,INDEX(Cambi!$D:$D,MATCH($T379&amp;"|"&amp;$U379,Cambi!$C:$C,0))))</f>
        <v>3100</v>
      </c>
      <c r="Y379" s="12" t="s">
        <v>109</v>
      </c>
      <c r="Z379" s="12" t="s">
        <v>109</v>
      </c>
      <c r="AA379" s="12" t="s">
        <v>851</v>
      </c>
      <c r="AB379" s="16" t="s">
        <v>679</v>
      </c>
      <c r="AC379" s="16" t="s">
        <v>2192</v>
      </c>
      <c r="AD379" s="12" t="s">
        <v>281</v>
      </c>
      <c r="AE379" s="12" t="s">
        <v>2238</v>
      </c>
      <c r="AF379" s="12" t="s">
        <v>2243</v>
      </c>
      <c r="AG379" s="12" t="s">
        <v>284</v>
      </c>
      <c r="AH379" s="12" t="s">
        <v>116</v>
      </c>
      <c r="AI379" s="12" t="s">
        <v>285</v>
      </c>
      <c r="AJ379" s="12" t="s">
        <v>2244</v>
      </c>
      <c r="AK379" s="12" t="s">
        <v>4</v>
      </c>
    </row>
    <row r="380" customFormat="false" ht="15" hidden="false" customHeight="false" outlineLevel="0" collapsed="false">
      <c r="A380" s="11" t="n">
        <v>379</v>
      </c>
      <c r="B380" s="12" t="s">
        <v>2231</v>
      </c>
      <c r="C380" s="12" t="s">
        <v>2125</v>
      </c>
      <c r="D380" s="12" t="s">
        <v>2126</v>
      </c>
      <c r="E380" s="12" t="s">
        <v>759</v>
      </c>
      <c r="F380" s="12" t="s">
        <v>2159</v>
      </c>
      <c r="G380" s="12" t="s">
        <v>345</v>
      </c>
      <c r="H380" s="12" t="s">
        <v>2232</v>
      </c>
      <c r="I380" s="12" t="s">
        <v>2233</v>
      </c>
      <c r="J380" s="13" t="s">
        <v>2234</v>
      </c>
      <c r="K380" s="12" t="s">
        <v>2235</v>
      </c>
      <c r="L380" s="12" t="s">
        <v>2201</v>
      </c>
      <c r="M380" s="12" t="s">
        <v>2202</v>
      </c>
      <c r="N380" s="12" t="s">
        <v>352</v>
      </c>
      <c r="O380" s="12" t="s">
        <v>102</v>
      </c>
      <c r="P380" s="12" t="s">
        <v>103</v>
      </c>
      <c r="Q380" s="12" t="s">
        <v>104</v>
      </c>
      <c r="R380" s="14" t="n">
        <v>6.2</v>
      </c>
      <c r="S380" s="14" t="s">
        <v>129</v>
      </c>
      <c r="T380" s="14" t="s">
        <v>106</v>
      </c>
      <c r="U380" s="14" t="n">
        <v>2021</v>
      </c>
      <c r="V380" s="12" t="s">
        <v>198</v>
      </c>
      <c r="W380" s="14" t="s">
        <v>2245</v>
      </c>
      <c r="X380" s="15" t="n">
        <f aca="false">IF(OR($S380="%",$R380=""),"",$R380*INDEX(Cambi!$J$2:$J$5,MATCH($S380,Cambi!$I$2:$I$5,0))/IF($T380="EUR",1,INDEX(Cambi!$D:$D,MATCH($T380&amp;"|"&amp;$U380,Cambi!$C:$C,0))))</f>
        <v>6200</v>
      </c>
      <c r="Y380" s="12" t="s">
        <v>109</v>
      </c>
      <c r="Z380" s="12" t="s">
        <v>109</v>
      </c>
      <c r="AA380" s="12" t="s">
        <v>851</v>
      </c>
      <c r="AB380" s="16" t="s">
        <v>679</v>
      </c>
      <c r="AC380" s="16" t="s">
        <v>2192</v>
      </c>
      <c r="AD380" s="12" t="s">
        <v>281</v>
      </c>
      <c r="AE380" s="12" t="s">
        <v>2238</v>
      </c>
      <c r="AF380" s="12" t="s">
        <v>2246</v>
      </c>
      <c r="AG380" s="12" t="s">
        <v>284</v>
      </c>
      <c r="AH380" s="12" t="s">
        <v>116</v>
      </c>
      <c r="AI380" s="12" t="s">
        <v>285</v>
      </c>
      <c r="AJ380" s="12" t="s">
        <v>2247</v>
      </c>
      <c r="AK380" s="12" t="s">
        <v>4</v>
      </c>
    </row>
    <row r="381" customFormat="false" ht="15" hidden="false" customHeight="false" outlineLevel="0" collapsed="false">
      <c r="A381" s="11" t="n">
        <v>380</v>
      </c>
      <c r="B381" s="12" t="s">
        <v>2231</v>
      </c>
      <c r="C381" s="12" t="s">
        <v>2125</v>
      </c>
      <c r="D381" s="12" t="s">
        <v>2126</v>
      </c>
      <c r="E381" s="12" t="s">
        <v>759</v>
      </c>
      <c r="F381" s="12" t="s">
        <v>2159</v>
      </c>
      <c r="G381" s="12" t="s">
        <v>345</v>
      </c>
      <c r="H381" s="12" t="s">
        <v>2232</v>
      </c>
      <c r="I381" s="12" t="s">
        <v>2233</v>
      </c>
      <c r="J381" s="13" t="s">
        <v>2234</v>
      </c>
      <c r="K381" s="12" t="s">
        <v>2235</v>
      </c>
      <c r="L381" s="12" t="s">
        <v>2206</v>
      </c>
      <c r="M381" s="12" t="s">
        <v>2207</v>
      </c>
      <c r="N381" s="12" t="s">
        <v>352</v>
      </c>
      <c r="O381" s="12" t="s">
        <v>102</v>
      </c>
      <c r="P381" s="12" t="s">
        <v>155</v>
      </c>
      <c r="Q381" s="12" t="s">
        <v>799</v>
      </c>
      <c r="R381" s="14" t="n">
        <v>2.3</v>
      </c>
      <c r="S381" s="14" t="s">
        <v>129</v>
      </c>
      <c r="T381" s="14" t="s">
        <v>106</v>
      </c>
      <c r="U381" s="14" t="n">
        <v>2021</v>
      </c>
      <c r="V381" s="12" t="s">
        <v>198</v>
      </c>
      <c r="W381" s="14" t="s">
        <v>2248</v>
      </c>
      <c r="X381" s="15" t="n">
        <f aca="false">IF(OR($S381="%",$R381=""),"",$R381*INDEX(Cambi!$J$2:$J$5,MATCH($S381,Cambi!$I$2:$I$5,0))/IF($T381="EUR",1,INDEX(Cambi!$D:$D,MATCH($T381&amp;"|"&amp;$U381,Cambi!$C:$C,0))))</f>
        <v>2300</v>
      </c>
      <c r="Y381" s="12" t="s">
        <v>109</v>
      </c>
      <c r="Z381" s="12" t="s">
        <v>109</v>
      </c>
      <c r="AA381" s="12" t="s">
        <v>851</v>
      </c>
      <c r="AB381" s="16" t="s">
        <v>679</v>
      </c>
      <c r="AC381" s="16" t="s">
        <v>2192</v>
      </c>
      <c r="AD381" s="12" t="s">
        <v>281</v>
      </c>
      <c r="AE381" s="12" t="s">
        <v>2238</v>
      </c>
      <c r="AF381" s="12" t="s">
        <v>2249</v>
      </c>
      <c r="AG381" s="12" t="s">
        <v>284</v>
      </c>
      <c r="AH381" s="12" t="s">
        <v>116</v>
      </c>
      <c r="AI381" s="12" t="s">
        <v>285</v>
      </c>
      <c r="AJ381" s="12" t="s">
        <v>2250</v>
      </c>
      <c r="AK381" s="12" t="s">
        <v>4</v>
      </c>
    </row>
    <row r="382" customFormat="false" ht="15" hidden="false" customHeight="false" outlineLevel="0" collapsed="false">
      <c r="A382" s="11" t="n">
        <v>381</v>
      </c>
      <c r="B382" s="12" t="s">
        <v>2231</v>
      </c>
      <c r="C382" s="12" t="s">
        <v>2125</v>
      </c>
      <c r="D382" s="12" t="s">
        <v>2126</v>
      </c>
      <c r="E382" s="12" t="s">
        <v>759</v>
      </c>
      <c r="F382" s="12" t="s">
        <v>2159</v>
      </c>
      <c r="G382" s="12" t="s">
        <v>345</v>
      </c>
      <c r="H382" s="12" t="s">
        <v>2232</v>
      </c>
      <c r="I382" s="12" t="s">
        <v>2233</v>
      </c>
      <c r="J382" s="13" t="s">
        <v>2234</v>
      </c>
      <c r="K382" s="12" t="s">
        <v>2235</v>
      </c>
      <c r="L382" s="12" t="s">
        <v>2251</v>
      </c>
      <c r="M382" s="12" t="s">
        <v>2197</v>
      </c>
      <c r="N382" s="12" t="s">
        <v>352</v>
      </c>
      <c r="O382" s="12" t="s">
        <v>102</v>
      </c>
      <c r="P382" s="12" t="s">
        <v>155</v>
      </c>
      <c r="Q382" s="12" t="s">
        <v>794</v>
      </c>
      <c r="R382" s="14" t="n">
        <v>815</v>
      </c>
      <c r="S382" s="14" t="s">
        <v>105</v>
      </c>
      <c r="T382" s="14" t="s">
        <v>106</v>
      </c>
      <c r="U382" s="14" t="n">
        <v>2021</v>
      </c>
      <c r="V382" s="12" t="s">
        <v>198</v>
      </c>
      <c r="W382" s="14" t="s">
        <v>2252</v>
      </c>
      <c r="X382" s="15" t="n">
        <f aca="false">IF(OR($S382="%",$R382=""),"",$R382*INDEX(Cambi!$J$2:$J$5,MATCH($S382,Cambi!$I$2:$I$5,0))/IF($T382="EUR",1,INDEX(Cambi!$D:$D,MATCH($T382&amp;"|"&amp;$U382,Cambi!$C:$C,0))))</f>
        <v>815</v>
      </c>
      <c r="Y382" s="12" t="s">
        <v>109</v>
      </c>
      <c r="Z382" s="12" t="s">
        <v>109</v>
      </c>
      <c r="AA382" s="12" t="s">
        <v>851</v>
      </c>
      <c r="AB382" s="16" t="s">
        <v>679</v>
      </c>
      <c r="AC382" s="16" t="s">
        <v>2192</v>
      </c>
      <c r="AD382" s="12" t="s">
        <v>281</v>
      </c>
      <c r="AE382" s="12" t="s">
        <v>2238</v>
      </c>
      <c r="AF382" s="12" t="s">
        <v>2253</v>
      </c>
      <c r="AG382" s="12" t="s">
        <v>284</v>
      </c>
      <c r="AH382" s="12" t="s">
        <v>116</v>
      </c>
      <c r="AI382" s="12" t="s">
        <v>285</v>
      </c>
      <c r="AJ382" s="12" t="s">
        <v>2195</v>
      </c>
      <c r="AK382" s="12" t="s">
        <v>4</v>
      </c>
    </row>
    <row r="383" customFormat="false" ht="15" hidden="false" customHeight="false" outlineLevel="0" collapsed="false">
      <c r="A383" s="11" t="n">
        <v>382</v>
      </c>
      <c r="B383" s="12" t="s">
        <v>2231</v>
      </c>
      <c r="C383" s="12" t="s">
        <v>2125</v>
      </c>
      <c r="D383" s="12" t="s">
        <v>2126</v>
      </c>
      <c r="E383" s="12" t="s">
        <v>759</v>
      </c>
      <c r="F383" s="12" t="s">
        <v>2159</v>
      </c>
      <c r="G383" s="12" t="s">
        <v>345</v>
      </c>
      <c r="H383" s="12" t="s">
        <v>2232</v>
      </c>
      <c r="I383" s="12" t="s">
        <v>2233</v>
      </c>
      <c r="J383" s="13" t="s">
        <v>2234</v>
      </c>
      <c r="K383" s="12" t="s">
        <v>2235</v>
      </c>
      <c r="L383" s="12" t="s">
        <v>2254</v>
      </c>
      <c r="M383" s="12" t="s">
        <v>2255</v>
      </c>
      <c r="N383" s="12" t="s">
        <v>352</v>
      </c>
      <c r="O383" s="12" t="s">
        <v>102</v>
      </c>
      <c r="P383" s="12" t="s">
        <v>103</v>
      </c>
      <c r="Q383" s="12" t="s">
        <v>104</v>
      </c>
      <c r="R383" s="14" t="n">
        <v>6.8</v>
      </c>
      <c r="S383" s="14" t="s">
        <v>129</v>
      </c>
      <c r="T383" s="14" t="s">
        <v>106</v>
      </c>
      <c r="U383" s="14" t="n">
        <v>2022</v>
      </c>
      <c r="V383" s="12" t="s">
        <v>107</v>
      </c>
      <c r="W383" s="14" t="s">
        <v>2256</v>
      </c>
      <c r="X383" s="15" t="n">
        <f aca="false">IF(OR($S383="%",$R383=""),"",$R383*INDEX(Cambi!$J$2:$J$5,MATCH($S383,Cambi!$I$2:$I$5,0))/IF($T383="EUR",1,INDEX(Cambi!$D:$D,MATCH($T383&amp;"|"&amp;$U383,Cambi!$C:$C,0))))</f>
        <v>6800</v>
      </c>
      <c r="Y383" s="12" t="s">
        <v>109</v>
      </c>
      <c r="Z383" s="12" t="s">
        <v>109</v>
      </c>
      <c r="AA383" s="12" t="s">
        <v>851</v>
      </c>
      <c r="AB383" s="16" t="s">
        <v>679</v>
      </c>
      <c r="AC383" s="16" t="s">
        <v>2192</v>
      </c>
      <c r="AD383" s="12" t="s">
        <v>281</v>
      </c>
      <c r="AE383" s="12" t="s">
        <v>2238</v>
      </c>
      <c r="AF383" s="12" t="s">
        <v>2257</v>
      </c>
      <c r="AG383" s="12" t="s">
        <v>284</v>
      </c>
      <c r="AH383" s="12" t="s">
        <v>116</v>
      </c>
      <c r="AI383" s="12" t="s">
        <v>285</v>
      </c>
      <c r="AJ383" s="12" t="s">
        <v>2195</v>
      </c>
      <c r="AK383" s="12" t="s">
        <v>4</v>
      </c>
    </row>
    <row r="384" customFormat="false" ht="15" hidden="false" customHeight="false" outlineLevel="0" collapsed="false">
      <c r="A384" s="11" t="n">
        <v>383</v>
      </c>
      <c r="B384" s="12" t="s">
        <v>2231</v>
      </c>
      <c r="C384" s="12" t="s">
        <v>2125</v>
      </c>
      <c r="D384" s="12" t="s">
        <v>2126</v>
      </c>
      <c r="E384" s="12" t="s">
        <v>759</v>
      </c>
      <c r="F384" s="12" t="s">
        <v>2159</v>
      </c>
      <c r="G384" s="12" t="s">
        <v>345</v>
      </c>
      <c r="H384" s="12" t="s">
        <v>2232</v>
      </c>
      <c r="I384" s="12" t="s">
        <v>2233</v>
      </c>
      <c r="J384" s="13" t="s">
        <v>2234</v>
      </c>
      <c r="K384" s="12" t="s">
        <v>2235</v>
      </c>
      <c r="L384" s="12" t="s">
        <v>2258</v>
      </c>
      <c r="M384" s="12" t="s">
        <v>2259</v>
      </c>
      <c r="N384" s="12" t="s">
        <v>352</v>
      </c>
      <c r="O384" s="12" t="s">
        <v>102</v>
      </c>
      <c r="P384" s="12" t="s">
        <v>103</v>
      </c>
      <c r="Q384" s="12" t="s">
        <v>104</v>
      </c>
      <c r="R384" s="14" t="n">
        <v>8.9</v>
      </c>
      <c r="S384" s="14" t="s">
        <v>129</v>
      </c>
      <c r="T384" s="14" t="s">
        <v>106</v>
      </c>
      <c r="U384" s="14" t="n">
        <v>2025</v>
      </c>
      <c r="V384" s="12" t="s">
        <v>107</v>
      </c>
      <c r="W384" s="14" t="s">
        <v>2260</v>
      </c>
      <c r="X384" s="15" t="n">
        <f aca="false">IF(OR($S384="%",$R384=""),"",$R384*INDEX(Cambi!$J$2:$J$5,MATCH($S384,Cambi!$I$2:$I$5,0))/IF($T384="EUR",1,INDEX(Cambi!$D:$D,MATCH($T384&amp;"|"&amp;$U384,Cambi!$C:$C,0))))</f>
        <v>8900</v>
      </c>
      <c r="Y384" s="12" t="s">
        <v>109</v>
      </c>
      <c r="Z384" s="12" t="s">
        <v>109</v>
      </c>
      <c r="AA384" s="12" t="s">
        <v>851</v>
      </c>
      <c r="AB384" s="16" t="s">
        <v>679</v>
      </c>
      <c r="AC384" s="16" t="s">
        <v>2192</v>
      </c>
      <c r="AD384" s="12" t="s">
        <v>281</v>
      </c>
      <c r="AE384" s="12" t="s">
        <v>2238</v>
      </c>
      <c r="AF384" s="12" t="s">
        <v>2261</v>
      </c>
      <c r="AG384" s="12" t="s">
        <v>284</v>
      </c>
      <c r="AH384" s="12" t="s">
        <v>116</v>
      </c>
      <c r="AI384" s="12" t="s">
        <v>285</v>
      </c>
      <c r="AJ384" s="12" t="s">
        <v>2195</v>
      </c>
      <c r="AK384" s="12" t="s">
        <v>4</v>
      </c>
    </row>
    <row r="385" customFormat="false" ht="15" hidden="false" customHeight="false" outlineLevel="0" collapsed="false">
      <c r="A385" s="11" t="n">
        <v>384</v>
      </c>
      <c r="B385" s="12" t="s">
        <v>2262</v>
      </c>
      <c r="C385" s="12" t="s">
        <v>2125</v>
      </c>
      <c r="D385" s="12" t="s">
        <v>2126</v>
      </c>
      <c r="E385" s="12" t="s">
        <v>759</v>
      </c>
      <c r="F385" s="12" t="s">
        <v>2159</v>
      </c>
      <c r="G385" s="12" t="s">
        <v>345</v>
      </c>
      <c r="H385" s="12" t="s">
        <v>2263</v>
      </c>
      <c r="I385" s="12" t="s">
        <v>2264</v>
      </c>
      <c r="J385" s="13" t="s">
        <v>2265</v>
      </c>
      <c r="K385" s="12" t="s">
        <v>2235</v>
      </c>
      <c r="L385" s="12" t="s">
        <v>2266</v>
      </c>
      <c r="M385" s="12" t="s">
        <v>2267</v>
      </c>
      <c r="N385" s="12" t="s">
        <v>352</v>
      </c>
      <c r="O385" s="12" t="s">
        <v>102</v>
      </c>
      <c r="P385" s="12" t="s">
        <v>155</v>
      </c>
      <c r="Q385" s="12" t="s">
        <v>787</v>
      </c>
      <c r="R385" s="14" t="n">
        <v>3.6</v>
      </c>
      <c r="S385" s="14" t="s">
        <v>129</v>
      </c>
      <c r="T385" s="14" t="s">
        <v>106</v>
      </c>
      <c r="U385" s="14" t="n">
        <v>2022</v>
      </c>
      <c r="V385" s="12" t="s">
        <v>198</v>
      </c>
      <c r="W385" s="14" t="s">
        <v>2268</v>
      </c>
      <c r="X385" s="15" t="n">
        <f aca="false">IF(OR($S385="%",$R385=""),"",$R385*INDEX(Cambi!$J$2:$J$5,MATCH($S385,Cambi!$I$2:$I$5,0))/IF($T385="EUR",1,INDEX(Cambi!$D:$D,MATCH($T385&amp;"|"&amp;$U385,Cambi!$C:$C,0))))</f>
        <v>3600</v>
      </c>
      <c r="Y385" s="12" t="s">
        <v>109</v>
      </c>
      <c r="Z385" s="12" t="s">
        <v>109</v>
      </c>
      <c r="AA385" s="12" t="s">
        <v>851</v>
      </c>
      <c r="AB385" s="16" t="s">
        <v>679</v>
      </c>
      <c r="AC385" s="16" t="s">
        <v>2192</v>
      </c>
      <c r="AD385" s="12" t="s">
        <v>281</v>
      </c>
      <c r="AE385" s="12" t="s">
        <v>2238</v>
      </c>
      <c r="AF385" s="12" t="s">
        <v>2269</v>
      </c>
      <c r="AG385" s="12" t="s">
        <v>284</v>
      </c>
      <c r="AH385" s="12" t="s">
        <v>116</v>
      </c>
      <c r="AI385" s="12" t="s">
        <v>285</v>
      </c>
      <c r="AJ385" s="12" t="s">
        <v>2195</v>
      </c>
      <c r="AK385" s="12" t="s">
        <v>4</v>
      </c>
    </row>
    <row r="386" customFormat="false" ht="15" hidden="false" customHeight="false" outlineLevel="0" collapsed="false">
      <c r="A386" s="11" t="n">
        <v>385</v>
      </c>
      <c r="B386" s="12" t="s">
        <v>2262</v>
      </c>
      <c r="C386" s="12" t="s">
        <v>2125</v>
      </c>
      <c r="D386" s="12" t="s">
        <v>2126</v>
      </c>
      <c r="E386" s="12" t="s">
        <v>759</v>
      </c>
      <c r="F386" s="12" t="s">
        <v>2159</v>
      </c>
      <c r="G386" s="12" t="s">
        <v>345</v>
      </c>
      <c r="H386" s="12" t="s">
        <v>2263</v>
      </c>
      <c r="I386" s="12" t="s">
        <v>2264</v>
      </c>
      <c r="J386" s="13" t="s">
        <v>2265</v>
      </c>
      <c r="K386" s="12" t="s">
        <v>2235</v>
      </c>
      <c r="L386" s="12" t="s">
        <v>2270</v>
      </c>
      <c r="M386" s="12" t="s">
        <v>2202</v>
      </c>
      <c r="N386" s="12" t="s">
        <v>352</v>
      </c>
      <c r="O386" s="12" t="s">
        <v>102</v>
      </c>
      <c r="P386" s="12" t="s">
        <v>103</v>
      </c>
      <c r="Q386" s="12" t="s">
        <v>104</v>
      </c>
      <c r="R386" s="14" t="n">
        <v>7.8</v>
      </c>
      <c r="S386" s="14" t="s">
        <v>129</v>
      </c>
      <c r="T386" s="14" t="s">
        <v>106</v>
      </c>
      <c r="U386" s="14" t="n">
        <v>2022</v>
      </c>
      <c r="V386" s="12" t="s">
        <v>198</v>
      </c>
      <c r="W386" s="14" t="s">
        <v>2271</v>
      </c>
      <c r="X386" s="15" t="n">
        <f aca="false">IF(OR($S386="%",$R386=""),"",$R386*INDEX(Cambi!$J$2:$J$5,MATCH($S386,Cambi!$I$2:$I$5,0))/IF($T386="EUR",1,INDEX(Cambi!$D:$D,MATCH($T386&amp;"|"&amp;$U386,Cambi!$C:$C,0))))</f>
        <v>7800</v>
      </c>
      <c r="Y386" s="12" t="s">
        <v>109</v>
      </c>
      <c r="Z386" s="12" t="s">
        <v>109</v>
      </c>
      <c r="AA386" s="12" t="s">
        <v>851</v>
      </c>
      <c r="AB386" s="16" t="s">
        <v>679</v>
      </c>
      <c r="AC386" s="16" t="s">
        <v>2192</v>
      </c>
      <c r="AD386" s="12" t="s">
        <v>281</v>
      </c>
      <c r="AE386" s="12" t="s">
        <v>2238</v>
      </c>
      <c r="AF386" s="12" t="s">
        <v>2272</v>
      </c>
      <c r="AG386" s="12" t="s">
        <v>284</v>
      </c>
      <c r="AH386" s="12" t="s">
        <v>116</v>
      </c>
      <c r="AI386" s="12" t="s">
        <v>285</v>
      </c>
      <c r="AJ386" s="12" t="s">
        <v>2273</v>
      </c>
      <c r="AK386" s="12" t="s">
        <v>4</v>
      </c>
    </row>
    <row r="387" customFormat="false" ht="15" hidden="false" customHeight="false" outlineLevel="0" collapsed="false">
      <c r="A387" s="11" t="n">
        <v>386</v>
      </c>
      <c r="B387" s="12" t="s">
        <v>2262</v>
      </c>
      <c r="C387" s="12" t="s">
        <v>2125</v>
      </c>
      <c r="D387" s="12" t="s">
        <v>2126</v>
      </c>
      <c r="E387" s="12" t="s">
        <v>759</v>
      </c>
      <c r="F387" s="12" t="s">
        <v>2159</v>
      </c>
      <c r="G387" s="12" t="s">
        <v>345</v>
      </c>
      <c r="H387" s="12" t="s">
        <v>2263</v>
      </c>
      <c r="I387" s="12" t="s">
        <v>2264</v>
      </c>
      <c r="J387" s="13" t="s">
        <v>2265</v>
      </c>
      <c r="K387" s="12" t="s">
        <v>2235</v>
      </c>
      <c r="L387" s="12" t="s">
        <v>2274</v>
      </c>
      <c r="M387" s="12" t="s">
        <v>2275</v>
      </c>
      <c r="N387" s="12" t="s">
        <v>352</v>
      </c>
      <c r="O387" s="12" t="s">
        <v>102</v>
      </c>
      <c r="P387" s="12" t="s">
        <v>155</v>
      </c>
      <c r="Q387" s="12" t="s">
        <v>794</v>
      </c>
      <c r="R387" s="14" t="n">
        <v>1</v>
      </c>
      <c r="S387" s="14" t="s">
        <v>129</v>
      </c>
      <c r="T387" s="14" t="s">
        <v>106</v>
      </c>
      <c r="U387" s="14" t="n">
        <v>2022</v>
      </c>
      <c r="V387" s="12" t="s">
        <v>198</v>
      </c>
      <c r="W387" s="14" t="s">
        <v>2268</v>
      </c>
      <c r="X387" s="15" t="n">
        <f aca="false">IF(OR($S387="%",$R387=""),"",$R387*INDEX(Cambi!$J$2:$J$5,MATCH($S387,Cambi!$I$2:$I$5,0))/IF($T387="EUR",1,INDEX(Cambi!$D:$D,MATCH($T387&amp;"|"&amp;$U387,Cambi!$C:$C,0))))</f>
        <v>1000</v>
      </c>
      <c r="Y387" s="12" t="s">
        <v>109</v>
      </c>
      <c r="Z387" s="12" t="s">
        <v>109</v>
      </c>
      <c r="AA387" s="12" t="s">
        <v>851</v>
      </c>
      <c r="AB387" s="16" t="s">
        <v>679</v>
      </c>
      <c r="AC387" s="16" t="s">
        <v>2192</v>
      </c>
      <c r="AD387" s="12" t="s">
        <v>281</v>
      </c>
      <c r="AE387" s="12" t="s">
        <v>2238</v>
      </c>
      <c r="AF387" s="12" t="s">
        <v>2276</v>
      </c>
      <c r="AG387" s="12" t="s">
        <v>284</v>
      </c>
      <c r="AH387" s="12" t="s">
        <v>116</v>
      </c>
      <c r="AI387" s="12" t="s">
        <v>285</v>
      </c>
      <c r="AJ387" s="12" t="s">
        <v>2277</v>
      </c>
      <c r="AK387" s="12" t="s">
        <v>4</v>
      </c>
    </row>
    <row r="388" customFormat="false" ht="15" hidden="false" customHeight="false" outlineLevel="0" collapsed="false">
      <c r="A388" s="11" t="n">
        <v>387</v>
      </c>
      <c r="B388" s="12" t="s">
        <v>2262</v>
      </c>
      <c r="C388" s="12" t="s">
        <v>2125</v>
      </c>
      <c r="D388" s="12" t="s">
        <v>2126</v>
      </c>
      <c r="E388" s="12" t="s">
        <v>759</v>
      </c>
      <c r="F388" s="12" t="s">
        <v>2159</v>
      </c>
      <c r="G388" s="12" t="s">
        <v>345</v>
      </c>
      <c r="H388" s="12" t="s">
        <v>2263</v>
      </c>
      <c r="I388" s="12" t="s">
        <v>2264</v>
      </c>
      <c r="J388" s="13" t="s">
        <v>2265</v>
      </c>
      <c r="K388" s="12" t="s">
        <v>2235</v>
      </c>
      <c r="L388" s="12" t="s">
        <v>2278</v>
      </c>
      <c r="M388" s="12" t="s">
        <v>2279</v>
      </c>
      <c r="N388" s="12" t="s">
        <v>352</v>
      </c>
      <c r="O388" s="12" t="s">
        <v>102</v>
      </c>
      <c r="P388" s="12" t="s">
        <v>155</v>
      </c>
      <c r="Q388" s="12" t="s">
        <v>799</v>
      </c>
      <c r="R388" s="14" t="n">
        <v>3.2</v>
      </c>
      <c r="S388" s="14" t="s">
        <v>129</v>
      </c>
      <c r="T388" s="14" t="s">
        <v>106</v>
      </c>
      <c r="U388" s="14" t="n">
        <v>2022</v>
      </c>
      <c r="V388" s="12" t="s">
        <v>198</v>
      </c>
      <c r="W388" s="14" t="s">
        <v>2280</v>
      </c>
      <c r="X388" s="15" t="n">
        <f aca="false">IF(OR($S388="%",$R388=""),"",$R388*INDEX(Cambi!$J$2:$J$5,MATCH($S388,Cambi!$I$2:$I$5,0))/IF($T388="EUR",1,INDEX(Cambi!$D:$D,MATCH($T388&amp;"|"&amp;$U388,Cambi!$C:$C,0))))</f>
        <v>3200</v>
      </c>
      <c r="Y388" s="12" t="s">
        <v>109</v>
      </c>
      <c r="Z388" s="12" t="s">
        <v>109</v>
      </c>
      <c r="AA388" s="12" t="s">
        <v>851</v>
      </c>
      <c r="AB388" s="16" t="s">
        <v>679</v>
      </c>
      <c r="AC388" s="16" t="s">
        <v>2192</v>
      </c>
      <c r="AD388" s="12" t="s">
        <v>281</v>
      </c>
      <c r="AE388" s="12" t="s">
        <v>2238</v>
      </c>
      <c r="AF388" s="12" t="s">
        <v>2281</v>
      </c>
      <c r="AG388" s="12" t="s">
        <v>284</v>
      </c>
      <c r="AH388" s="12" t="s">
        <v>116</v>
      </c>
      <c r="AI388" s="12" t="s">
        <v>285</v>
      </c>
      <c r="AJ388" s="12" t="s">
        <v>2195</v>
      </c>
      <c r="AK388" s="12" t="s">
        <v>4</v>
      </c>
    </row>
    <row r="389" customFormat="false" ht="15" hidden="false" customHeight="false" outlineLevel="0" collapsed="false">
      <c r="A389" s="11" t="n">
        <v>388</v>
      </c>
      <c r="B389" s="12" t="s">
        <v>2262</v>
      </c>
      <c r="C389" s="12" t="s">
        <v>2125</v>
      </c>
      <c r="D389" s="12" t="s">
        <v>2126</v>
      </c>
      <c r="E389" s="12" t="s">
        <v>759</v>
      </c>
      <c r="F389" s="12" t="s">
        <v>2159</v>
      </c>
      <c r="G389" s="12" t="s">
        <v>345</v>
      </c>
      <c r="H389" s="12" t="s">
        <v>2263</v>
      </c>
      <c r="I389" s="12" t="s">
        <v>2264</v>
      </c>
      <c r="J389" s="13" t="s">
        <v>2265</v>
      </c>
      <c r="K389" s="12" t="s">
        <v>2235</v>
      </c>
      <c r="L389" s="12" t="s">
        <v>2282</v>
      </c>
      <c r="M389" s="12" t="s">
        <v>2283</v>
      </c>
      <c r="N389" s="12" t="s">
        <v>352</v>
      </c>
      <c r="O389" s="12" t="s">
        <v>102</v>
      </c>
      <c r="P389" s="12" t="s">
        <v>103</v>
      </c>
      <c r="Q389" s="12" t="s">
        <v>104</v>
      </c>
      <c r="R389" s="14" t="n">
        <v>8.5</v>
      </c>
      <c r="S389" s="14" t="s">
        <v>129</v>
      </c>
      <c r="T389" s="14" t="s">
        <v>106</v>
      </c>
      <c r="U389" s="14" t="n">
        <v>2023</v>
      </c>
      <c r="V389" s="12" t="s">
        <v>107</v>
      </c>
      <c r="W389" s="14" t="s">
        <v>2284</v>
      </c>
      <c r="X389" s="15" t="n">
        <f aca="false">IF(OR($S389="%",$R389=""),"",$R389*INDEX(Cambi!$J$2:$J$5,MATCH($S389,Cambi!$I$2:$I$5,0))/IF($T389="EUR",1,INDEX(Cambi!$D:$D,MATCH($T389&amp;"|"&amp;$U389,Cambi!$C:$C,0))))</f>
        <v>8500</v>
      </c>
      <c r="Y389" s="12" t="s">
        <v>109</v>
      </c>
      <c r="Z389" s="12" t="s">
        <v>109</v>
      </c>
      <c r="AA389" s="12" t="s">
        <v>851</v>
      </c>
      <c r="AB389" s="16" t="s">
        <v>679</v>
      </c>
      <c r="AC389" s="16" t="s">
        <v>2192</v>
      </c>
      <c r="AD389" s="12" t="s">
        <v>281</v>
      </c>
      <c r="AE389" s="12" t="s">
        <v>2238</v>
      </c>
      <c r="AF389" s="12" t="s">
        <v>2285</v>
      </c>
      <c r="AG389" s="12" t="s">
        <v>284</v>
      </c>
      <c r="AH389" s="12" t="s">
        <v>116</v>
      </c>
      <c r="AI389" s="12" t="s">
        <v>285</v>
      </c>
      <c r="AJ389" s="12" t="s">
        <v>2195</v>
      </c>
      <c r="AK389" s="12" t="s">
        <v>4</v>
      </c>
    </row>
    <row r="390" customFormat="false" ht="15" hidden="false" customHeight="false" outlineLevel="0" collapsed="false">
      <c r="A390" s="11" t="n">
        <v>389</v>
      </c>
      <c r="B390" s="12" t="s">
        <v>2286</v>
      </c>
      <c r="C390" s="12" t="s">
        <v>2125</v>
      </c>
      <c r="D390" s="12" t="s">
        <v>2126</v>
      </c>
      <c r="E390" s="12" t="s">
        <v>759</v>
      </c>
      <c r="F390" s="12" t="s">
        <v>2159</v>
      </c>
      <c r="G390" s="12" t="s">
        <v>345</v>
      </c>
      <c r="H390" s="12" t="s">
        <v>2287</v>
      </c>
      <c r="I390" s="12" t="s">
        <v>2288</v>
      </c>
      <c r="J390" s="13" t="s">
        <v>2289</v>
      </c>
      <c r="K390" s="12" t="s">
        <v>2235</v>
      </c>
      <c r="L390" s="12" t="s">
        <v>2290</v>
      </c>
      <c r="M390" s="12" t="s">
        <v>2291</v>
      </c>
      <c r="N390" s="12" t="s">
        <v>352</v>
      </c>
      <c r="O390" s="12" t="s">
        <v>102</v>
      </c>
      <c r="P390" s="12" t="s">
        <v>155</v>
      </c>
      <c r="Q390" s="12" t="s">
        <v>787</v>
      </c>
      <c r="R390" s="14" t="n">
        <v>4</v>
      </c>
      <c r="S390" s="14" t="s">
        <v>129</v>
      </c>
      <c r="T390" s="14" t="s">
        <v>106</v>
      </c>
      <c r="U390" s="14" t="n">
        <v>2023</v>
      </c>
      <c r="V390" s="12" t="s">
        <v>198</v>
      </c>
      <c r="W390" s="14" t="s">
        <v>2292</v>
      </c>
      <c r="X390" s="15" t="n">
        <f aca="false">IF(OR($S390="%",$R390=""),"",$R390*INDEX(Cambi!$J$2:$J$5,MATCH($S390,Cambi!$I$2:$I$5,0))/IF($T390="EUR",1,INDEX(Cambi!$D:$D,MATCH($T390&amp;"|"&amp;$U390,Cambi!$C:$C,0))))</f>
        <v>4000</v>
      </c>
      <c r="Y390" s="12" t="s">
        <v>109</v>
      </c>
      <c r="Z390" s="12" t="s">
        <v>109</v>
      </c>
      <c r="AA390" s="12" t="s">
        <v>851</v>
      </c>
      <c r="AB390" s="16" t="s">
        <v>679</v>
      </c>
      <c r="AC390" s="16" t="s">
        <v>2192</v>
      </c>
      <c r="AD390" s="12" t="s">
        <v>281</v>
      </c>
      <c r="AE390" s="12" t="s">
        <v>2238</v>
      </c>
      <c r="AF390" s="12" t="s">
        <v>2293</v>
      </c>
      <c r="AG390" s="12" t="s">
        <v>284</v>
      </c>
      <c r="AH390" s="12" t="s">
        <v>116</v>
      </c>
      <c r="AI390" s="12" t="s">
        <v>285</v>
      </c>
      <c r="AJ390" s="12" t="s">
        <v>2195</v>
      </c>
      <c r="AK390" s="12" t="s">
        <v>4</v>
      </c>
    </row>
    <row r="391" customFormat="false" ht="15" hidden="false" customHeight="false" outlineLevel="0" collapsed="false">
      <c r="A391" s="11" t="n">
        <v>390</v>
      </c>
      <c r="B391" s="12" t="s">
        <v>2286</v>
      </c>
      <c r="C391" s="12" t="s">
        <v>2125</v>
      </c>
      <c r="D391" s="12" t="s">
        <v>2126</v>
      </c>
      <c r="E391" s="12" t="s">
        <v>759</v>
      </c>
      <c r="F391" s="12" t="s">
        <v>2159</v>
      </c>
      <c r="G391" s="12" t="s">
        <v>345</v>
      </c>
      <c r="H391" s="12" t="s">
        <v>2287</v>
      </c>
      <c r="I391" s="12" t="s">
        <v>2288</v>
      </c>
      <c r="J391" s="13" t="s">
        <v>2289</v>
      </c>
      <c r="K391" s="12" t="s">
        <v>2235</v>
      </c>
      <c r="L391" s="12" t="s">
        <v>2294</v>
      </c>
      <c r="M391" s="12" t="s">
        <v>2295</v>
      </c>
      <c r="N391" s="12" t="s">
        <v>352</v>
      </c>
      <c r="O391" s="12" t="s">
        <v>102</v>
      </c>
      <c r="P391" s="12" t="s">
        <v>103</v>
      </c>
      <c r="Q391" s="12" t="s">
        <v>104</v>
      </c>
      <c r="R391" s="14" t="n">
        <v>9.2</v>
      </c>
      <c r="S391" s="14" t="s">
        <v>129</v>
      </c>
      <c r="T391" s="14" t="s">
        <v>106</v>
      </c>
      <c r="U391" s="14" t="n">
        <v>2023</v>
      </c>
      <c r="V391" s="12" t="s">
        <v>198</v>
      </c>
      <c r="W391" s="14" t="s">
        <v>2296</v>
      </c>
      <c r="X391" s="15" t="n">
        <f aca="false">IF(OR($S391="%",$R391=""),"",$R391*INDEX(Cambi!$J$2:$J$5,MATCH($S391,Cambi!$I$2:$I$5,0))/IF($T391="EUR",1,INDEX(Cambi!$D:$D,MATCH($T391&amp;"|"&amp;$U391,Cambi!$C:$C,0))))</f>
        <v>9200</v>
      </c>
      <c r="Y391" s="12" t="s">
        <v>109</v>
      </c>
      <c r="Z391" s="12" t="s">
        <v>109</v>
      </c>
      <c r="AA391" s="12" t="s">
        <v>851</v>
      </c>
      <c r="AB391" s="16" t="s">
        <v>679</v>
      </c>
      <c r="AC391" s="16" t="s">
        <v>2192</v>
      </c>
      <c r="AD391" s="12" t="s">
        <v>281</v>
      </c>
      <c r="AE391" s="12" t="s">
        <v>2238</v>
      </c>
      <c r="AF391" s="12" t="s">
        <v>2297</v>
      </c>
      <c r="AG391" s="12" t="s">
        <v>284</v>
      </c>
      <c r="AH391" s="12" t="s">
        <v>116</v>
      </c>
      <c r="AI391" s="12" t="s">
        <v>285</v>
      </c>
      <c r="AJ391" s="12" t="s">
        <v>2298</v>
      </c>
      <c r="AK391" s="12" t="s">
        <v>4</v>
      </c>
    </row>
    <row r="392" customFormat="false" ht="15" hidden="false" customHeight="false" outlineLevel="0" collapsed="false">
      <c r="A392" s="11" t="n">
        <v>391</v>
      </c>
      <c r="B392" s="12" t="s">
        <v>2286</v>
      </c>
      <c r="C392" s="12" t="s">
        <v>2125</v>
      </c>
      <c r="D392" s="12" t="s">
        <v>2126</v>
      </c>
      <c r="E392" s="12" t="s">
        <v>759</v>
      </c>
      <c r="F392" s="12" t="s">
        <v>2159</v>
      </c>
      <c r="G392" s="12" t="s">
        <v>345</v>
      </c>
      <c r="H392" s="12" t="s">
        <v>2287</v>
      </c>
      <c r="I392" s="12" t="s">
        <v>2288</v>
      </c>
      <c r="J392" s="13" t="s">
        <v>2289</v>
      </c>
      <c r="K392" s="12" t="s">
        <v>2235</v>
      </c>
      <c r="L392" s="12" t="s">
        <v>2206</v>
      </c>
      <c r="M392" s="12" t="s">
        <v>2207</v>
      </c>
      <c r="N392" s="12" t="s">
        <v>352</v>
      </c>
      <c r="O392" s="12" t="s">
        <v>102</v>
      </c>
      <c r="P392" s="12" t="s">
        <v>155</v>
      </c>
      <c r="Q392" s="12" t="s">
        <v>799</v>
      </c>
      <c r="R392" s="14" t="n">
        <v>4.3</v>
      </c>
      <c r="S392" s="14" t="s">
        <v>129</v>
      </c>
      <c r="T392" s="14" t="s">
        <v>106</v>
      </c>
      <c r="U392" s="14" t="n">
        <v>2023</v>
      </c>
      <c r="V392" s="12" t="s">
        <v>198</v>
      </c>
      <c r="W392" s="14" t="s">
        <v>2299</v>
      </c>
      <c r="X392" s="15" t="n">
        <f aca="false">IF(OR($S392="%",$R392=""),"",$R392*INDEX(Cambi!$J$2:$J$5,MATCH($S392,Cambi!$I$2:$I$5,0))/IF($T392="EUR",1,INDEX(Cambi!$D:$D,MATCH($T392&amp;"|"&amp;$U392,Cambi!$C:$C,0))))</f>
        <v>4300</v>
      </c>
      <c r="Y392" s="12" t="s">
        <v>109</v>
      </c>
      <c r="Z392" s="12" t="s">
        <v>109</v>
      </c>
      <c r="AA392" s="12" t="s">
        <v>851</v>
      </c>
      <c r="AB392" s="16" t="s">
        <v>679</v>
      </c>
      <c r="AC392" s="16" t="s">
        <v>2192</v>
      </c>
      <c r="AD392" s="12" t="s">
        <v>281</v>
      </c>
      <c r="AE392" s="12" t="s">
        <v>2238</v>
      </c>
      <c r="AF392" s="12" t="s">
        <v>2300</v>
      </c>
      <c r="AG392" s="12" t="s">
        <v>284</v>
      </c>
      <c r="AH392" s="12" t="s">
        <v>116</v>
      </c>
      <c r="AI392" s="12" t="s">
        <v>285</v>
      </c>
      <c r="AJ392" s="12" t="s">
        <v>2195</v>
      </c>
      <c r="AK392" s="12" t="s">
        <v>4</v>
      </c>
    </row>
    <row r="393" customFormat="false" ht="15" hidden="false" customHeight="false" outlineLevel="0" collapsed="false">
      <c r="A393" s="11" t="n">
        <v>392</v>
      </c>
      <c r="B393" s="12" t="s">
        <v>2286</v>
      </c>
      <c r="C393" s="12" t="s">
        <v>2125</v>
      </c>
      <c r="D393" s="12" t="s">
        <v>2126</v>
      </c>
      <c r="E393" s="12" t="s">
        <v>759</v>
      </c>
      <c r="F393" s="12" t="s">
        <v>2159</v>
      </c>
      <c r="G393" s="12" t="s">
        <v>345</v>
      </c>
      <c r="H393" s="12" t="s">
        <v>2287</v>
      </c>
      <c r="I393" s="12" t="s">
        <v>2288</v>
      </c>
      <c r="J393" s="13" t="s">
        <v>2289</v>
      </c>
      <c r="K393" s="12" t="s">
        <v>2235</v>
      </c>
      <c r="L393" s="12" t="s">
        <v>2301</v>
      </c>
      <c r="M393" s="12" t="s">
        <v>2302</v>
      </c>
      <c r="N393" s="12" t="s">
        <v>352</v>
      </c>
      <c r="O393" s="12" t="s">
        <v>102</v>
      </c>
      <c r="P393" s="12" t="s">
        <v>155</v>
      </c>
      <c r="Q393" s="12" t="s">
        <v>794</v>
      </c>
      <c r="R393" s="14" t="n">
        <v>0.9</v>
      </c>
      <c r="S393" s="14" t="s">
        <v>129</v>
      </c>
      <c r="T393" s="14" t="s">
        <v>106</v>
      </c>
      <c r="U393" s="14" t="n">
        <v>2023</v>
      </c>
      <c r="V393" s="12" t="s">
        <v>198</v>
      </c>
      <c r="W393" s="14"/>
      <c r="X393" s="15" t="n">
        <f aca="false">IF(OR($S393="%",$R393=""),"",$R393*INDEX(Cambi!$J$2:$J$5,MATCH($S393,Cambi!$I$2:$I$5,0))/IF($T393="EUR",1,INDEX(Cambi!$D:$D,MATCH($T393&amp;"|"&amp;$U393,Cambi!$C:$C,0))))</f>
        <v>900</v>
      </c>
      <c r="Y393" s="12" t="s">
        <v>109</v>
      </c>
      <c r="Z393" s="12" t="s">
        <v>109</v>
      </c>
      <c r="AA393" s="12" t="s">
        <v>851</v>
      </c>
      <c r="AB393" s="16" t="s">
        <v>679</v>
      </c>
      <c r="AC393" s="16" t="s">
        <v>2192</v>
      </c>
      <c r="AD393" s="12" t="s">
        <v>281</v>
      </c>
      <c r="AE393" s="12" t="s">
        <v>2238</v>
      </c>
      <c r="AF393" s="12" t="s">
        <v>2303</v>
      </c>
      <c r="AG393" s="12" t="s">
        <v>284</v>
      </c>
      <c r="AH393" s="12" t="s">
        <v>116</v>
      </c>
      <c r="AI393" s="12" t="s">
        <v>285</v>
      </c>
      <c r="AJ393" s="12" t="s">
        <v>2304</v>
      </c>
      <c r="AK393" s="12" t="s">
        <v>4</v>
      </c>
    </row>
    <row r="394" customFormat="false" ht="15" hidden="false" customHeight="false" outlineLevel="0" collapsed="false">
      <c r="A394" s="11" t="n">
        <v>393</v>
      </c>
      <c r="B394" s="12" t="s">
        <v>2286</v>
      </c>
      <c r="C394" s="12" t="s">
        <v>2125</v>
      </c>
      <c r="D394" s="12" t="s">
        <v>2126</v>
      </c>
      <c r="E394" s="12" t="s">
        <v>759</v>
      </c>
      <c r="F394" s="12" t="s">
        <v>2159</v>
      </c>
      <c r="G394" s="12" t="s">
        <v>345</v>
      </c>
      <c r="H394" s="12" t="s">
        <v>2287</v>
      </c>
      <c r="I394" s="12" t="s">
        <v>2288</v>
      </c>
      <c r="J394" s="13" t="s">
        <v>2289</v>
      </c>
      <c r="K394" s="12" t="s">
        <v>2235</v>
      </c>
      <c r="L394" s="12" t="s">
        <v>2305</v>
      </c>
      <c r="M394" s="12" t="s">
        <v>2306</v>
      </c>
      <c r="N394" s="12" t="s">
        <v>352</v>
      </c>
      <c r="O394" s="12" t="s">
        <v>102</v>
      </c>
      <c r="P394" s="12" t="s">
        <v>103</v>
      </c>
      <c r="Q394" s="12" t="s">
        <v>104</v>
      </c>
      <c r="R394" s="14" t="n">
        <v>10.3</v>
      </c>
      <c r="S394" s="14" t="s">
        <v>129</v>
      </c>
      <c r="T394" s="14" t="s">
        <v>106</v>
      </c>
      <c r="U394" s="14" t="n">
        <v>2024</v>
      </c>
      <c r="V394" s="12" t="s">
        <v>107</v>
      </c>
      <c r="W394" s="14" t="s">
        <v>2307</v>
      </c>
      <c r="X394" s="15" t="n">
        <f aca="false">IF(OR($S394="%",$R394=""),"",$R394*INDEX(Cambi!$J$2:$J$5,MATCH($S394,Cambi!$I$2:$I$5,0))/IF($T394="EUR",1,INDEX(Cambi!$D:$D,MATCH($T394&amp;"|"&amp;$U394,Cambi!$C:$C,0))))</f>
        <v>10300</v>
      </c>
      <c r="Y394" s="12" t="s">
        <v>109</v>
      </c>
      <c r="Z394" s="12" t="s">
        <v>109</v>
      </c>
      <c r="AA394" s="12" t="s">
        <v>851</v>
      </c>
      <c r="AB394" s="16" t="s">
        <v>679</v>
      </c>
      <c r="AC394" s="16" t="s">
        <v>2192</v>
      </c>
      <c r="AD394" s="12" t="s">
        <v>281</v>
      </c>
      <c r="AE394" s="12" t="s">
        <v>2238</v>
      </c>
      <c r="AF394" s="12" t="s">
        <v>2308</v>
      </c>
      <c r="AG394" s="12" t="s">
        <v>284</v>
      </c>
      <c r="AH394" s="12" t="s">
        <v>116</v>
      </c>
      <c r="AI394" s="12" t="s">
        <v>285</v>
      </c>
      <c r="AJ394" s="12" t="s">
        <v>2195</v>
      </c>
      <c r="AK394" s="12" t="s">
        <v>4</v>
      </c>
    </row>
    <row r="395" customFormat="false" ht="15" hidden="false" customHeight="false" outlineLevel="0" collapsed="false">
      <c r="A395" s="11" t="n">
        <v>394</v>
      </c>
      <c r="B395" s="12" t="s">
        <v>2309</v>
      </c>
      <c r="C395" s="12" t="s">
        <v>2125</v>
      </c>
      <c r="D395" s="12" t="s">
        <v>2126</v>
      </c>
      <c r="E395" s="12" t="s">
        <v>759</v>
      </c>
      <c r="F395" s="12" t="s">
        <v>2159</v>
      </c>
      <c r="G395" s="12" t="s">
        <v>345</v>
      </c>
      <c r="H395" s="12" t="s">
        <v>2310</v>
      </c>
      <c r="I395" s="12" t="s">
        <v>2311</v>
      </c>
      <c r="J395" s="13" t="s">
        <v>2312</v>
      </c>
      <c r="K395" s="12" t="s">
        <v>2313</v>
      </c>
      <c r="L395" s="12" t="s">
        <v>2290</v>
      </c>
      <c r="M395" s="12" t="s">
        <v>2291</v>
      </c>
      <c r="N395" s="12" t="s">
        <v>352</v>
      </c>
      <c r="O395" s="12" t="s">
        <v>102</v>
      </c>
      <c r="P395" s="12" t="s">
        <v>155</v>
      </c>
      <c r="Q395" s="12" t="s">
        <v>787</v>
      </c>
      <c r="R395" s="14" t="n">
        <v>4.4</v>
      </c>
      <c r="S395" s="14" t="s">
        <v>129</v>
      </c>
      <c r="T395" s="14" t="s">
        <v>106</v>
      </c>
      <c r="U395" s="14" t="n">
        <v>2024</v>
      </c>
      <c r="V395" s="12" t="s">
        <v>198</v>
      </c>
      <c r="W395" s="14" t="s">
        <v>2314</v>
      </c>
      <c r="X395" s="15" t="n">
        <f aca="false">IF(OR($S395="%",$R395=""),"",$R395*INDEX(Cambi!$J$2:$J$5,MATCH($S395,Cambi!$I$2:$I$5,0))/IF($T395="EUR",1,INDEX(Cambi!$D:$D,MATCH($T395&amp;"|"&amp;$U395,Cambi!$C:$C,0))))</f>
        <v>4400</v>
      </c>
      <c r="Y395" s="12" t="s">
        <v>109</v>
      </c>
      <c r="Z395" s="12" t="s">
        <v>109</v>
      </c>
      <c r="AA395" s="12" t="s">
        <v>851</v>
      </c>
      <c r="AB395" s="16" t="s">
        <v>679</v>
      </c>
      <c r="AC395" s="16" t="s">
        <v>2192</v>
      </c>
      <c r="AD395" s="12" t="s">
        <v>281</v>
      </c>
      <c r="AE395" s="12" t="s">
        <v>2315</v>
      </c>
      <c r="AF395" s="12" t="s">
        <v>2316</v>
      </c>
      <c r="AG395" s="12" t="s">
        <v>284</v>
      </c>
      <c r="AH395" s="12" t="s">
        <v>116</v>
      </c>
      <c r="AI395" s="12" t="s">
        <v>285</v>
      </c>
      <c r="AJ395" s="12" t="s">
        <v>2195</v>
      </c>
      <c r="AK395" s="12" t="s">
        <v>4</v>
      </c>
    </row>
    <row r="396" customFormat="false" ht="15" hidden="false" customHeight="false" outlineLevel="0" collapsed="false">
      <c r="A396" s="11" t="n">
        <v>395</v>
      </c>
      <c r="B396" s="12" t="s">
        <v>2309</v>
      </c>
      <c r="C396" s="12" t="s">
        <v>2125</v>
      </c>
      <c r="D396" s="12" t="s">
        <v>2126</v>
      </c>
      <c r="E396" s="12" t="s">
        <v>759</v>
      </c>
      <c r="F396" s="12" t="s">
        <v>2159</v>
      </c>
      <c r="G396" s="12" t="s">
        <v>345</v>
      </c>
      <c r="H396" s="12" t="s">
        <v>2310</v>
      </c>
      <c r="I396" s="12" t="s">
        <v>2311</v>
      </c>
      <c r="J396" s="13" t="s">
        <v>2312</v>
      </c>
      <c r="K396" s="12" t="s">
        <v>2313</v>
      </c>
      <c r="L396" s="12" t="s">
        <v>2294</v>
      </c>
      <c r="M396" s="12" t="s">
        <v>2317</v>
      </c>
      <c r="N396" s="12" t="s">
        <v>352</v>
      </c>
      <c r="O396" s="12" t="s">
        <v>102</v>
      </c>
      <c r="P396" s="12" t="s">
        <v>103</v>
      </c>
      <c r="Q396" s="12" t="s">
        <v>104</v>
      </c>
      <c r="R396" s="14" t="n">
        <v>11.2</v>
      </c>
      <c r="S396" s="14" t="s">
        <v>129</v>
      </c>
      <c r="T396" s="14" t="s">
        <v>106</v>
      </c>
      <c r="U396" s="14" t="n">
        <v>2024</v>
      </c>
      <c r="V396" s="12" t="s">
        <v>198</v>
      </c>
      <c r="W396" s="14" t="s">
        <v>2318</v>
      </c>
      <c r="X396" s="15" t="n">
        <f aca="false">IF(OR($S396="%",$R396=""),"",$R396*INDEX(Cambi!$J$2:$J$5,MATCH($S396,Cambi!$I$2:$I$5,0))/IF($T396="EUR",1,INDEX(Cambi!$D:$D,MATCH($T396&amp;"|"&amp;$U396,Cambi!$C:$C,0))))</f>
        <v>11200</v>
      </c>
      <c r="Y396" s="12" t="s">
        <v>109</v>
      </c>
      <c r="Z396" s="12" t="s">
        <v>109</v>
      </c>
      <c r="AA396" s="12" t="s">
        <v>851</v>
      </c>
      <c r="AB396" s="16" t="s">
        <v>679</v>
      </c>
      <c r="AC396" s="16" t="s">
        <v>2192</v>
      </c>
      <c r="AD396" s="12" t="s">
        <v>281</v>
      </c>
      <c r="AE396" s="12" t="s">
        <v>2315</v>
      </c>
      <c r="AF396" s="12" t="s">
        <v>2319</v>
      </c>
      <c r="AG396" s="12" t="s">
        <v>284</v>
      </c>
      <c r="AH396" s="12" t="s">
        <v>116</v>
      </c>
      <c r="AI396" s="12" t="s">
        <v>285</v>
      </c>
      <c r="AJ396" s="12" t="s">
        <v>2320</v>
      </c>
      <c r="AK396" s="12" t="s">
        <v>4</v>
      </c>
    </row>
    <row r="397" customFormat="false" ht="15" hidden="false" customHeight="false" outlineLevel="0" collapsed="false">
      <c r="A397" s="11" t="n">
        <v>396</v>
      </c>
      <c r="B397" s="12" t="s">
        <v>2309</v>
      </c>
      <c r="C397" s="12" t="s">
        <v>2125</v>
      </c>
      <c r="D397" s="12" t="s">
        <v>2126</v>
      </c>
      <c r="E397" s="12" t="s">
        <v>759</v>
      </c>
      <c r="F397" s="12" t="s">
        <v>2159</v>
      </c>
      <c r="G397" s="12" t="s">
        <v>345</v>
      </c>
      <c r="H397" s="12" t="s">
        <v>2310</v>
      </c>
      <c r="I397" s="12" t="s">
        <v>2311</v>
      </c>
      <c r="J397" s="13" t="s">
        <v>2312</v>
      </c>
      <c r="K397" s="12" t="s">
        <v>2313</v>
      </c>
      <c r="L397" s="12" t="s">
        <v>2274</v>
      </c>
      <c r="M397" s="12" t="s">
        <v>2275</v>
      </c>
      <c r="N397" s="12" t="s">
        <v>352</v>
      </c>
      <c r="O397" s="12" t="s">
        <v>102</v>
      </c>
      <c r="P397" s="12" t="s">
        <v>155</v>
      </c>
      <c r="Q397" s="12" t="s">
        <v>794</v>
      </c>
      <c r="R397" s="14" t="n">
        <v>970</v>
      </c>
      <c r="S397" s="14" t="s">
        <v>105</v>
      </c>
      <c r="T397" s="14" t="s">
        <v>106</v>
      </c>
      <c r="U397" s="14" t="n">
        <v>2024</v>
      </c>
      <c r="V397" s="12" t="s">
        <v>198</v>
      </c>
      <c r="W397" s="14" t="s">
        <v>2321</v>
      </c>
      <c r="X397" s="15" t="n">
        <f aca="false">IF(OR($S397="%",$R397=""),"",$R397*INDEX(Cambi!$J$2:$J$5,MATCH($S397,Cambi!$I$2:$I$5,0))/IF($T397="EUR",1,INDEX(Cambi!$D:$D,MATCH($T397&amp;"|"&amp;$U397,Cambi!$C:$C,0))))</f>
        <v>970</v>
      </c>
      <c r="Y397" s="12" t="s">
        <v>109</v>
      </c>
      <c r="Z397" s="12" t="s">
        <v>109</v>
      </c>
      <c r="AA397" s="12" t="s">
        <v>851</v>
      </c>
      <c r="AB397" s="16" t="s">
        <v>679</v>
      </c>
      <c r="AC397" s="16" t="s">
        <v>2192</v>
      </c>
      <c r="AD397" s="12" t="s">
        <v>281</v>
      </c>
      <c r="AE397" s="12" t="s">
        <v>2315</v>
      </c>
      <c r="AF397" s="12" t="s">
        <v>2322</v>
      </c>
      <c r="AG397" s="12" t="s">
        <v>284</v>
      </c>
      <c r="AH397" s="12" t="s">
        <v>116</v>
      </c>
      <c r="AI397" s="12" t="s">
        <v>285</v>
      </c>
      <c r="AJ397" s="12" t="s">
        <v>2195</v>
      </c>
      <c r="AK397" s="12" t="s">
        <v>4</v>
      </c>
    </row>
    <row r="398" customFormat="false" ht="15" hidden="false" customHeight="false" outlineLevel="0" collapsed="false">
      <c r="A398" s="11" t="n">
        <v>397</v>
      </c>
      <c r="B398" s="12" t="s">
        <v>2309</v>
      </c>
      <c r="C398" s="12" t="s">
        <v>2125</v>
      </c>
      <c r="D398" s="12" t="s">
        <v>2126</v>
      </c>
      <c r="E398" s="12" t="s">
        <v>759</v>
      </c>
      <c r="F398" s="12" t="s">
        <v>2159</v>
      </c>
      <c r="G398" s="12" t="s">
        <v>345</v>
      </c>
      <c r="H398" s="12" t="s">
        <v>2310</v>
      </c>
      <c r="I398" s="12" t="s">
        <v>2311</v>
      </c>
      <c r="J398" s="13" t="s">
        <v>2312</v>
      </c>
      <c r="K398" s="12" t="s">
        <v>2313</v>
      </c>
      <c r="L398" s="12" t="s">
        <v>2278</v>
      </c>
      <c r="M398" s="12" t="s">
        <v>2323</v>
      </c>
      <c r="N398" s="12" t="s">
        <v>352</v>
      </c>
      <c r="O398" s="12" t="s">
        <v>102</v>
      </c>
      <c r="P398" s="12" t="s">
        <v>155</v>
      </c>
      <c r="Q398" s="12" t="s">
        <v>799</v>
      </c>
      <c r="R398" s="14" t="n">
        <v>5.8</v>
      </c>
      <c r="S398" s="14" t="s">
        <v>129</v>
      </c>
      <c r="T398" s="14" t="s">
        <v>106</v>
      </c>
      <c r="U398" s="14" t="n">
        <v>2024</v>
      </c>
      <c r="V398" s="12" t="s">
        <v>198</v>
      </c>
      <c r="W398" s="14" t="s">
        <v>2324</v>
      </c>
      <c r="X398" s="15" t="n">
        <f aca="false">IF(OR($S398="%",$R398=""),"",$R398*INDEX(Cambi!$J$2:$J$5,MATCH($S398,Cambi!$I$2:$I$5,0))/IF($T398="EUR",1,INDEX(Cambi!$D:$D,MATCH($T398&amp;"|"&amp;$U398,Cambi!$C:$C,0))))</f>
        <v>5800</v>
      </c>
      <c r="Y398" s="12" t="s">
        <v>109</v>
      </c>
      <c r="Z398" s="12" t="s">
        <v>109</v>
      </c>
      <c r="AA398" s="12" t="s">
        <v>851</v>
      </c>
      <c r="AB398" s="16" t="s">
        <v>679</v>
      </c>
      <c r="AC398" s="16" t="s">
        <v>2192</v>
      </c>
      <c r="AD398" s="12" t="s">
        <v>281</v>
      </c>
      <c r="AE398" s="12" t="s">
        <v>2315</v>
      </c>
      <c r="AF398" s="12" t="s">
        <v>2325</v>
      </c>
      <c r="AG398" s="12" t="s">
        <v>284</v>
      </c>
      <c r="AH398" s="12" t="s">
        <v>116</v>
      </c>
      <c r="AI398" s="12" t="s">
        <v>285</v>
      </c>
      <c r="AJ398" s="12" t="s">
        <v>2195</v>
      </c>
      <c r="AK398" s="12" t="s">
        <v>4</v>
      </c>
    </row>
    <row r="399" customFormat="false" ht="15" hidden="false" customHeight="false" outlineLevel="0" collapsed="false">
      <c r="A399" s="11" t="n">
        <v>398</v>
      </c>
      <c r="B399" s="12" t="s">
        <v>2326</v>
      </c>
      <c r="C399" s="12" t="s">
        <v>2125</v>
      </c>
      <c r="D399" s="12" t="s">
        <v>2126</v>
      </c>
      <c r="E399" s="12" t="s">
        <v>759</v>
      </c>
      <c r="F399" s="12" t="s">
        <v>2159</v>
      </c>
      <c r="G399" s="12" t="s">
        <v>345</v>
      </c>
      <c r="H399" s="12" t="s">
        <v>2327</v>
      </c>
      <c r="I399" s="12" t="s">
        <v>2328</v>
      </c>
      <c r="J399" s="13" t="s">
        <v>2329</v>
      </c>
      <c r="K399" s="12" t="s">
        <v>2330</v>
      </c>
      <c r="L399" s="12" t="s">
        <v>2331</v>
      </c>
      <c r="M399" s="12" t="s">
        <v>2332</v>
      </c>
      <c r="N399" s="12" t="s">
        <v>352</v>
      </c>
      <c r="O399" s="12" t="s">
        <v>102</v>
      </c>
      <c r="P399" s="12" t="s">
        <v>103</v>
      </c>
      <c r="Q399" s="12" t="s">
        <v>104</v>
      </c>
      <c r="R399" s="14" t="n">
        <v>9.2</v>
      </c>
      <c r="S399" s="14" t="s">
        <v>129</v>
      </c>
      <c r="T399" s="14" t="s">
        <v>106</v>
      </c>
      <c r="U399" s="14" t="n">
        <v>2023</v>
      </c>
      <c r="V399" s="12" t="s">
        <v>157</v>
      </c>
      <c r="W399" s="14"/>
      <c r="X399" s="15" t="n">
        <f aca="false">IF(OR($S399="%",$R399=""),"",$R399*INDEX(Cambi!$J$2:$J$5,MATCH($S399,Cambi!$I$2:$I$5,0))/IF($T399="EUR",1,INDEX(Cambi!$D:$D,MATCH($T399&amp;"|"&amp;$U399,Cambi!$C:$C,0))))</f>
        <v>9200</v>
      </c>
      <c r="Y399" s="12" t="s">
        <v>109</v>
      </c>
      <c r="Z399" s="12" t="s">
        <v>109</v>
      </c>
      <c r="AA399" s="12" t="s">
        <v>851</v>
      </c>
      <c r="AB399" s="16" t="s">
        <v>679</v>
      </c>
      <c r="AC399" s="16" t="s">
        <v>2333</v>
      </c>
      <c r="AD399" s="12" t="s">
        <v>281</v>
      </c>
      <c r="AE399" s="12" t="s">
        <v>2334</v>
      </c>
      <c r="AF399" s="12" t="s">
        <v>2335</v>
      </c>
      <c r="AG399" s="12" t="s">
        <v>284</v>
      </c>
      <c r="AH399" s="12" t="s">
        <v>116</v>
      </c>
      <c r="AI399" s="12" t="s">
        <v>285</v>
      </c>
      <c r="AJ399" s="12" t="s">
        <v>2336</v>
      </c>
      <c r="AK399" s="12" t="s">
        <v>4</v>
      </c>
    </row>
    <row r="400" customFormat="false" ht="15" hidden="false" customHeight="false" outlineLevel="0" collapsed="false">
      <c r="A400" s="11" t="n">
        <v>399</v>
      </c>
      <c r="B400" s="12" t="s">
        <v>2326</v>
      </c>
      <c r="C400" s="12" t="s">
        <v>2125</v>
      </c>
      <c r="D400" s="12" t="s">
        <v>2126</v>
      </c>
      <c r="E400" s="12" t="s">
        <v>759</v>
      </c>
      <c r="F400" s="12" t="s">
        <v>2159</v>
      </c>
      <c r="G400" s="12" t="s">
        <v>345</v>
      </c>
      <c r="H400" s="12" t="s">
        <v>2327</v>
      </c>
      <c r="I400" s="12" t="s">
        <v>2328</v>
      </c>
      <c r="J400" s="13" t="s">
        <v>2329</v>
      </c>
      <c r="K400" s="12" t="s">
        <v>2330</v>
      </c>
      <c r="L400" s="12" t="s">
        <v>2337</v>
      </c>
      <c r="M400" s="12" t="s">
        <v>2338</v>
      </c>
      <c r="N400" s="12" t="s">
        <v>352</v>
      </c>
      <c r="O400" s="12" t="s">
        <v>102</v>
      </c>
      <c r="P400" s="12" t="s">
        <v>155</v>
      </c>
      <c r="Q400" s="12" t="s">
        <v>794</v>
      </c>
      <c r="R400" s="14" t="n">
        <v>0.8</v>
      </c>
      <c r="S400" s="14" t="s">
        <v>129</v>
      </c>
      <c r="T400" s="14" t="s">
        <v>106</v>
      </c>
      <c r="U400" s="14" t="n">
        <v>2023</v>
      </c>
      <c r="V400" s="12" t="s">
        <v>157</v>
      </c>
      <c r="W400" s="14"/>
      <c r="X400" s="15" t="n">
        <f aca="false">IF(OR($S400="%",$R400=""),"",$R400*INDEX(Cambi!$J$2:$J$5,MATCH($S400,Cambi!$I$2:$I$5,0))/IF($T400="EUR",1,INDEX(Cambi!$D:$D,MATCH($T400&amp;"|"&amp;$U400,Cambi!$C:$C,0))))</f>
        <v>800</v>
      </c>
      <c r="Y400" s="12" t="s">
        <v>109</v>
      </c>
      <c r="Z400" s="12" t="s">
        <v>109</v>
      </c>
      <c r="AA400" s="12" t="s">
        <v>851</v>
      </c>
      <c r="AB400" s="16" t="s">
        <v>679</v>
      </c>
      <c r="AC400" s="16" t="s">
        <v>2333</v>
      </c>
      <c r="AD400" s="12" t="s">
        <v>281</v>
      </c>
      <c r="AE400" s="12" t="s">
        <v>2334</v>
      </c>
      <c r="AF400" s="12" t="s">
        <v>2339</v>
      </c>
      <c r="AG400" s="12" t="s">
        <v>284</v>
      </c>
      <c r="AH400" s="12" t="s">
        <v>116</v>
      </c>
      <c r="AI400" s="12" t="s">
        <v>285</v>
      </c>
      <c r="AJ400" s="12" t="s">
        <v>2340</v>
      </c>
      <c r="AK400" s="12" t="s">
        <v>4</v>
      </c>
    </row>
    <row r="401" customFormat="false" ht="15" hidden="false" customHeight="false" outlineLevel="0" collapsed="false">
      <c r="A401" s="11" t="n">
        <v>400</v>
      </c>
      <c r="B401" s="12" t="s">
        <v>2326</v>
      </c>
      <c r="C401" s="12" t="s">
        <v>2125</v>
      </c>
      <c r="D401" s="12" t="s">
        <v>2126</v>
      </c>
      <c r="E401" s="12" t="s">
        <v>759</v>
      </c>
      <c r="F401" s="12" t="s">
        <v>2159</v>
      </c>
      <c r="G401" s="12" t="s">
        <v>345</v>
      </c>
      <c r="H401" s="12" t="s">
        <v>2327</v>
      </c>
      <c r="I401" s="12" t="s">
        <v>2328</v>
      </c>
      <c r="J401" s="13" t="s">
        <v>2329</v>
      </c>
      <c r="K401" s="12" t="s">
        <v>2330</v>
      </c>
      <c r="L401" s="12" t="s">
        <v>2341</v>
      </c>
      <c r="M401" s="12" t="s">
        <v>2342</v>
      </c>
      <c r="N401" s="12" t="s">
        <v>352</v>
      </c>
      <c r="O401" s="12" t="s">
        <v>102</v>
      </c>
      <c r="P401" s="12" t="s">
        <v>155</v>
      </c>
      <c r="Q401" s="12" t="s">
        <v>787</v>
      </c>
      <c r="R401" s="14" t="n">
        <v>4.6</v>
      </c>
      <c r="S401" s="14" t="s">
        <v>129</v>
      </c>
      <c r="T401" s="14" t="s">
        <v>106</v>
      </c>
      <c r="U401" s="14" t="n">
        <v>2023</v>
      </c>
      <c r="V401" s="12" t="s">
        <v>157</v>
      </c>
      <c r="W401" s="14"/>
      <c r="X401" s="15" t="n">
        <f aca="false">IF(OR($S401="%",$R401=""),"",$R401*INDEX(Cambi!$J$2:$J$5,MATCH($S401,Cambi!$I$2:$I$5,0))/IF($T401="EUR",1,INDEX(Cambi!$D:$D,MATCH($T401&amp;"|"&amp;$U401,Cambi!$C:$C,0))))</f>
        <v>4600</v>
      </c>
      <c r="Y401" s="12" t="s">
        <v>109</v>
      </c>
      <c r="Z401" s="12" t="s">
        <v>109</v>
      </c>
      <c r="AA401" s="12" t="s">
        <v>851</v>
      </c>
      <c r="AB401" s="16" t="s">
        <v>679</v>
      </c>
      <c r="AC401" s="16" t="s">
        <v>2333</v>
      </c>
      <c r="AD401" s="12" t="s">
        <v>281</v>
      </c>
      <c r="AE401" s="12" t="s">
        <v>2334</v>
      </c>
      <c r="AF401" s="12" t="s">
        <v>2339</v>
      </c>
      <c r="AG401" s="12" t="s">
        <v>284</v>
      </c>
      <c r="AH401" s="12" t="s">
        <v>116</v>
      </c>
      <c r="AI401" s="12" t="s">
        <v>285</v>
      </c>
      <c r="AJ401" s="12" t="s">
        <v>2343</v>
      </c>
      <c r="AK401" s="12" t="s">
        <v>4</v>
      </c>
    </row>
    <row r="402" customFormat="false" ht="15" hidden="false" customHeight="false" outlineLevel="0" collapsed="false">
      <c r="A402" s="11" t="n">
        <v>401</v>
      </c>
      <c r="B402" s="12" t="s">
        <v>2326</v>
      </c>
      <c r="C402" s="12" t="s">
        <v>2125</v>
      </c>
      <c r="D402" s="12" t="s">
        <v>2126</v>
      </c>
      <c r="E402" s="12" t="s">
        <v>759</v>
      </c>
      <c r="F402" s="12" t="s">
        <v>2159</v>
      </c>
      <c r="G402" s="12" t="s">
        <v>345</v>
      </c>
      <c r="H402" s="12" t="s">
        <v>2327</v>
      </c>
      <c r="I402" s="12" t="s">
        <v>2328</v>
      </c>
      <c r="J402" s="13" t="s">
        <v>2329</v>
      </c>
      <c r="K402" s="12" t="s">
        <v>2330</v>
      </c>
      <c r="L402" s="12" t="s">
        <v>2344</v>
      </c>
      <c r="M402" s="12" t="s">
        <v>2345</v>
      </c>
      <c r="N402" s="12" t="s">
        <v>352</v>
      </c>
      <c r="O402" s="12" t="s">
        <v>102</v>
      </c>
      <c r="P402" s="12" t="s">
        <v>155</v>
      </c>
      <c r="Q402" s="12" t="s">
        <v>1836</v>
      </c>
      <c r="R402" s="14" t="n">
        <v>3.8</v>
      </c>
      <c r="S402" s="14" t="s">
        <v>129</v>
      </c>
      <c r="T402" s="14" t="s">
        <v>106</v>
      </c>
      <c r="U402" s="14" t="n">
        <v>2023</v>
      </c>
      <c r="V402" s="12" t="s">
        <v>157</v>
      </c>
      <c r="W402" s="14"/>
      <c r="X402" s="15" t="n">
        <f aca="false">IF(OR($S402="%",$R402=""),"",$R402*INDEX(Cambi!$J$2:$J$5,MATCH($S402,Cambi!$I$2:$I$5,0))/IF($T402="EUR",1,INDEX(Cambi!$D:$D,MATCH($T402&amp;"|"&amp;$U402,Cambi!$C:$C,0))))</f>
        <v>3800</v>
      </c>
      <c r="Y402" s="12" t="s">
        <v>109</v>
      </c>
      <c r="Z402" s="12" t="s">
        <v>109</v>
      </c>
      <c r="AA402" s="12" t="s">
        <v>851</v>
      </c>
      <c r="AB402" s="16" t="s">
        <v>679</v>
      </c>
      <c r="AC402" s="16" t="s">
        <v>2333</v>
      </c>
      <c r="AD402" s="12" t="s">
        <v>281</v>
      </c>
      <c r="AE402" s="12" t="s">
        <v>2334</v>
      </c>
      <c r="AF402" s="12" t="s">
        <v>2339</v>
      </c>
      <c r="AG402" s="12" t="s">
        <v>284</v>
      </c>
      <c r="AH402" s="12" t="s">
        <v>116</v>
      </c>
      <c r="AI402" s="12" t="s">
        <v>285</v>
      </c>
      <c r="AJ402" s="12" t="s">
        <v>2343</v>
      </c>
      <c r="AK402" s="12" t="s">
        <v>4</v>
      </c>
    </row>
    <row r="403" customFormat="false" ht="15" hidden="false" customHeight="false" outlineLevel="0" collapsed="false">
      <c r="A403" s="11" t="n">
        <v>402</v>
      </c>
      <c r="B403" s="12" t="s">
        <v>2326</v>
      </c>
      <c r="C403" s="12" t="s">
        <v>2125</v>
      </c>
      <c r="D403" s="12" t="s">
        <v>2126</v>
      </c>
      <c r="E403" s="12" t="s">
        <v>759</v>
      </c>
      <c r="F403" s="12" t="s">
        <v>2159</v>
      </c>
      <c r="G403" s="12" t="s">
        <v>345</v>
      </c>
      <c r="H403" s="12" t="s">
        <v>2327</v>
      </c>
      <c r="I403" s="12" t="s">
        <v>2328</v>
      </c>
      <c r="J403" s="13" t="s">
        <v>2329</v>
      </c>
      <c r="K403" s="12" t="s">
        <v>2330</v>
      </c>
      <c r="L403" s="12" t="s">
        <v>2331</v>
      </c>
      <c r="M403" s="12" t="s">
        <v>2346</v>
      </c>
      <c r="N403" s="12" t="s">
        <v>352</v>
      </c>
      <c r="O403" s="12" t="s">
        <v>102</v>
      </c>
      <c r="P403" s="12" t="s">
        <v>103</v>
      </c>
      <c r="Q403" s="12" t="s">
        <v>104</v>
      </c>
      <c r="R403" s="14" t="n">
        <v>10.1</v>
      </c>
      <c r="S403" s="14" t="s">
        <v>129</v>
      </c>
      <c r="T403" s="14" t="s">
        <v>106</v>
      </c>
      <c r="U403" s="14" t="n">
        <v>2024</v>
      </c>
      <c r="V403" s="12" t="s">
        <v>157</v>
      </c>
      <c r="W403" s="14" t="s">
        <v>2347</v>
      </c>
      <c r="X403" s="15" t="n">
        <f aca="false">IF(OR($S403="%",$R403=""),"",$R403*INDEX(Cambi!$J$2:$J$5,MATCH($S403,Cambi!$I$2:$I$5,0))/IF($T403="EUR",1,INDEX(Cambi!$D:$D,MATCH($T403&amp;"|"&amp;$U403,Cambi!$C:$C,0))))</f>
        <v>10100</v>
      </c>
      <c r="Y403" s="12" t="s">
        <v>109</v>
      </c>
      <c r="Z403" s="12" t="s">
        <v>109</v>
      </c>
      <c r="AA403" s="12" t="s">
        <v>851</v>
      </c>
      <c r="AB403" s="16" t="s">
        <v>679</v>
      </c>
      <c r="AC403" s="16" t="s">
        <v>2333</v>
      </c>
      <c r="AD403" s="12" t="s">
        <v>281</v>
      </c>
      <c r="AE403" s="12" t="s">
        <v>2334</v>
      </c>
      <c r="AF403" s="12" t="s">
        <v>2335</v>
      </c>
      <c r="AG403" s="12" t="s">
        <v>284</v>
      </c>
      <c r="AH403" s="12" t="s">
        <v>116</v>
      </c>
      <c r="AI403" s="12" t="s">
        <v>285</v>
      </c>
      <c r="AJ403" s="12" t="s">
        <v>2348</v>
      </c>
      <c r="AK403" s="12" t="s">
        <v>4</v>
      </c>
    </row>
    <row r="404" customFormat="false" ht="15" hidden="false" customHeight="false" outlineLevel="0" collapsed="false">
      <c r="A404" s="11" t="n">
        <v>403</v>
      </c>
      <c r="B404" s="12" t="s">
        <v>2326</v>
      </c>
      <c r="C404" s="12" t="s">
        <v>2125</v>
      </c>
      <c r="D404" s="12" t="s">
        <v>2126</v>
      </c>
      <c r="E404" s="12" t="s">
        <v>759</v>
      </c>
      <c r="F404" s="12" t="s">
        <v>2159</v>
      </c>
      <c r="G404" s="12" t="s">
        <v>345</v>
      </c>
      <c r="H404" s="12" t="s">
        <v>2327</v>
      </c>
      <c r="I404" s="12" t="s">
        <v>2328</v>
      </c>
      <c r="J404" s="13" t="s">
        <v>2329</v>
      </c>
      <c r="K404" s="12" t="s">
        <v>2330</v>
      </c>
      <c r="L404" s="12" t="s">
        <v>2337</v>
      </c>
      <c r="M404" s="12" t="s">
        <v>2349</v>
      </c>
      <c r="N404" s="12" t="s">
        <v>352</v>
      </c>
      <c r="O404" s="12" t="s">
        <v>102</v>
      </c>
      <c r="P404" s="12" t="s">
        <v>155</v>
      </c>
      <c r="Q404" s="12" t="s">
        <v>794</v>
      </c>
      <c r="R404" s="14" t="n">
        <v>0.8</v>
      </c>
      <c r="S404" s="14" t="s">
        <v>129</v>
      </c>
      <c r="T404" s="14" t="s">
        <v>106</v>
      </c>
      <c r="U404" s="14" t="n">
        <v>2024</v>
      </c>
      <c r="V404" s="12" t="s">
        <v>157</v>
      </c>
      <c r="W404" s="14"/>
      <c r="X404" s="15" t="n">
        <f aca="false">IF(OR($S404="%",$R404=""),"",$R404*INDEX(Cambi!$J$2:$J$5,MATCH($S404,Cambi!$I$2:$I$5,0))/IF($T404="EUR",1,INDEX(Cambi!$D:$D,MATCH($T404&amp;"|"&amp;$U404,Cambi!$C:$C,0))))</f>
        <v>800</v>
      </c>
      <c r="Y404" s="12" t="s">
        <v>109</v>
      </c>
      <c r="Z404" s="12" t="s">
        <v>109</v>
      </c>
      <c r="AA404" s="12" t="s">
        <v>851</v>
      </c>
      <c r="AB404" s="16" t="s">
        <v>679</v>
      </c>
      <c r="AC404" s="16" t="s">
        <v>2333</v>
      </c>
      <c r="AD404" s="12" t="s">
        <v>281</v>
      </c>
      <c r="AE404" s="12" t="s">
        <v>2334</v>
      </c>
      <c r="AF404" s="12" t="s">
        <v>2339</v>
      </c>
      <c r="AG404" s="12" t="s">
        <v>284</v>
      </c>
      <c r="AH404" s="12" t="s">
        <v>116</v>
      </c>
      <c r="AI404" s="12" t="s">
        <v>285</v>
      </c>
      <c r="AJ404" s="12" t="s">
        <v>2343</v>
      </c>
      <c r="AK404" s="12" t="s">
        <v>4</v>
      </c>
    </row>
    <row r="405" customFormat="false" ht="15" hidden="false" customHeight="false" outlineLevel="0" collapsed="false">
      <c r="A405" s="11" t="n">
        <v>404</v>
      </c>
      <c r="B405" s="12" t="s">
        <v>2326</v>
      </c>
      <c r="C405" s="12" t="s">
        <v>2125</v>
      </c>
      <c r="D405" s="12" t="s">
        <v>2126</v>
      </c>
      <c r="E405" s="12" t="s">
        <v>759</v>
      </c>
      <c r="F405" s="12" t="s">
        <v>2159</v>
      </c>
      <c r="G405" s="12" t="s">
        <v>345</v>
      </c>
      <c r="H405" s="12" t="s">
        <v>2327</v>
      </c>
      <c r="I405" s="12" t="s">
        <v>2328</v>
      </c>
      <c r="J405" s="13" t="s">
        <v>2329</v>
      </c>
      <c r="K405" s="12" t="s">
        <v>2330</v>
      </c>
      <c r="L405" s="12" t="s">
        <v>2341</v>
      </c>
      <c r="M405" s="12" t="s">
        <v>2350</v>
      </c>
      <c r="N405" s="12" t="s">
        <v>352</v>
      </c>
      <c r="O405" s="12" t="s">
        <v>102</v>
      </c>
      <c r="P405" s="12" t="s">
        <v>155</v>
      </c>
      <c r="Q405" s="12" t="s">
        <v>787</v>
      </c>
      <c r="R405" s="14" t="n">
        <v>5.1</v>
      </c>
      <c r="S405" s="14" t="s">
        <v>129</v>
      </c>
      <c r="T405" s="14" t="s">
        <v>106</v>
      </c>
      <c r="U405" s="14" t="n">
        <v>2024</v>
      </c>
      <c r="V405" s="12" t="s">
        <v>157</v>
      </c>
      <c r="W405" s="14"/>
      <c r="X405" s="15" t="n">
        <f aca="false">IF(OR($S405="%",$R405=""),"",$R405*INDEX(Cambi!$J$2:$J$5,MATCH($S405,Cambi!$I$2:$I$5,0))/IF($T405="EUR",1,INDEX(Cambi!$D:$D,MATCH($T405&amp;"|"&amp;$U405,Cambi!$C:$C,0))))</f>
        <v>5100</v>
      </c>
      <c r="Y405" s="12" t="s">
        <v>109</v>
      </c>
      <c r="Z405" s="12" t="s">
        <v>109</v>
      </c>
      <c r="AA405" s="12" t="s">
        <v>851</v>
      </c>
      <c r="AB405" s="16" t="s">
        <v>679</v>
      </c>
      <c r="AC405" s="16" t="s">
        <v>2333</v>
      </c>
      <c r="AD405" s="12" t="s">
        <v>281</v>
      </c>
      <c r="AE405" s="12" t="s">
        <v>2334</v>
      </c>
      <c r="AF405" s="12" t="s">
        <v>2339</v>
      </c>
      <c r="AG405" s="12" t="s">
        <v>284</v>
      </c>
      <c r="AH405" s="12" t="s">
        <v>116</v>
      </c>
      <c r="AI405" s="12" t="s">
        <v>285</v>
      </c>
      <c r="AJ405" s="12" t="s">
        <v>2343</v>
      </c>
      <c r="AK405" s="12" t="s">
        <v>4</v>
      </c>
    </row>
    <row r="406" customFormat="false" ht="15" hidden="false" customHeight="false" outlineLevel="0" collapsed="false">
      <c r="A406" s="11" t="n">
        <v>405</v>
      </c>
      <c r="B406" s="12" t="s">
        <v>2326</v>
      </c>
      <c r="C406" s="12" t="s">
        <v>2125</v>
      </c>
      <c r="D406" s="12" t="s">
        <v>2126</v>
      </c>
      <c r="E406" s="12" t="s">
        <v>759</v>
      </c>
      <c r="F406" s="12" t="s">
        <v>2159</v>
      </c>
      <c r="G406" s="12" t="s">
        <v>345</v>
      </c>
      <c r="H406" s="12" t="s">
        <v>2327</v>
      </c>
      <c r="I406" s="12" t="s">
        <v>2328</v>
      </c>
      <c r="J406" s="13" t="s">
        <v>2329</v>
      </c>
      <c r="K406" s="12" t="s">
        <v>2330</v>
      </c>
      <c r="L406" s="12" t="s">
        <v>2344</v>
      </c>
      <c r="M406" s="12" t="s">
        <v>2351</v>
      </c>
      <c r="N406" s="12" t="s">
        <v>352</v>
      </c>
      <c r="O406" s="12" t="s">
        <v>102</v>
      </c>
      <c r="P406" s="12" t="s">
        <v>155</v>
      </c>
      <c r="Q406" s="12" t="s">
        <v>1836</v>
      </c>
      <c r="R406" s="14" t="n">
        <v>4.3</v>
      </c>
      <c r="S406" s="14" t="s">
        <v>129</v>
      </c>
      <c r="T406" s="14" t="s">
        <v>106</v>
      </c>
      <c r="U406" s="14" t="n">
        <v>2024</v>
      </c>
      <c r="V406" s="12" t="s">
        <v>157</v>
      </c>
      <c r="W406" s="14"/>
      <c r="X406" s="15" t="n">
        <f aca="false">IF(OR($S406="%",$R406=""),"",$R406*INDEX(Cambi!$J$2:$J$5,MATCH($S406,Cambi!$I$2:$I$5,0))/IF($T406="EUR",1,INDEX(Cambi!$D:$D,MATCH($T406&amp;"|"&amp;$U406,Cambi!$C:$C,0))))</f>
        <v>4300</v>
      </c>
      <c r="Y406" s="12" t="s">
        <v>109</v>
      </c>
      <c r="Z406" s="12" t="s">
        <v>109</v>
      </c>
      <c r="AA406" s="12" t="s">
        <v>851</v>
      </c>
      <c r="AB406" s="16" t="s">
        <v>679</v>
      </c>
      <c r="AC406" s="16" t="s">
        <v>2333</v>
      </c>
      <c r="AD406" s="12" t="s">
        <v>281</v>
      </c>
      <c r="AE406" s="12" t="s">
        <v>2334</v>
      </c>
      <c r="AF406" s="12" t="s">
        <v>2339</v>
      </c>
      <c r="AG406" s="12" t="s">
        <v>284</v>
      </c>
      <c r="AH406" s="12" t="s">
        <v>116</v>
      </c>
      <c r="AI406" s="12" t="s">
        <v>285</v>
      </c>
      <c r="AJ406" s="12" t="s">
        <v>2343</v>
      </c>
      <c r="AK406" s="12" t="s">
        <v>4</v>
      </c>
    </row>
    <row r="407" customFormat="false" ht="15" hidden="false" customHeight="false" outlineLevel="0" collapsed="false">
      <c r="A407" s="11" t="n">
        <v>406</v>
      </c>
      <c r="B407" s="12" t="s">
        <v>2326</v>
      </c>
      <c r="C407" s="12" t="s">
        <v>2125</v>
      </c>
      <c r="D407" s="12" t="s">
        <v>2126</v>
      </c>
      <c r="E407" s="12" t="s">
        <v>759</v>
      </c>
      <c r="F407" s="12" t="s">
        <v>2159</v>
      </c>
      <c r="G407" s="12" t="s">
        <v>345</v>
      </c>
      <c r="H407" s="12" t="s">
        <v>2327</v>
      </c>
      <c r="I407" s="12" t="s">
        <v>2328</v>
      </c>
      <c r="J407" s="13" t="s">
        <v>2329</v>
      </c>
      <c r="K407" s="12" t="s">
        <v>2330</v>
      </c>
      <c r="L407" s="12" t="s">
        <v>2331</v>
      </c>
      <c r="M407" s="12" t="s">
        <v>2352</v>
      </c>
      <c r="N407" s="12" t="s">
        <v>352</v>
      </c>
      <c r="O407" s="12" t="s">
        <v>102</v>
      </c>
      <c r="P407" s="12" t="s">
        <v>103</v>
      </c>
      <c r="Q407" s="12" t="s">
        <v>104</v>
      </c>
      <c r="R407" s="14" t="n">
        <v>11.1</v>
      </c>
      <c r="S407" s="14" t="s">
        <v>129</v>
      </c>
      <c r="T407" s="14" t="s">
        <v>106</v>
      </c>
      <c r="U407" s="14" t="n">
        <v>2025</v>
      </c>
      <c r="V407" s="12" t="s">
        <v>198</v>
      </c>
      <c r="W407" s="14" t="s">
        <v>2353</v>
      </c>
      <c r="X407" s="15" t="n">
        <f aca="false">IF(OR($S407="%",$R407=""),"",$R407*INDEX(Cambi!$J$2:$J$5,MATCH($S407,Cambi!$I$2:$I$5,0))/IF($T407="EUR",1,INDEX(Cambi!$D:$D,MATCH($T407&amp;"|"&amp;$U407,Cambi!$C:$C,0))))</f>
        <v>11100</v>
      </c>
      <c r="Y407" s="12" t="s">
        <v>109</v>
      </c>
      <c r="Z407" s="12" t="s">
        <v>109</v>
      </c>
      <c r="AA407" s="12" t="s">
        <v>851</v>
      </c>
      <c r="AB407" s="16" t="s">
        <v>679</v>
      </c>
      <c r="AC407" s="16" t="s">
        <v>2333</v>
      </c>
      <c r="AD407" s="12" t="s">
        <v>281</v>
      </c>
      <c r="AE407" s="12" t="s">
        <v>2334</v>
      </c>
      <c r="AF407" s="12" t="s">
        <v>2354</v>
      </c>
      <c r="AG407" s="12" t="s">
        <v>284</v>
      </c>
      <c r="AH407" s="12" t="s">
        <v>116</v>
      </c>
      <c r="AI407" s="12" t="s">
        <v>285</v>
      </c>
      <c r="AJ407" s="12" t="s">
        <v>2355</v>
      </c>
      <c r="AK407" s="12" t="s">
        <v>4</v>
      </c>
    </row>
    <row r="408" customFormat="false" ht="15" hidden="false" customHeight="false" outlineLevel="0" collapsed="false">
      <c r="A408" s="11" t="n">
        <v>407</v>
      </c>
      <c r="B408" s="12" t="s">
        <v>2326</v>
      </c>
      <c r="C408" s="12" t="s">
        <v>2125</v>
      </c>
      <c r="D408" s="12" t="s">
        <v>2126</v>
      </c>
      <c r="E408" s="12" t="s">
        <v>759</v>
      </c>
      <c r="F408" s="12" t="s">
        <v>2159</v>
      </c>
      <c r="G408" s="12" t="s">
        <v>345</v>
      </c>
      <c r="H408" s="12" t="s">
        <v>2327</v>
      </c>
      <c r="I408" s="12" t="s">
        <v>2328</v>
      </c>
      <c r="J408" s="13" t="s">
        <v>2329</v>
      </c>
      <c r="K408" s="12" t="s">
        <v>2330</v>
      </c>
      <c r="L408" s="12" t="s">
        <v>2337</v>
      </c>
      <c r="M408" s="12" t="s">
        <v>2356</v>
      </c>
      <c r="N408" s="12" t="s">
        <v>352</v>
      </c>
      <c r="O408" s="12" t="s">
        <v>102</v>
      </c>
      <c r="P408" s="12" t="s">
        <v>155</v>
      </c>
      <c r="Q408" s="12" t="s">
        <v>794</v>
      </c>
      <c r="R408" s="14" t="n">
        <v>0.8</v>
      </c>
      <c r="S408" s="14" t="s">
        <v>129</v>
      </c>
      <c r="T408" s="14" t="s">
        <v>106</v>
      </c>
      <c r="U408" s="14" t="n">
        <v>2025</v>
      </c>
      <c r="V408" s="12" t="s">
        <v>198</v>
      </c>
      <c r="W408" s="14"/>
      <c r="X408" s="15" t="n">
        <f aca="false">IF(OR($S408="%",$R408=""),"",$R408*INDEX(Cambi!$J$2:$J$5,MATCH($S408,Cambi!$I$2:$I$5,0))/IF($T408="EUR",1,INDEX(Cambi!$D:$D,MATCH($T408&amp;"|"&amp;$U408,Cambi!$C:$C,0))))</f>
        <v>800</v>
      </c>
      <c r="Y408" s="12" t="s">
        <v>109</v>
      </c>
      <c r="Z408" s="12" t="s">
        <v>109</v>
      </c>
      <c r="AA408" s="12" t="s">
        <v>851</v>
      </c>
      <c r="AB408" s="16" t="s">
        <v>679</v>
      </c>
      <c r="AC408" s="16" t="s">
        <v>2333</v>
      </c>
      <c r="AD408" s="12" t="s">
        <v>281</v>
      </c>
      <c r="AE408" s="12" t="s">
        <v>2334</v>
      </c>
      <c r="AF408" s="12" t="s">
        <v>2339</v>
      </c>
      <c r="AG408" s="12" t="s">
        <v>284</v>
      </c>
      <c r="AH408" s="12" t="s">
        <v>116</v>
      </c>
      <c r="AI408" s="12" t="s">
        <v>285</v>
      </c>
      <c r="AJ408" s="12" t="s">
        <v>2343</v>
      </c>
      <c r="AK408" s="12" t="s">
        <v>4</v>
      </c>
    </row>
    <row r="409" customFormat="false" ht="15" hidden="false" customHeight="false" outlineLevel="0" collapsed="false">
      <c r="A409" s="11" t="n">
        <v>408</v>
      </c>
      <c r="B409" s="12" t="s">
        <v>2326</v>
      </c>
      <c r="C409" s="12" t="s">
        <v>2125</v>
      </c>
      <c r="D409" s="12" t="s">
        <v>2126</v>
      </c>
      <c r="E409" s="12" t="s">
        <v>759</v>
      </c>
      <c r="F409" s="12" t="s">
        <v>2159</v>
      </c>
      <c r="G409" s="12" t="s">
        <v>345</v>
      </c>
      <c r="H409" s="12" t="s">
        <v>2327</v>
      </c>
      <c r="I409" s="12" t="s">
        <v>2328</v>
      </c>
      <c r="J409" s="13" t="s">
        <v>2329</v>
      </c>
      <c r="K409" s="12" t="s">
        <v>2330</v>
      </c>
      <c r="L409" s="12" t="s">
        <v>2341</v>
      </c>
      <c r="M409" s="12" t="s">
        <v>2357</v>
      </c>
      <c r="N409" s="12" t="s">
        <v>352</v>
      </c>
      <c r="O409" s="12" t="s">
        <v>102</v>
      </c>
      <c r="P409" s="12" t="s">
        <v>155</v>
      </c>
      <c r="Q409" s="12" t="s">
        <v>787</v>
      </c>
      <c r="R409" s="14" t="n">
        <v>5.6</v>
      </c>
      <c r="S409" s="14" t="s">
        <v>129</v>
      </c>
      <c r="T409" s="14" t="s">
        <v>106</v>
      </c>
      <c r="U409" s="14" t="n">
        <v>2025</v>
      </c>
      <c r="V409" s="12" t="s">
        <v>198</v>
      </c>
      <c r="W409" s="14"/>
      <c r="X409" s="15" t="n">
        <f aca="false">IF(OR($S409="%",$R409=""),"",$R409*INDEX(Cambi!$J$2:$J$5,MATCH($S409,Cambi!$I$2:$I$5,0))/IF($T409="EUR",1,INDEX(Cambi!$D:$D,MATCH($T409&amp;"|"&amp;$U409,Cambi!$C:$C,0))))</f>
        <v>5600</v>
      </c>
      <c r="Y409" s="12" t="s">
        <v>109</v>
      </c>
      <c r="Z409" s="12" t="s">
        <v>109</v>
      </c>
      <c r="AA409" s="12" t="s">
        <v>851</v>
      </c>
      <c r="AB409" s="16" t="s">
        <v>679</v>
      </c>
      <c r="AC409" s="16" t="s">
        <v>2333</v>
      </c>
      <c r="AD409" s="12" t="s">
        <v>281</v>
      </c>
      <c r="AE409" s="12" t="s">
        <v>2334</v>
      </c>
      <c r="AF409" s="12" t="s">
        <v>2339</v>
      </c>
      <c r="AG409" s="12" t="s">
        <v>284</v>
      </c>
      <c r="AH409" s="12" t="s">
        <v>116</v>
      </c>
      <c r="AI409" s="12" t="s">
        <v>285</v>
      </c>
      <c r="AJ409" s="12" t="s">
        <v>2358</v>
      </c>
      <c r="AK409" s="12" t="s">
        <v>4</v>
      </c>
    </row>
    <row r="410" customFormat="false" ht="15" hidden="false" customHeight="false" outlineLevel="0" collapsed="false">
      <c r="A410" s="11" t="n">
        <v>409</v>
      </c>
      <c r="B410" s="12" t="s">
        <v>2326</v>
      </c>
      <c r="C410" s="12" t="s">
        <v>2125</v>
      </c>
      <c r="D410" s="12" t="s">
        <v>2126</v>
      </c>
      <c r="E410" s="12" t="s">
        <v>759</v>
      </c>
      <c r="F410" s="12" t="s">
        <v>2159</v>
      </c>
      <c r="G410" s="12" t="s">
        <v>345</v>
      </c>
      <c r="H410" s="12" t="s">
        <v>2327</v>
      </c>
      <c r="I410" s="12" t="s">
        <v>2328</v>
      </c>
      <c r="J410" s="13" t="s">
        <v>2329</v>
      </c>
      <c r="K410" s="12" t="s">
        <v>2330</v>
      </c>
      <c r="L410" s="12" t="s">
        <v>2344</v>
      </c>
      <c r="M410" s="12" t="s">
        <v>2359</v>
      </c>
      <c r="N410" s="12" t="s">
        <v>352</v>
      </c>
      <c r="O410" s="12" t="s">
        <v>102</v>
      </c>
      <c r="P410" s="12" t="s">
        <v>155</v>
      </c>
      <c r="Q410" s="12" t="s">
        <v>1836</v>
      </c>
      <c r="R410" s="14" t="n">
        <v>4.8</v>
      </c>
      <c r="S410" s="14" t="s">
        <v>129</v>
      </c>
      <c r="T410" s="14" t="s">
        <v>106</v>
      </c>
      <c r="U410" s="14" t="n">
        <v>2025</v>
      </c>
      <c r="V410" s="12" t="s">
        <v>198</v>
      </c>
      <c r="W410" s="14"/>
      <c r="X410" s="15" t="n">
        <f aca="false">IF(OR($S410="%",$R410=""),"",$R410*INDEX(Cambi!$J$2:$J$5,MATCH($S410,Cambi!$I$2:$I$5,0))/IF($T410="EUR",1,INDEX(Cambi!$D:$D,MATCH($T410&amp;"|"&amp;$U410,Cambi!$C:$C,0))))</f>
        <v>4800</v>
      </c>
      <c r="Y410" s="12" t="s">
        <v>109</v>
      </c>
      <c r="Z410" s="12" t="s">
        <v>109</v>
      </c>
      <c r="AA410" s="12" t="s">
        <v>851</v>
      </c>
      <c r="AB410" s="16" t="s">
        <v>679</v>
      </c>
      <c r="AC410" s="16" t="s">
        <v>2333</v>
      </c>
      <c r="AD410" s="12" t="s">
        <v>281</v>
      </c>
      <c r="AE410" s="12" t="s">
        <v>2334</v>
      </c>
      <c r="AF410" s="12" t="s">
        <v>2339</v>
      </c>
      <c r="AG410" s="12" t="s">
        <v>284</v>
      </c>
      <c r="AH410" s="12" t="s">
        <v>116</v>
      </c>
      <c r="AI410" s="12" t="s">
        <v>285</v>
      </c>
      <c r="AJ410" s="12" t="s">
        <v>2360</v>
      </c>
      <c r="AK410" s="12" t="s">
        <v>4</v>
      </c>
    </row>
    <row r="411" customFormat="false" ht="15" hidden="false" customHeight="false" outlineLevel="0" collapsed="false">
      <c r="A411" s="11" t="n">
        <v>410</v>
      </c>
      <c r="B411" s="12" t="s">
        <v>2326</v>
      </c>
      <c r="C411" s="12" t="s">
        <v>2125</v>
      </c>
      <c r="D411" s="12" t="s">
        <v>2126</v>
      </c>
      <c r="E411" s="12" t="s">
        <v>759</v>
      </c>
      <c r="F411" s="12" t="s">
        <v>2159</v>
      </c>
      <c r="G411" s="12" t="s">
        <v>345</v>
      </c>
      <c r="H411" s="12" t="s">
        <v>2327</v>
      </c>
      <c r="I411" s="12" t="s">
        <v>2328</v>
      </c>
      <c r="J411" s="13" t="s">
        <v>2329</v>
      </c>
      <c r="K411" s="12" t="s">
        <v>2330</v>
      </c>
      <c r="L411" s="12" t="s">
        <v>2331</v>
      </c>
      <c r="M411" s="12" t="s">
        <v>2361</v>
      </c>
      <c r="N411" s="12" t="s">
        <v>352</v>
      </c>
      <c r="O411" s="12" t="s">
        <v>102</v>
      </c>
      <c r="P411" s="12" t="s">
        <v>103</v>
      </c>
      <c r="Q411" s="12" t="s">
        <v>104</v>
      </c>
      <c r="R411" s="14" t="n">
        <v>12.2</v>
      </c>
      <c r="S411" s="14" t="s">
        <v>129</v>
      </c>
      <c r="T411" s="14" t="s">
        <v>106</v>
      </c>
      <c r="U411" s="14" t="n">
        <v>2026</v>
      </c>
      <c r="V411" s="12" t="s">
        <v>107</v>
      </c>
      <c r="W411" s="14" t="s">
        <v>2362</v>
      </c>
      <c r="X411" s="15" t="n">
        <f aca="false">IF(OR($S411="%",$R411=""),"",$R411*INDEX(Cambi!$J$2:$J$5,MATCH($S411,Cambi!$I$2:$I$5,0))/IF($T411="EUR",1,INDEX(Cambi!$D:$D,MATCH($T411&amp;"|"&amp;$U411,Cambi!$C:$C,0))))</f>
        <v>12200</v>
      </c>
      <c r="Y411" s="12" t="s">
        <v>109</v>
      </c>
      <c r="Z411" s="12" t="s">
        <v>109</v>
      </c>
      <c r="AA411" s="12" t="s">
        <v>851</v>
      </c>
      <c r="AB411" s="16" t="s">
        <v>679</v>
      </c>
      <c r="AC411" s="16" t="s">
        <v>2333</v>
      </c>
      <c r="AD411" s="12" t="s">
        <v>281</v>
      </c>
      <c r="AE411" s="12" t="s">
        <v>2334</v>
      </c>
      <c r="AF411" s="12" t="s">
        <v>2363</v>
      </c>
      <c r="AG411" s="12" t="s">
        <v>284</v>
      </c>
      <c r="AH411" s="12" t="s">
        <v>116</v>
      </c>
      <c r="AI411" s="12" t="s">
        <v>285</v>
      </c>
      <c r="AJ411" s="12" t="s">
        <v>2364</v>
      </c>
      <c r="AK411" s="12" t="s">
        <v>4</v>
      </c>
    </row>
    <row r="412" customFormat="false" ht="15" hidden="false" customHeight="false" outlineLevel="0" collapsed="false">
      <c r="A412" s="11" t="n">
        <v>411</v>
      </c>
      <c r="B412" s="12" t="s">
        <v>2326</v>
      </c>
      <c r="C412" s="12" t="s">
        <v>2125</v>
      </c>
      <c r="D412" s="12" t="s">
        <v>2126</v>
      </c>
      <c r="E412" s="12" t="s">
        <v>759</v>
      </c>
      <c r="F412" s="12" t="s">
        <v>2159</v>
      </c>
      <c r="G412" s="12" t="s">
        <v>345</v>
      </c>
      <c r="H412" s="12" t="s">
        <v>2327</v>
      </c>
      <c r="I412" s="12" t="s">
        <v>2328</v>
      </c>
      <c r="J412" s="13" t="s">
        <v>2329</v>
      </c>
      <c r="K412" s="12" t="s">
        <v>2330</v>
      </c>
      <c r="L412" s="12" t="s">
        <v>2337</v>
      </c>
      <c r="M412" s="12" t="s">
        <v>2365</v>
      </c>
      <c r="N412" s="12" t="s">
        <v>352</v>
      </c>
      <c r="O412" s="12" t="s">
        <v>102</v>
      </c>
      <c r="P412" s="12" t="s">
        <v>155</v>
      </c>
      <c r="Q412" s="12" t="s">
        <v>794</v>
      </c>
      <c r="R412" s="14" t="n">
        <v>0.8</v>
      </c>
      <c r="S412" s="14" t="s">
        <v>129</v>
      </c>
      <c r="T412" s="14" t="s">
        <v>106</v>
      </c>
      <c r="U412" s="14" t="n">
        <v>2026</v>
      </c>
      <c r="V412" s="12" t="s">
        <v>107</v>
      </c>
      <c r="W412" s="14"/>
      <c r="X412" s="15" t="n">
        <f aca="false">IF(OR($S412="%",$R412=""),"",$R412*INDEX(Cambi!$J$2:$J$5,MATCH($S412,Cambi!$I$2:$I$5,0))/IF($T412="EUR",1,INDEX(Cambi!$D:$D,MATCH($T412&amp;"|"&amp;$U412,Cambi!$C:$C,0))))</f>
        <v>800</v>
      </c>
      <c r="Y412" s="12" t="s">
        <v>109</v>
      </c>
      <c r="Z412" s="12" t="s">
        <v>109</v>
      </c>
      <c r="AA412" s="12" t="s">
        <v>851</v>
      </c>
      <c r="AB412" s="16" t="s">
        <v>679</v>
      </c>
      <c r="AC412" s="16" t="s">
        <v>2333</v>
      </c>
      <c r="AD412" s="12" t="s">
        <v>281</v>
      </c>
      <c r="AE412" s="12" t="s">
        <v>2334</v>
      </c>
      <c r="AF412" s="12" t="s">
        <v>2339</v>
      </c>
      <c r="AG412" s="12" t="s">
        <v>284</v>
      </c>
      <c r="AH412" s="12" t="s">
        <v>116</v>
      </c>
      <c r="AI412" s="12" t="s">
        <v>285</v>
      </c>
      <c r="AJ412" s="12" t="s">
        <v>2343</v>
      </c>
      <c r="AK412" s="12" t="s">
        <v>4</v>
      </c>
    </row>
    <row r="413" customFormat="false" ht="15" hidden="false" customHeight="false" outlineLevel="0" collapsed="false">
      <c r="A413" s="11" t="n">
        <v>412</v>
      </c>
      <c r="B413" s="12" t="s">
        <v>2326</v>
      </c>
      <c r="C413" s="12" t="s">
        <v>2125</v>
      </c>
      <c r="D413" s="12" t="s">
        <v>2126</v>
      </c>
      <c r="E413" s="12" t="s">
        <v>759</v>
      </c>
      <c r="F413" s="12" t="s">
        <v>2159</v>
      </c>
      <c r="G413" s="12" t="s">
        <v>345</v>
      </c>
      <c r="H413" s="12" t="s">
        <v>2327</v>
      </c>
      <c r="I413" s="12" t="s">
        <v>2328</v>
      </c>
      <c r="J413" s="13" t="s">
        <v>2329</v>
      </c>
      <c r="K413" s="12" t="s">
        <v>2330</v>
      </c>
      <c r="L413" s="12" t="s">
        <v>2341</v>
      </c>
      <c r="M413" s="12" t="s">
        <v>2366</v>
      </c>
      <c r="N413" s="12" t="s">
        <v>352</v>
      </c>
      <c r="O413" s="12" t="s">
        <v>102</v>
      </c>
      <c r="P413" s="12" t="s">
        <v>155</v>
      </c>
      <c r="Q413" s="12" t="s">
        <v>787</v>
      </c>
      <c r="R413" s="14" t="n">
        <v>6.1</v>
      </c>
      <c r="S413" s="14" t="s">
        <v>129</v>
      </c>
      <c r="T413" s="14" t="s">
        <v>106</v>
      </c>
      <c r="U413" s="14" t="n">
        <v>2026</v>
      </c>
      <c r="V413" s="12" t="s">
        <v>107</v>
      </c>
      <c r="W413" s="14"/>
      <c r="X413" s="15" t="n">
        <f aca="false">IF(OR($S413="%",$R413=""),"",$R413*INDEX(Cambi!$J$2:$J$5,MATCH($S413,Cambi!$I$2:$I$5,0))/IF($T413="EUR",1,INDEX(Cambi!$D:$D,MATCH($T413&amp;"|"&amp;$U413,Cambi!$C:$C,0))))</f>
        <v>6100</v>
      </c>
      <c r="Y413" s="12" t="s">
        <v>109</v>
      </c>
      <c r="Z413" s="12" t="s">
        <v>109</v>
      </c>
      <c r="AA413" s="12" t="s">
        <v>851</v>
      </c>
      <c r="AB413" s="16" t="s">
        <v>679</v>
      </c>
      <c r="AC413" s="16" t="s">
        <v>2333</v>
      </c>
      <c r="AD413" s="12" t="s">
        <v>281</v>
      </c>
      <c r="AE413" s="12" t="s">
        <v>2334</v>
      </c>
      <c r="AF413" s="12" t="s">
        <v>2339</v>
      </c>
      <c r="AG413" s="12" t="s">
        <v>284</v>
      </c>
      <c r="AH413" s="12" t="s">
        <v>116</v>
      </c>
      <c r="AI413" s="12" t="s">
        <v>285</v>
      </c>
      <c r="AJ413" s="12" t="s">
        <v>2343</v>
      </c>
      <c r="AK413" s="12" t="s">
        <v>4</v>
      </c>
    </row>
    <row r="414" customFormat="false" ht="15" hidden="false" customHeight="false" outlineLevel="0" collapsed="false">
      <c r="A414" s="11" t="n">
        <v>413</v>
      </c>
      <c r="B414" s="12" t="s">
        <v>2326</v>
      </c>
      <c r="C414" s="12" t="s">
        <v>2125</v>
      </c>
      <c r="D414" s="12" t="s">
        <v>2126</v>
      </c>
      <c r="E414" s="12" t="s">
        <v>759</v>
      </c>
      <c r="F414" s="12" t="s">
        <v>2159</v>
      </c>
      <c r="G414" s="12" t="s">
        <v>345</v>
      </c>
      <c r="H414" s="12" t="s">
        <v>2327</v>
      </c>
      <c r="I414" s="12" t="s">
        <v>2328</v>
      </c>
      <c r="J414" s="13" t="s">
        <v>2329</v>
      </c>
      <c r="K414" s="12" t="s">
        <v>2330</v>
      </c>
      <c r="L414" s="12" t="s">
        <v>2344</v>
      </c>
      <c r="M414" s="12" t="s">
        <v>2367</v>
      </c>
      <c r="N414" s="12" t="s">
        <v>352</v>
      </c>
      <c r="O414" s="12" t="s">
        <v>102</v>
      </c>
      <c r="P414" s="12" t="s">
        <v>155</v>
      </c>
      <c r="Q414" s="12" t="s">
        <v>1836</v>
      </c>
      <c r="R414" s="14" t="n">
        <v>5.3</v>
      </c>
      <c r="S414" s="14" t="s">
        <v>129</v>
      </c>
      <c r="T414" s="14" t="s">
        <v>106</v>
      </c>
      <c r="U414" s="14" t="n">
        <v>2026</v>
      </c>
      <c r="V414" s="12" t="s">
        <v>107</v>
      </c>
      <c r="W414" s="14"/>
      <c r="X414" s="15" t="n">
        <f aca="false">IF(OR($S414="%",$R414=""),"",$R414*INDEX(Cambi!$J$2:$J$5,MATCH($S414,Cambi!$I$2:$I$5,0))/IF($T414="EUR",1,INDEX(Cambi!$D:$D,MATCH($T414&amp;"|"&amp;$U414,Cambi!$C:$C,0))))</f>
        <v>5300</v>
      </c>
      <c r="Y414" s="12" t="s">
        <v>109</v>
      </c>
      <c r="Z414" s="12" t="s">
        <v>109</v>
      </c>
      <c r="AA414" s="12" t="s">
        <v>851</v>
      </c>
      <c r="AB414" s="16" t="s">
        <v>679</v>
      </c>
      <c r="AC414" s="16" t="s">
        <v>2333</v>
      </c>
      <c r="AD414" s="12" t="s">
        <v>281</v>
      </c>
      <c r="AE414" s="12" t="s">
        <v>2334</v>
      </c>
      <c r="AF414" s="12" t="s">
        <v>2339</v>
      </c>
      <c r="AG414" s="12" t="s">
        <v>284</v>
      </c>
      <c r="AH414" s="12" t="s">
        <v>116</v>
      </c>
      <c r="AI414" s="12" t="s">
        <v>285</v>
      </c>
      <c r="AJ414" s="12" t="s">
        <v>2343</v>
      </c>
      <c r="AK414" s="12" t="s">
        <v>4</v>
      </c>
    </row>
    <row r="415" customFormat="false" ht="15" hidden="false" customHeight="false" outlineLevel="0" collapsed="false">
      <c r="A415" s="11" t="n">
        <v>414</v>
      </c>
      <c r="B415" s="12" t="s">
        <v>2368</v>
      </c>
      <c r="C415" s="12" t="s">
        <v>2125</v>
      </c>
      <c r="D415" s="12" t="s">
        <v>2126</v>
      </c>
      <c r="E415" s="12" t="s">
        <v>759</v>
      </c>
      <c r="F415" s="12" t="s">
        <v>2159</v>
      </c>
      <c r="G415" s="12" t="s">
        <v>345</v>
      </c>
      <c r="H415" s="12" t="s">
        <v>2369</v>
      </c>
      <c r="I415" s="12" t="s">
        <v>2370</v>
      </c>
      <c r="J415" s="13" t="s">
        <v>2371</v>
      </c>
      <c r="K415" s="12" t="s">
        <v>2372</v>
      </c>
      <c r="L415" s="12" t="s">
        <v>2266</v>
      </c>
      <c r="M415" s="12" t="s">
        <v>2291</v>
      </c>
      <c r="N415" s="12" t="s">
        <v>352</v>
      </c>
      <c r="O415" s="12" t="s">
        <v>102</v>
      </c>
      <c r="P415" s="12" t="s">
        <v>155</v>
      </c>
      <c r="Q415" s="12" t="s">
        <v>787</v>
      </c>
      <c r="R415" s="14" t="n">
        <v>4.4</v>
      </c>
      <c r="S415" s="14" t="s">
        <v>129</v>
      </c>
      <c r="T415" s="14" t="s">
        <v>106</v>
      </c>
      <c r="U415" s="14" t="n">
        <v>2024</v>
      </c>
      <c r="V415" s="12" t="s">
        <v>198</v>
      </c>
      <c r="W415" s="14" t="s">
        <v>2373</v>
      </c>
      <c r="X415" s="15" t="n">
        <f aca="false">IF(OR($S415="%",$R415=""),"",$R415*INDEX(Cambi!$J$2:$J$5,MATCH($S415,Cambi!$I$2:$I$5,0))/IF($T415="EUR",1,INDEX(Cambi!$D:$D,MATCH($T415&amp;"|"&amp;$U415,Cambi!$C:$C,0))))</f>
        <v>4400</v>
      </c>
      <c r="Y415" s="12" t="s">
        <v>109</v>
      </c>
      <c r="Z415" s="12" t="s">
        <v>109</v>
      </c>
      <c r="AA415" s="12" t="s">
        <v>851</v>
      </c>
      <c r="AB415" s="16" t="s">
        <v>679</v>
      </c>
      <c r="AC415" s="16" t="s">
        <v>2192</v>
      </c>
      <c r="AD415" s="12" t="s">
        <v>281</v>
      </c>
      <c r="AE415" s="12" t="s">
        <v>2374</v>
      </c>
      <c r="AF415" s="12" t="s">
        <v>2375</v>
      </c>
      <c r="AG415" s="12" t="s">
        <v>284</v>
      </c>
      <c r="AH415" s="12" t="s">
        <v>116</v>
      </c>
      <c r="AI415" s="12" t="s">
        <v>285</v>
      </c>
      <c r="AJ415" s="12" t="s">
        <v>2376</v>
      </c>
      <c r="AK415" s="12" t="s">
        <v>4</v>
      </c>
    </row>
    <row r="416" customFormat="false" ht="15" hidden="false" customHeight="false" outlineLevel="0" collapsed="false">
      <c r="A416" s="11" t="n">
        <v>415</v>
      </c>
      <c r="B416" s="12" t="s">
        <v>2368</v>
      </c>
      <c r="C416" s="12" t="s">
        <v>2125</v>
      </c>
      <c r="D416" s="12" t="s">
        <v>2126</v>
      </c>
      <c r="E416" s="12" t="s">
        <v>759</v>
      </c>
      <c r="F416" s="12" t="s">
        <v>2159</v>
      </c>
      <c r="G416" s="12" t="s">
        <v>345</v>
      </c>
      <c r="H416" s="12" t="s">
        <v>2369</v>
      </c>
      <c r="I416" s="12" t="s">
        <v>2370</v>
      </c>
      <c r="J416" s="13" t="s">
        <v>2371</v>
      </c>
      <c r="K416" s="12" t="s">
        <v>2372</v>
      </c>
      <c r="L416" s="12" t="s">
        <v>2294</v>
      </c>
      <c r="M416" s="12" t="s">
        <v>2377</v>
      </c>
      <c r="N416" s="12" t="s">
        <v>352</v>
      </c>
      <c r="O416" s="12" t="s">
        <v>102</v>
      </c>
      <c r="P416" s="12" t="s">
        <v>103</v>
      </c>
      <c r="Q416" s="12" t="s">
        <v>104</v>
      </c>
      <c r="R416" s="14" t="n">
        <v>10.5</v>
      </c>
      <c r="S416" s="14" t="s">
        <v>129</v>
      </c>
      <c r="T416" s="14" t="s">
        <v>106</v>
      </c>
      <c r="U416" s="14" t="n">
        <v>2024</v>
      </c>
      <c r="V416" s="12" t="s">
        <v>198</v>
      </c>
      <c r="W416" s="14" t="s">
        <v>2378</v>
      </c>
      <c r="X416" s="15" t="n">
        <f aca="false">IF(OR($S416="%",$R416=""),"",$R416*INDEX(Cambi!$J$2:$J$5,MATCH($S416,Cambi!$I$2:$I$5,0))/IF($T416="EUR",1,INDEX(Cambi!$D:$D,MATCH($T416&amp;"|"&amp;$U416,Cambi!$C:$C,0))))</f>
        <v>10500</v>
      </c>
      <c r="Y416" s="12" t="s">
        <v>109</v>
      </c>
      <c r="Z416" s="12" t="s">
        <v>109</v>
      </c>
      <c r="AA416" s="12" t="s">
        <v>851</v>
      </c>
      <c r="AB416" s="16" t="s">
        <v>679</v>
      </c>
      <c r="AC416" s="16" t="s">
        <v>2192</v>
      </c>
      <c r="AD416" s="12" t="s">
        <v>281</v>
      </c>
      <c r="AE416" s="12" t="s">
        <v>2374</v>
      </c>
      <c r="AF416" s="12" t="s">
        <v>2379</v>
      </c>
      <c r="AG416" s="12" t="s">
        <v>284</v>
      </c>
      <c r="AH416" s="12" t="s">
        <v>116</v>
      </c>
      <c r="AI416" s="12" t="s">
        <v>285</v>
      </c>
      <c r="AJ416" s="12" t="s">
        <v>2380</v>
      </c>
      <c r="AK416" s="12" t="s">
        <v>4</v>
      </c>
    </row>
    <row r="417" customFormat="false" ht="15" hidden="false" customHeight="false" outlineLevel="0" collapsed="false">
      <c r="A417" s="11" t="n">
        <v>416</v>
      </c>
      <c r="B417" s="12" t="s">
        <v>2368</v>
      </c>
      <c r="C417" s="12" t="s">
        <v>2125</v>
      </c>
      <c r="D417" s="12" t="s">
        <v>2126</v>
      </c>
      <c r="E417" s="12" t="s">
        <v>759</v>
      </c>
      <c r="F417" s="12" t="s">
        <v>2159</v>
      </c>
      <c r="G417" s="12" t="s">
        <v>345</v>
      </c>
      <c r="H417" s="12" t="s">
        <v>2369</v>
      </c>
      <c r="I417" s="12" t="s">
        <v>2370</v>
      </c>
      <c r="J417" s="13" t="s">
        <v>2371</v>
      </c>
      <c r="K417" s="12" t="s">
        <v>2372</v>
      </c>
      <c r="L417" s="12" t="s">
        <v>2381</v>
      </c>
      <c r="M417" s="12" t="s">
        <v>2323</v>
      </c>
      <c r="N417" s="12" t="s">
        <v>352</v>
      </c>
      <c r="O417" s="12" t="s">
        <v>102</v>
      </c>
      <c r="P417" s="12" t="s">
        <v>155</v>
      </c>
      <c r="Q417" s="12" t="s">
        <v>799</v>
      </c>
      <c r="R417" s="14" t="n">
        <v>5.2</v>
      </c>
      <c r="S417" s="14" t="s">
        <v>129</v>
      </c>
      <c r="T417" s="14" t="s">
        <v>106</v>
      </c>
      <c r="U417" s="14" t="n">
        <v>2024</v>
      </c>
      <c r="V417" s="12" t="s">
        <v>198</v>
      </c>
      <c r="W417" s="14" t="s">
        <v>2382</v>
      </c>
      <c r="X417" s="15" t="n">
        <f aca="false">IF(OR($S417="%",$R417=""),"",$R417*INDEX(Cambi!$J$2:$J$5,MATCH($S417,Cambi!$I$2:$I$5,0))/IF($T417="EUR",1,INDEX(Cambi!$D:$D,MATCH($T417&amp;"|"&amp;$U417,Cambi!$C:$C,0))))</f>
        <v>5200</v>
      </c>
      <c r="Y417" s="12" t="s">
        <v>109</v>
      </c>
      <c r="Z417" s="12" t="s">
        <v>109</v>
      </c>
      <c r="AA417" s="12" t="s">
        <v>851</v>
      </c>
      <c r="AB417" s="16" t="s">
        <v>679</v>
      </c>
      <c r="AC417" s="16" t="s">
        <v>2192</v>
      </c>
      <c r="AD417" s="12" t="s">
        <v>281</v>
      </c>
      <c r="AE417" s="12" t="s">
        <v>2374</v>
      </c>
      <c r="AF417" s="12" t="s">
        <v>2383</v>
      </c>
      <c r="AG417" s="12" t="s">
        <v>284</v>
      </c>
      <c r="AH417" s="12" t="s">
        <v>116</v>
      </c>
      <c r="AI417" s="12" t="s">
        <v>285</v>
      </c>
      <c r="AJ417" s="12" t="s">
        <v>2384</v>
      </c>
      <c r="AK417" s="12" t="s">
        <v>4</v>
      </c>
    </row>
    <row r="418" customFormat="false" ht="15" hidden="false" customHeight="false" outlineLevel="0" collapsed="false">
      <c r="A418" s="11" t="n">
        <v>417</v>
      </c>
      <c r="B418" s="12" t="s">
        <v>2368</v>
      </c>
      <c r="C418" s="12" t="s">
        <v>2125</v>
      </c>
      <c r="D418" s="12" t="s">
        <v>2126</v>
      </c>
      <c r="E418" s="12" t="s">
        <v>759</v>
      </c>
      <c r="F418" s="12" t="s">
        <v>2159</v>
      </c>
      <c r="G418" s="12" t="s">
        <v>345</v>
      </c>
      <c r="H418" s="12" t="s">
        <v>2369</v>
      </c>
      <c r="I418" s="12" t="s">
        <v>2370</v>
      </c>
      <c r="J418" s="13" t="s">
        <v>2371</v>
      </c>
      <c r="K418" s="12" t="s">
        <v>2372</v>
      </c>
      <c r="L418" s="12" t="s">
        <v>2385</v>
      </c>
      <c r="M418" s="12" t="s">
        <v>2275</v>
      </c>
      <c r="N418" s="12" t="s">
        <v>352</v>
      </c>
      <c r="O418" s="12" t="s">
        <v>102</v>
      </c>
      <c r="P418" s="12" t="s">
        <v>155</v>
      </c>
      <c r="Q418" s="12" t="s">
        <v>794</v>
      </c>
      <c r="R418" s="14" t="n">
        <v>939</v>
      </c>
      <c r="S418" s="14" t="s">
        <v>105</v>
      </c>
      <c r="T418" s="14" t="s">
        <v>106</v>
      </c>
      <c r="U418" s="14" t="n">
        <v>2024</v>
      </c>
      <c r="V418" s="12" t="s">
        <v>198</v>
      </c>
      <c r="W418" s="14" t="s">
        <v>2386</v>
      </c>
      <c r="X418" s="15" t="n">
        <f aca="false">IF(OR($S418="%",$R418=""),"",$R418*INDEX(Cambi!$J$2:$J$5,MATCH($S418,Cambi!$I$2:$I$5,0))/IF($T418="EUR",1,INDEX(Cambi!$D:$D,MATCH($T418&amp;"|"&amp;$U418,Cambi!$C:$C,0))))</f>
        <v>939</v>
      </c>
      <c r="Y418" s="12" t="s">
        <v>109</v>
      </c>
      <c r="Z418" s="12" t="s">
        <v>109</v>
      </c>
      <c r="AA418" s="12" t="s">
        <v>851</v>
      </c>
      <c r="AB418" s="16" t="s">
        <v>679</v>
      </c>
      <c r="AC418" s="16" t="s">
        <v>2192</v>
      </c>
      <c r="AD418" s="12" t="s">
        <v>281</v>
      </c>
      <c r="AE418" s="12" t="s">
        <v>2374</v>
      </c>
      <c r="AF418" s="12" t="s">
        <v>2387</v>
      </c>
      <c r="AG418" s="12" t="s">
        <v>284</v>
      </c>
      <c r="AH418" s="12" t="s">
        <v>116</v>
      </c>
      <c r="AI418" s="12" t="s">
        <v>285</v>
      </c>
      <c r="AJ418" s="12" t="s">
        <v>2195</v>
      </c>
      <c r="AK418" s="12" t="s">
        <v>4</v>
      </c>
    </row>
    <row r="419" customFormat="false" ht="15" hidden="false" customHeight="false" outlineLevel="0" collapsed="false">
      <c r="A419" s="11" t="n">
        <v>418</v>
      </c>
      <c r="B419" s="12" t="s">
        <v>2368</v>
      </c>
      <c r="C419" s="12" t="s">
        <v>2125</v>
      </c>
      <c r="D419" s="12" t="s">
        <v>2126</v>
      </c>
      <c r="E419" s="12" t="s">
        <v>759</v>
      </c>
      <c r="F419" s="12" t="s">
        <v>2159</v>
      </c>
      <c r="G419" s="12" t="s">
        <v>345</v>
      </c>
      <c r="H419" s="12" t="s">
        <v>2369</v>
      </c>
      <c r="I419" s="12" t="s">
        <v>2370</v>
      </c>
      <c r="J419" s="13" t="s">
        <v>2371</v>
      </c>
      <c r="K419" s="12" t="s">
        <v>2372</v>
      </c>
      <c r="L419" s="12" t="s">
        <v>2388</v>
      </c>
      <c r="M419" s="12" t="s">
        <v>2389</v>
      </c>
      <c r="N419" s="12" t="s">
        <v>352</v>
      </c>
      <c r="O419" s="12" t="s">
        <v>102</v>
      </c>
      <c r="P419" s="12" t="s">
        <v>103</v>
      </c>
      <c r="Q419" s="12" t="s">
        <v>104</v>
      </c>
      <c r="R419" s="14" t="n">
        <v>12</v>
      </c>
      <c r="S419" s="14" t="s">
        <v>129</v>
      </c>
      <c r="T419" s="14" t="s">
        <v>106</v>
      </c>
      <c r="U419" s="14" t="n">
        <v>2025</v>
      </c>
      <c r="V419" s="12" t="s">
        <v>107</v>
      </c>
      <c r="W419" s="14" t="s">
        <v>2390</v>
      </c>
      <c r="X419" s="15" t="n">
        <f aca="false">IF(OR($S419="%",$R419=""),"",$R419*INDEX(Cambi!$J$2:$J$5,MATCH($S419,Cambi!$I$2:$I$5,0))/IF($T419="EUR",1,INDEX(Cambi!$D:$D,MATCH($T419&amp;"|"&amp;$U419,Cambi!$C:$C,0))))</f>
        <v>12000</v>
      </c>
      <c r="Y419" s="12" t="s">
        <v>109</v>
      </c>
      <c r="Z419" s="12" t="s">
        <v>109</v>
      </c>
      <c r="AA419" s="12" t="s">
        <v>851</v>
      </c>
      <c r="AB419" s="16" t="s">
        <v>679</v>
      </c>
      <c r="AC419" s="16" t="s">
        <v>2192</v>
      </c>
      <c r="AD419" s="12" t="s">
        <v>281</v>
      </c>
      <c r="AE419" s="12" t="s">
        <v>2374</v>
      </c>
      <c r="AF419" s="12" t="s">
        <v>2391</v>
      </c>
      <c r="AG419" s="12" t="s">
        <v>284</v>
      </c>
      <c r="AH419" s="12" t="s">
        <v>116</v>
      </c>
      <c r="AI419" s="12" t="s">
        <v>285</v>
      </c>
      <c r="AJ419" s="12" t="s">
        <v>2392</v>
      </c>
      <c r="AK419" s="12" t="s">
        <v>4</v>
      </c>
    </row>
    <row r="420" customFormat="false" ht="15" hidden="false" customHeight="false" outlineLevel="0" collapsed="false">
      <c r="A420" s="11" t="n">
        <v>419</v>
      </c>
      <c r="B420" s="12" t="s">
        <v>2393</v>
      </c>
      <c r="C420" s="12" t="s">
        <v>2125</v>
      </c>
      <c r="D420" s="12" t="s">
        <v>2126</v>
      </c>
      <c r="E420" s="12" t="s">
        <v>759</v>
      </c>
      <c r="F420" s="12" t="s">
        <v>2394</v>
      </c>
      <c r="G420" s="12" t="s">
        <v>345</v>
      </c>
      <c r="H420" s="12" t="s">
        <v>2395</v>
      </c>
      <c r="I420" s="12" t="s">
        <v>181</v>
      </c>
      <c r="J420" s="13" t="s">
        <v>2396</v>
      </c>
      <c r="K420" s="12"/>
      <c r="L420" s="12" t="s">
        <v>2397</v>
      </c>
      <c r="M420" s="12" t="s">
        <v>2398</v>
      </c>
      <c r="N420" s="12" t="s">
        <v>195</v>
      </c>
      <c r="O420" s="12" t="s">
        <v>196</v>
      </c>
      <c r="P420" s="12" t="s">
        <v>103</v>
      </c>
      <c r="Q420" s="12" t="s">
        <v>104</v>
      </c>
      <c r="R420" s="14" t="n">
        <v>18</v>
      </c>
      <c r="S420" s="14" t="s">
        <v>197</v>
      </c>
      <c r="T420" s="14"/>
      <c r="U420" s="14" t="n">
        <v>2025</v>
      </c>
      <c r="V420" s="12" t="s">
        <v>157</v>
      </c>
      <c r="W420" s="14"/>
      <c r="X420" s="15" t="str">
        <f aca="false">IF(OR($S420="%",$R420=""),"",$R420*INDEX(Cambi!$J$2:$J$5,MATCH($S420,Cambi!$I$2:$I$5,0))/IF($T420="EUR",1,INDEX(Cambi!$D:$D,MATCH($T420&amp;"|"&amp;$U420,Cambi!$C:$C,0))))</f>
        <v/>
      </c>
      <c r="Y420" s="12" t="s">
        <v>239</v>
      </c>
      <c r="Z420" s="12" t="s">
        <v>109</v>
      </c>
      <c r="AA420" s="12" t="s">
        <v>109</v>
      </c>
      <c r="AB420" s="12" t="s">
        <v>394</v>
      </c>
      <c r="AC420" s="12" t="s">
        <v>395</v>
      </c>
      <c r="AD420" s="12" t="s">
        <v>2399</v>
      </c>
      <c r="AE420" s="12" t="s">
        <v>2400</v>
      </c>
      <c r="AF420" s="12" t="s">
        <v>2401</v>
      </c>
      <c r="AG420" s="12" t="s">
        <v>115</v>
      </c>
      <c r="AH420" s="12" t="s">
        <v>116</v>
      </c>
      <c r="AI420" s="12" t="s">
        <v>117</v>
      </c>
      <c r="AJ420" s="12" t="s">
        <v>2402</v>
      </c>
      <c r="AK420" s="12" t="s">
        <v>4</v>
      </c>
    </row>
    <row r="421" customFormat="false" ht="15" hidden="false" customHeight="false" outlineLevel="0" collapsed="false">
      <c r="A421" s="11" t="n">
        <v>420</v>
      </c>
      <c r="B421" s="12" t="s">
        <v>2403</v>
      </c>
      <c r="C421" s="12" t="s">
        <v>2125</v>
      </c>
      <c r="D421" s="12" t="s">
        <v>2126</v>
      </c>
      <c r="E421" s="12" t="s">
        <v>759</v>
      </c>
      <c r="F421" s="12" t="s">
        <v>2394</v>
      </c>
      <c r="G421" s="12" t="s">
        <v>345</v>
      </c>
      <c r="H421" s="12" t="s">
        <v>2404</v>
      </c>
      <c r="I421" s="12" t="s">
        <v>1657</v>
      </c>
      <c r="J421" s="13" t="s">
        <v>2405</v>
      </c>
      <c r="K421" s="12"/>
      <c r="L421" s="12" t="s">
        <v>2406</v>
      </c>
      <c r="M421" s="12" t="s">
        <v>2407</v>
      </c>
      <c r="N421" s="12" t="s">
        <v>195</v>
      </c>
      <c r="O421" s="12" t="s">
        <v>196</v>
      </c>
      <c r="P421" s="12" t="s">
        <v>103</v>
      </c>
      <c r="Q421" s="12" t="s">
        <v>104</v>
      </c>
      <c r="R421" s="14" t="n">
        <v>9</v>
      </c>
      <c r="S421" s="14" t="s">
        <v>197</v>
      </c>
      <c r="T421" s="14"/>
      <c r="U421" s="14" t="n">
        <v>2022</v>
      </c>
      <c r="V421" s="12" t="s">
        <v>157</v>
      </c>
      <c r="W421" s="14"/>
      <c r="X421" s="15" t="str">
        <f aca="false">IF(OR($S421="%",$R421=""),"",$R421*INDEX(Cambi!$J$2:$J$5,MATCH($S421,Cambi!$I$2:$I$5,0))/IF($T421="EUR",1,INDEX(Cambi!$D:$D,MATCH($T421&amp;"|"&amp;$U421,Cambi!$C:$C,0))))</f>
        <v/>
      </c>
      <c r="Y421" s="12" t="s">
        <v>239</v>
      </c>
      <c r="Z421" s="12" t="s">
        <v>109</v>
      </c>
      <c r="AA421" s="12" t="s">
        <v>109</v>
      </c>
      <c r="AB421" s="12" t="s">
        <v>394</v>
      </c>
      <c r="AC421" s="12" t="s">
        <v>395</v>
      </c>
      <c r="AD421" s="12" t="s">
        <v>2399</v>
      </c>
      <c r="AE421" s="12" t="s">
        <v>2408</v>
      </c>
      <c r="AF421" s="12" t="s">
        <v>2409</v>
      </c>
      <c r="AG421" s="12" t="s">
        <v>115</v>
      </c>
      <c r="AH421" s="12" t="s">
        <v>116</v>
      </c>
      <c r="AI421" s="12" t="s">
        <v>117</v>
      </c>
      <c r="AJ421" s="12" t="s">
        <v>2410</v>
      </c>
      <c r="AK421" s="12" t="s">
        <v>4</v>
      </c>
    </row>
    <row r="422" customFormat="false" ht="15" hidden="false" customHeight="false" outlineLevel="0" collapsed="false">
      <c r="A422" s="11" t="n">
        <v>421</v>
      </c>
      <c r="B422" s="12" t="s">
        <v>2403</v>
      </c>
      <c r="C422" s="12" t="s">
        <v>2125</v>
      </c>
      <c r="D422" s="12" t="s">
        <v>2126</v>
      </c>
      <c r="E422" s="12" t="s">
        <v>759</v>
      </c>
      <c r="F422" s="12" t="s">
        <v>2394</v>
      </c>
      <c r="G422" s="12" t="s">
        <v>345</v>
      </c>
      <c r="H422" s="12" t="s">
        <v>2404</v>
      </c>
      <c r="I422" s="12" t="s">
        <v>1657</v>
      </c>
      <c r="J422" s="13" t="s">
        <v>2405</v>
      </c>
      <c r="K422" s="12"/>
      <c r="L422" s="12" t="s">
        <v>2406</v>
      </c>
      <c r="M422" s="12" t="s">
        <v>2411</v>
      </c>
      <c r="N422" s="12" t="s">
        <v>195</v>
      </c>
      <c r="O422" s="12" t="s">
        <v>196</v>
      </c>
      <c r="P422" s="12" t="s">
        <v>103</v>
      </c>
      <c r="Q422" s="12" t="s">
        <v>104</v>
      </c>
      <c r="R422" s="14" t="n">
        <v>14</v>
      </c>
      <c r="S422" s="14" t="s">
        <v>197</v>
      </c>
      <c r="T422" s="14"/>
      <c r="U422" s="14" t="n">
        <v>2023</v>
      </c>
      <c r="V422" s="12" t="s">
        <v>157</v>
      </c>
      <c r="W422" s="14"/>
      <c r="X422" s="15" t="str">
        <f aca="false">IF(OR($S422="%",$R422=""),"",$R422*INDEX(Cambi!$J$2:$J$5,MATCH($S422,Cambi!$I$2:$I$5,0))/IF($T422="EUR",1,INDEX(Cambi!$D:$D,MATCH($T422&amp;"|"&amp;$U422,Cambi!$C:$C,0))))</f>
        <v/>
      </c>
      <c r="Y422" s="12" t="s">
        <v>239</v>
      </c>
      <c r="Z422" s="12" t="s">
        <v>109</v>
      </c>
      <c r="AA422" s="12" t="s">
        <v>109</v>
      </c>
      <c r="AB422" s="12" t="s">
        <v>394</v>
      </c>
      <c r="AC422" s="12" t="s">
        <v>395</v>
      </c>
      <c r="AD422" s="12" t="s">
        <v>2399</v>
      </c>
      <c r="AE422" s="12" t="s">
        <v>2408</v>
      </c>
      <c r="AF422" s="12" t="s">
        <v>2409</v>
      </c>
      <c r="AG422" s="12" t="s">
        <v>115</v>
      </c>
      <c r="AH422" s="12" t="s">
        <v>116</v>
      </c>
      <c r="AI422" s="12" t="s">
        <v>117</v>
      </c>
      <c r="AJ422" s="12" t="s">
        <v>2412</v>
      </c>
      <c r="AK422" s="12" t="s">
        <v>4</v>
      </c>
    </row>
    <row r="423" customFormat="false" ht="15" hidden="false" customHeight="false" outlineLevel="0" collapsed="false">
      <c r="A423" s="11" t="n">
        <v>422</v>
      </c>
      <c r="B423" s="12" t="s">
        <v>2403</v>
      </c>
      <c r="C423" s="12" t="s">
        <v>2125</v>
      </c>
      <c r="D423" s="12" t="s">
        <v>2126</v>
      </c>
      <c r="E423" s="12" t="s">
        <v>759</v>
      </c>
      <c r="F423" s="12" t="s">
        <v>2394</v>
      </c>
      <c r="G423" s="12" t="s">
        <v>345</v>
      </c>
      <c r="H423" s="12" t="s">
        <v>2404</v>
      </c>
      <c r="I423" s="12" t="s">
        <v>1657</v>
      </c>
      <c r="J423" s="13" t="s">
        <v>2405</v>
      </c>
      <c r="K423" s="12"/>
      <c r="L423" s="12" t="s">
        <v>2406</v>
      </c>
      <c r="M423" s="12" t="s">
        <v>2413</v>
      </c>
      <c r="N423" s="12" t="s">
        <v>195</v>
      </c>
      <c r="O423" s="12" t="s">
        <v>196</v>
      </c>
      <c r="P423" s="12" t="s">
        <v>103</v>
      </c>
      <c r="Q423" s="12" t="s">
        <v>104</v>
      </c>
      <c r="R423" s="14" t="n">
        <v>17</v>
      </c>
      <c r="S423" s="14" t="s">
        <v>197</v>
      </c>
      <c r="T423" s="14"/>
      <c r="U423" s="14" t="n">
        <v>2024</v>
      </c>
      <c r="V423" s="12" t="s">
        <v>157</v>
      </c>
      <c r="W423" s="14"/>
      <c r="X423" s="15" t="str">
        <f aca="false">IF(OR($S423="%",$R423=""),"",$R423*INDEX(Cambi!$J$2:$J$5,MATCH($S423,Cambi!$I$2:$I$5,0))/IF($T423="EUR",1,INDEX(Cambi!$D:$D,MATCH($T423&amp;"|"&amp;$U423,Cambi!$C:$C,0))))</f>
        <v/>
      </c>
      <c r="Y423" s="12" t="s">
        <v>239</v>
      </c>
      <c r="Z423" s="12" t="s">
        <v>109</v>
      </c>
      <c r="AA423" s="12" t="s">
        <v>109</v>
      </c>
      <c r="AB423" s="12" t="s">
        <v>394</v>
      </c>
      <c r="AC423" s="12" t="s">
        <v>395</v>
      </c>
      <c r="AD423" s="12" t="s">
        <v>2399</v>
      </c>
      <c r="AE423" s="12" t="s">
        <v>2408</v>
      </c>
      <c r="AF423" s="12" t="s">
        <v>2409</v>
      </c>
      <c r="AG423" s="12" t="s">
        <v>115</v>
      </c>
      <c r="AH423" s="12" t="s">
        <v>116</v>
      </c>
      <c r="AI423" s="12" t="s">
        <v>117</v>
      </c>
      <c r="AJ423" s="12" t="s">
        <v>2410</v>
      </c>
      <c r="AK423" s="12" t="s">
        <v>4</v>
      </c>
    </row>
    <row r="424" customFormat="false" ht="15" hidden="false" customHeight="false" outlineLevel="0" collapsed="false">
      <c r="A424" s="11" t="n">
        <v>423</v>
      </c>
      <c r="B424" s="12" t="s">
        <v>2403</v>
      </c>
      <c r="C424" s="12" t="s">
        <v>2125</v>
      </c>
      <c r="D424" s="12" t="s">
        <v>2126</v>
      </c>
      <c r="E424" s="12" t="s">
        <v>759</v>
      </c>
      <c r="F424" s="12" t="s">
        <v>2394</v>
      </c>
      <c r="G424" s="12" t="s">
        <v>345</v>
      </c>
      <c r="H424" s="12" t="s">
        <v>2404</v>
      </c>
      <c r="I424" s="12" t="s">
        <v>1657</v>
      </c>
      <c r="J424" s="13" t="s">
        <v>2405</v>
      </c>
      <c r="K424" s="12"/>
      <c r="L424" s="12" t="s">
        <v>2406</v>
      </c>
      <c r="M424" s="12" t="s">
        <v>2398</v>
      </c>
      <c r="N424" s="12" t="s">
        <v>195</v>
      </c>
      <c r="O424" s="12" t="s">
        <v>196</v>
      </c>
      <c r="P424" s="12" t="s">
        <v>103</v>
      </c>
      <c r="Q424" s="12" t="s">
        <v>104</v>
      </c>
      <c r="R424" s="14" t="n">
        <v>18</v>
      </c>
      <c r="S424" s="14" t="s">
        <v>197</v>
      </c>
      <c r="T424" s="14"/>
      <c r="U424" s="14" t="n">
        <v>2025</v>
      </c>
      <c r="V424" s="12" t="s">
        <v>157</v>
      </c>
      <c r="W424" s="14"/>
      <c r="X424" s="15" t="str">
        <f aca="false">IF(OR($S424="%",$R424=""),"",$R424*INDEX(Cambi!$J$2:$J$5,MATCH($S424,Cambi!$I$2:$I$5,0))/IF($T424="EUR",1,INDEX(Cambi!$D:$D,MATCH($T424&amp;"|"&amp;$U424,Cambi!$C:$C,0))))</f>
        <v/>
      </c>
      <c r="Y424" s="12" t="s">
        <v>239</v>
      </c>
      <c r="Z424" s="12" t="s">
        <v>109</v>
      </c>
      <c r="AA424" s="12" t="s">
        <v>109</v>
      </c>
      <c r="AB424" s="12" t="s">
        <v>394</v>
      </c>
      <c r="AC424" s="12" t="s">
        <v>395</v>
      </c>
      <c r="AD424" s="12" t="s">
        <v>2399</v>
      </c>
      <c r="AE424" s="12" t="s">
        <v>2408</v>
      </c>
      <c r="AF424" s="12" t="s">
        <v>2414</v>
      </c>
      <c r="AG424" s="12" t="s">
        <v>115</v>
      </c>
      <c r="AH424" s="12" t="s">
        <v>116</v>
      </c>
      <c r="AI424" s="12" t="s">
        <v>117</v>
      </c>
      <c r="AJ424" s="12" t="s">
        <v>2415</v>
      </c>
      <c r="AK424" s="12" t="s">
        <v>4</v>
      </c>
    </row>
    <row r="425" customFormat="false" ht="15" hidden="false" customHeight="false" outlineLevel="0" collapsed="false">
      <c r="A425" s="11" t="n">
        <v>424</v>
      </c>
      <c r="B425" s="12" t="s">
        <v>2403</v>
      </c>
      <c r="C425" s="12" t="s">
        <v>2125</v>
      </c>
      <c r="D425" s="12" t="s">
        <v>2126</v>
      </c>
      <c r="E425" s="12" t="s">
        <v>759</v>
      </c>
      <c r="F425" s="12" t="s">
        <v>2394</v>
      </c>
      <c r="G425" s="12" t="s">
        <v>345</v>
      </c>
      <c r="H425" s="12" t="s">
        <v>2404</v>
      </c>
      <c r="I425" s="12" t="s">
        <v>1657</v>
      </c>
      <c r="J425" s="13" t="s">
        <v>2405</v>
      </c>
      <c r="K425" s="12"/>
      <c r="L425" s="12" t="s">
        <v>2406</v>
      </c>
      <c r="M425" s="12" t="s">
        <v>2416</v>
      </c>
      <c r="N425" s="12" t="s">
        <v>195</v>
      </c>
      <c r="O425" s="12" t="s">
        <v>196</v>
      </c>
      <c r="P425" s="12" t="s">
        <v>103</v>
      </c>
      <c r="Q425" s="12" t="s">
        <v>104</v>
      </c>
      <c r="R425" s="14" t="n">
        <v>18</v>
      </c>
      <c r="S425" s="14" t="s">
        <v>197</v>
      </c>
      <c r="T425" s="14"/>
      <c r="U425" s="14" t="n">
        <v>2026</v>
      </c>
      <c r="V425" s="12" t="s">
        <v>198</v>
      </c>
      <c r="W425" s="14"/>
      <c r="X425" s="15" t="str">
        <f aca="false">IF(OR($S425="%",$R425=""),"",$R425*INDEX(Cambi!$J$2:$J$5,MATCH($S425,Cambi!$I$2:$I$5,0))/IF($T425="EUR",1,INDEX(Cambi!$D:$D,MATCH($T425&amp;"|"&amp;$U425,Cambi!$C:$C,0))))</f>
        <v/>
      </c>
      <c r="Y425" s="12" t="s">
        <v>239</v>
      </c>
      <c r="Z425" s="12" t="s">
        <v>109</v>
      </c>
      <c r="AA425" s="12" t="s">
        <v>109</v>
      </c>
      <c r="AB425" s="12" t="s">
        <v>394</v>
      </c>
      <c r="AC425" s="12" t="s">
        <v>395</v>
      </c>
      <c r="AD425" s="12" t="s">
        <v>2399</v>
      </c>
      <c r="AE425" s="12" t="s">
        <v>2408</v>
      </c>
      <c r="AF425" s="12" t="s">
        <v>2414</v>
      </c>
      <c r="AG425" s="12" t="s">
        <v>115</v>
      </c>
      <c r="AH425" s="12" t="s">
        <v>116</v>
      </c>
      <c r="AI425" s="12" t="s">
        <v>117</v>
      </c>
      <c r="AJ425" s="12" t="s">
        <v>2410</v>
      </c>
      <c r="AK425" s="12" t="s">
        <v>4</v>
      </c>
    </row>
    <row r="426" customFormat="false" ht="15" hidden="false" customHeight="false" outlineLevel="0" collapsed="false">
      <c r="A426" s="11" t="n">
        <v>425</v>
      </c>
      <c r="B426" s="12" t="s">
        <v>2417</v>
      </c>
      <c r="C426" s="12" t="s">
        <v>2125</v>
      </c>
      <c r="D426" s="12" t="s">
        <v>2126</v>
      </c>
      <c r="E426" s="12" t="s">
        <v>759</v>
      </c>
      <c r="F426" s="12" t="s">
        <v>2418</v>
      </c>
      <c r="G426" s="12" t="s">
        <v>771</v>
      </c>
      <c r="H426" s="12" t="s">
        <v>2419</v>
      </c>
      <c r="I426" s="12" t="s">
        <v>847</v>
      </c>
      <c r="J426" s="13" t="s">
        <v>2420</v>
      </c>
      <c r="K426" s="12"/>
      <c r="L426" s="12" t="s">
        <v>2421</v>
      </c>
      <c r="M426" s="12" t="s">
        <v>2422</v>
      </c>
      <c r="N426" s="12" t="s">
        <v>101</v>
      </c>
      <c r="O426" s="12" t="s">
        <v>102</v>
      </c>
      <c r="P426" s="12" t="s">
        <v>103</v>
      </c>
      <c r="Q426" s="12" t="s">
        <v>104</v>
      </c>
      <c r="R426" s="14" t="n">
        <v>230.7</v>
      </c>
      <c r="S426" s="14" t="s">
        <v>105</v>
      </c>
      <c r="T426" s="14" t="s">
        <v>106</v>
      </c>
      <c r="U426" s="14" t="n">
        <v>2025</v>
      </c>
      <c r="V426" s="12" t="s">
        <v>157</v>
      </c>
      <c r="W426" s="14"/>
      <c r="X426" s="15" t="n">
        <f aca="false">IF(OR($S426="%",$R426=""),"",$R426*INDEX(Cambi!$J$2:$J$5,MATCH($S426,Cambi!$I$2:$I$5,0))/IF($T426="EUR",1,INDEX(Cambi!$D:$D,MATCH($T426&amp;"|"&amp;$U426,Cambi!$C:$C,0))))</f>
        <v>230.7</v>
      </c>
      <c r="Y426" s="12" t="s">
        <v>108</v>
      </c>
      <c r="Z426" s="12" t="s">
        <v>117</v>
      </c>
      <c r="AA426" s="12" t="s">
        <v>109</v>
      </c>
      <c r="AB426" s="16" t="s">
        <v>394</v>
      </c>
      <c r="AC426" s="16" t="s">
        <v>2423</v>
      </c>
      <c r="AD426" s="12" t="s">
        <v>112</v>
      </c>
      <c r="AE426" s="12" t="s">
        <v>2424</v>
      </c>
      <c r="AF426" s="12" t="s">
        <v>2425</v>
      </c>
      <c r="AG426" s="12" t="s">
        <v>115</v>
      </c>
      <c r="AH426" s="12" t="s">
        <v>116</v>
      </c>
      <c r="AI426" s="12" t="s">
        <v>117</v>
      </c>
      <c r="AJ426" s="12" t="s">
        <v>2426</v>
      </c>
      <c r="AK426" s="12" t="s">
        <v>4</v>
      </c>
    </row>
    <row r="427" customFormat="false" ht="15" hidden="false" customHeight="false" outlineLevel="0" collapsed="false">
      <c r="A427" s="11" t="n">
        <v>426</v>
      </c>
      <c r="B427" s="12" t="s">
        <v>1793</v>
      </c>
      <c r="C427" s="12" t="s">
        <v>2125</v>
      </c>
      <c r="D427" s="12" t="s">
        <v>2126</v>
      </c>
      <c r="E427" s="12" t="s">
        <v>759</v>
      </c>
      <c r="F427" s="12" t="s">
        <v>1794</v>
      </c>
      <c r="G427" s="12" t="s">
        <v>771</v>
      </c>
      <c r="H427" s="12" t="s">
        <v>1795</v>
      </c>
      <c r="I427" s="12" t="s">
        <v>1796</v>
      </c>
      <c r="J427" s="13" t="s">
        <v>1797</v>
      </c>
      <c r="K427" s="12" t="s">
        <v>1798</v>
      </c>
      <c r="L427" s="12" t="s">
        <v>1799</v>
      </c>
      <c r="M427" s="12" t="s">
        <v>1800</v>
      </c>
      <c r="N427" s="12" t="s">
        <v>352</v>
      </c>
      <c r="O427" s="12" t="s">
        <v>102</v>
      </c>
      <c r="P427" s="12" t="s">
        <v>103</v>
      </c>
      <c r="Q427" s="12" t="s">
        <v>104</v>
      </c>
      <c r="R427" s="14" t="n">
        <v>6.87</v>
      </c>
      <c r="S427" s="14" t="s">
        <v>129</v>
      </c>
      <c r="T427" s="14" t="s">
        <v>106</v>
      </c>
      <c r="U427" s="14" t="n">
        <v>2025</v>
      </c>
      <c r="V427" s="12" t="s">
        <v>157</v>
      </c>
      <c r="W427" s="14" t="s">
        <v>2427</v>
      </c>
      <c r="X427" s="15" t="n">
        <f aca="false">IF(OR($S427="%",$R427=""),"",$R427*INDEX(Cambi!$J$2:$J$5,MATCH($S427,Cambi!$I$2:$I$5,0))/IF($T427="EUR",1,INDEX(Cambi!$D:$D,MATCH($T427&amp;"|"&amp;$U427,Cambi!$C:$C,0))))</f>
        <v>6870</v>
      </c>
      <c r="Y427" s="12" t="s">
        <v>109</v>
      </c>
      <c r="Z427" s="12" t="s">
        <v>285</v>
      </c>
      <c r="AA427" s="12" t="s">
        <v>109</v>
      </c>
      <c r="AB427" s="16" t="s">
        <v>679</v>
      </c>
      <c r="AC427" s="16" t="s">
        <v>1802</v>
      </c>
      <c r="AD427" s="12" t="s">
        <v>281</v>
      </c>
      <c r="AE427" s="12" t="s">
        <v>1803</v>
      </c>
      <c r="AF427" s="12" t="s">
        <v>2428</v>
      </c>
      <c r="AG427" s="12" t="s">
        <v>284</v>
      </c>
      <c r="AH427" s="12" t="s">
        <v>116</v>
      </c>
      <c r="AI427" s="12" t="s">
        <v>285</v>
      </c>
      <c r="AJ427" s="12" t="s">
        <v>2429</v>
      </c>
      <c r="AK427" s="12" t="s">
        <v>4</v>
      </c>
    </row>
    <row r="428" customFormat="false" ht="15" hidden="false" customHeight="false" outlineLevel="0" collapsed="false">
      <c r="A428" s="11" t="n">
        <v>427</v>
      </c>
      <c r="B428" s="12" t="s">
        <v>2430</v>
      </c>
      <c r="C428" s="12" t="s">
        <v>2125</v>
      </c>
      <c r="D428" s="12" t="s">
        <v>2126</v>
      </c>
      <c r="E428" s="12" t="s">
        <v>759</v>
      </c>
      <c r="F428" s="12" t="s">
        <v>2431</v>
      </c>
      <c r="G428" s="12" t="s">
        <v>581</v>
      </c>
      <c r="H428" s="12" t="s">
        <v>2432</v>
      </c>
      <c r="I428" s="12" t="s">
        <v>2433</v>
      </c>
      <c r="J428" s="13" t="s">
        <v>2434</v>
      </c>
      <c r="K428" s="12"/>
      <c r="L428" s="12" t="s">
        <v>2435</v>
      </c>
      <c r="M428" s="12" t="s">
        <v>2436</v>
      </c>
      <c r="N428" s="12" t="s">
        <v>212</v>
      </c>
      <c r="O428" s="12" t="s">
        <v>244</v>
      </c>
      <c r="P428" s="12" t="s">
        <v>103</v>
      </c>
      <c r="Q428" s="12" t="s">
        <v>104</v>
      </c>
      <c r="R428" s="14" t="n">
        <v>80050</v>
      </c>
      <c r="S428" s="14" t="s">
        <v>432</v>
      </c>
      <c r="T428" s="14" t="s">
        <v>106</v>
      </c>
      <c r="U428" s="14" t="n">
        <v>2020</v>
      </c>
      <c r="V428" s="12" t="s">
        <v>157</v>
      </c>
      <c r="W428" s="14"/>
      <c r="X428" s="15" t="n">
        <f aca="false">IF(OR($S428="%",$R428=""),"",$R428*INDEX(Cambi!$J$2:$J$5,MATCH($S428,Cambi!$I$2:$I$5,0))/IF($T428="EUR",1,INDEX(Cambi!$D:$D,MATCH($T428&amp;"|"&amp;$U428,Cambi!$C:$C,0))))</f>
        <v>0.08005</v>
      </c>
      <c r="Y428" s="12" t="s">
        <v>239</v>
      </c>
      <c r="Z428" s="12" t="s">
        <v>109</v>
      </c>
      <c r="AA428" s="12" t="s">
        <v>109</v>
      </c>
      <c r="AB428" s="12" t="s">
        <v>394</v>
      </c>
      <c r="AC428" s="12" t="s">
        <v>395</v>
      </c>
      <c r="AD428" s="12" t="s">
        <v>166</v>
      </c>
      <c r="AE428" s="12" t="s">
        <v>2437</v>
      </c>
      <c r="AF428" s="12" t="s">
        <v>2438</v>
      </c>
      <c r="AG428" s="12" t="s">
        <v>115</v>
      </c>
      <c r="AH428" s="12" t="s">
        <v>116</v>
      </c>
      <c r="AI428" s="12" t="s">
        <v>117</v>
      </c>
      <c r="AJ428" s="12" t="s">
        <v>2439</v>
      </c>
      <c r="AK428" s="12" t="s">
        <v>4</v>
      </c>
    </row>
    <row r="429" customFormat="false" ht="15" hidden="false" customHeight="false" outlineLevel="0" collapsed="false">
      <c r="A429" s="11" t="n">
        <v>428</v>
      </c>
      <c r="B429" s="12" t="s">
        <v>2440</v>
      </c>
      <c r="C429" s="12" t="s">
        <v>2125</v>
      </c>
      <c r="D429" s="12" t="s">
        <v>2126</v>
      </c>
      <c r="E429" s="12" t="s">
        <v>759</v>
      </c>
      <c r="F429" s="12" t="s">
        <v>2441</v>
      </c>
      <c r="G429" s="12" t="s">
        <v>771</v>
      </c>
      <c r="H429" s="12" t="s">
        <v>2442</v>
      </c>
      <c r="I429" s="12" t="s">
        <v>2443</v>
      </c>
      <c r="J429" s="13" t="s">
        <v>2444</v>
      </c>
      <c r="K429" s="12" t="s">
        <v>2445</v>
      </c>
      <c r="L429" s="12" t="s">
        <v>2446</v>
      </c>
      <c r="M429" s="12" t="s">
        <v>2447</v>
      </c>
      <c r="N429" s="12" t="s">
        <v>101</v>
      </c>
      <c r="O429" s="12" t="s">
        <v>102</v>
      </c>
      <c r="P429" s="12" t="s">
        <v>103</v>
      </c>
      <c r="Q429" s="12" t="s">
        <v>104</v>
      </c>
      <c r="R429" s="14" t="n">
        <v>238</v>
      </c>
      <c r="S429" s="14" t="s">
        <v>105</v>
      </c>
      <c r="T429" s="14" t="s">
        <v>106</v>
      </c>
      <c r="U429" s="14" t="n">
        <v>2024</v>
      </c>
      <c r="V429" s="12" t="s">
        <v>157</v>
      </c>
      <c r="W429" s="14"/>
      <c r="X429" s="15" t="n">
        <f aca="false">IF(OR($S429="%",$R429=""),"",$R429*INDEX(Cambi!$J$2:$J$5,MATCH($S429,Cambi!$I$2:$I$5,0))/IF($T429="EUR",1,INDEX(Cambi!$D:$D,MATCH($T429&amp;"|"&amp;$U429,Cambi!$C:$C,0))))</f>
        <v>238</v>
      </c>
      <c r="Y429" s="12" t="s">
        <v>108</v>
      </c>
      <c r="Z429" s="12" t="s">
        <v>117</v>
      </c>
      <c r="AA429" s="12" t="s">
        <v>109</v>
      </c>
      <c r="AB429" s="16" t="s">
        <v>394</v>
      </c>
      <c r="AC429" s="16" t="s">
        <v>2423</v>
      </c>
      <c r="AD429" s="12" t="s">
        <v>112</v>
      </c>
      <c r="AE429" s="12" t="s">
        <v>2448</v>
      </c>
      <c r="AF429" s="12" t="s">
        <v>2449</v>
      </c>
      <c r="AG429" s="12" t="s">
        <v>115</v>
      </c>
      <c r="AH429" s="12" t="s">
        <v>116</v>
      </c>
      <c r="AI429" s="12" t="s">
        <v>285</v>
      </c>
      <c r="AJ429" s="12" t="s">
        <v>2450</v>
      </c>
      <c r="AK429" s="12" t="s">
        <v>4</v>
      </c>
    </row>
    <row r="430" customFormat="false" ht="15" hidden="false" customHeight="false" outlineLevel="0" collapsed="false">
      <c r="A430" s="11" t="n">
        <v>429</v>
      </c>
      <c r="B430" s="12" t="s">
        <v>2440</v>
      </c>
      <c r="C430" s="12" t="s">
        <v>2125</v>
      </c>
      <c r="D430" s="12" t="s">
        <v>2126</v>
      </c>
      <c r="E430" s="12" t="s">
        <v>759</v>
      </c>
      <c r="F430" s="12" t="s">
        <v>2441</v>
      </c>
      <c r="G430" s="12" t="s">
        <v>771</v>
      </c>
      <c r="H430" s="12" t="s">
        <v>2442</v>
      </c>
      <c r="I430" s="12" t="s">
        <v>2443</v>
      </c>
      <c r="J430" s="13" t="s">
        <v>2444</v>
      </c>
      <c r="K430" s="12" t="s">
        <v>2445</v>
      </c>
      <c r="L430" s="12" t="s">
        <v>2446</v>
      </c>
      <c r="M430" s="12" t="s">
        <v>2451</v>
      </c>
      <c r="N430" s="12" t="s">
        <v>101</v>
      </c>
      <c r="O430" s="12" t="s">
        <v>102</v>
      </c>
      <c r="P430" s="12" t="s">
        <v>103</v>
      </c>
      <c r="Q430" s="12" t="s">
        <v>104</v>
      </c>
      <c r="R430" s="14" t="n">
        <v>231</v>
      </c>
      <c r="S430" s="14" t="s">
        <v>105</v>
      </c>
      <c r="T430" s="14" t="s">
        <v>106</v>
      </c>
      <c r="U430" s="14" t="n">
        <v>2025</v>
      </c>
      <c r="V430" s="12" t="s">
        <v>198</v>
      </c>
      <c r="W430" s="14"/>
      <c r="X430" s="15" t="n">
        <f aca="false">IF(OR($S430="%",$R430=""),"",$R430*INDEX(Cambi!$J$2:$J$5,MATCH($S430,Cambi!$I$2:$I$5,0))/IF($T430="EUR",1,INDEX(Cambi!$D:$D,MATCH($T430&amp;"|"&amp;$U430,Cambi!$C:$C,0))))</f>
        <v>231</v>
      </c>
      <c r="Y430" s="12" t="s">
        <v>108</v>
      </c>
      <c r="Z430" s="12" t="s">
        <v>117</v>
      </c>
      <c r="AA430" s="12" t="s">
        <v>109</v>
      </c>
      <c r="AB430" s="16" t="s">
        <v>394</v>
      </c>
      <c r="AC430" s="16" t="s">
        <v>2423</v>
      </c>
      <c r="AD430" s="12" t="s">
        <v>112</v>
      </c>
      <c r="AE430" s="12" t="s">
        <v>2448</v>
      </c>
      <c r="AF430" s="12" t="s">
        <v>2449</v>
      </c>
      <c r="AG430" s="12" t="s">
        <v>115</v>
      </c>
      <c r="AH430" s="12" t="s">
        <v>116</v>
      </c>
      <c r="AI430" s="12" t="s">
        <v>285</v>
      </c>
      <c r="AJ430" s="12" t="s">
        <v>2452</v>
      </c>
      <c r="AK430" s="12" t="s">
        <v>4</v>
      </c>
    </row>
    <row r="431" customFormat="false" ht="15" hidden="false" customHeight="false" outlineLevel="0" collapsed="false">
      <c r="A431" s="11" t="n">
        <v>430</v>
      </c>
      <c r="B431" s="12" t="s">
        <v>2453</v>
      </c>
      <c r="C431" s="12" t="s">
        <v>2125</v>
      </c>
      <c r="D431" s="12" t="s">
        <v>2126</v>
      </c>
      <c r="E431" s="12" t="s">
        <v>759</v>
      </c>
      <c r="F431" s="12" t="s">
        <v>2441</v>
      </c>
      <c r="G431" s="12" t="s">
        <v>771</v>
      </c>
      <c r="H431" s="12" t="s">
        <v>2454</v>
      </c>
      <c r="I431" s="12" t="s">
        <v>2455</v>
      </c>
      <c r="J431" s="13" t="s">
        <v>2456</v>
      </c>
      <c r="K431" s="12" t="s">
        <v>2457</v>
      </c>
      <c r="L431" s="12" t="s">
        <v>2446</v>
      </c>
      <c r="M431" s="12" t="s">
        <v>2458</v>
      </c>
      <c r="N431" s="12" t="s">
        <v>101</v>
      </c>
      <c r="O431" s="12" t="s">
        <v>102</v>
      </c>
      <c r="P431" s="12" t="s">
        <v>103</v>
      </c>
      <c r="Q431" s="12" t="s">
        <v>104</v>
      </c>
      <c r="R431" s="14" t="n">
        <v>379</v>
      </c>
      <c r="S431" s="14" t="s">
        <v>105</v>
      </c>
      <c r="T431" s="14" t="s">
        <v>106</v>
      </c>
      <c r="U431" s="14" t="n">
        <v>2026</v>
      </c>
      <c r="V431" s="12" t="s">
        <v>198</v>
      </c>
      <c r="W431" s="14" t="s">
        <v>2459</v>
      </c>
      <c r="X431" s="15" t="n">
        <f aca="false">IF(OR($S431="%",$R431=""),"",$R431*INDEX(Cambi!$J$2:$J$5,MATCH($S431,Cambi!$I$2:$I$5,0))/IF($T431="EUR",1,INDEX(Cambi!$D:$D,MATCH($T431&amp;"|"&amp;$U431,Cambi!$C:$C,0))))</f>
        <v>379</v>
      </c>
      <c r="Y431" s="12" t="s">
        <v>108</v>
      </c>
      <c r="Z431" s="12" t="s">
        <v>117</v>
      </c>
      <c r="AA431" s="12" t="s">
        <v>109</v>
      </c>
      <c r="AB431" s="16" t="s">
        <v>394</v>
      </c>
      <c r="AC431" s="16" t="s">
        <v>2423</v>
      </c>
      <c r="AD431" s="12" t="s">
        <v>112</v>
      </c>
      <c r="AE431" s="12" t="s">
        <v>2448</v>
      </c>
      <c r="AF431" s="12" t="s">
        <v>2460</v>
      </c>
      <c r="AG431" s="12" t="s">
        <v>115</v>
      </c>
      <c r="AH431" s="12" t="s">
        <v>116</v>
      </c>
      <c r="AI431" s="12" t="s">
        <v>285</v>
      </c>
      <c r="AJ431" s="12" t="s">
        <v>2461</v>
      </c>
      <c r="AK431" s="12" t="s">
        <v>4</v>
      </c>
    </row>
    <row r="432" customFormat="false" ht="15" hidden="false" customHeight="false" outlineLevel="0" collapsed="false">
      <c r="A432" s="11" t="n">
        <v>431</v>
      </c>
      <c r="B432" s="12" t="s">
        <v>2462</v>
      </c>
      <c r="C432" s="12" t="s">
        <v>2125</v>
      </c>
      <c r="D432" s="12" t="s">
        <v>2126</v>
      </c>
      <c r="E432" s="12" t="s">
        <v>759</v>
      </c>
      <c r="F432" s="12" t="s">
        <v>2463</v>
      </c>
      <c r="G432" s="12" t="s">
        <v>830</v>
      </c>
      <c r="H432" s="12" t="s">
        <v>2464</v>
      </c>
      <c r="I432" s="12" t="s">
        <v>181</v>
      </c>
      <c r="J432" s="13" t="s">
        <v>2465</v>
      </c>
      <c r="K432" s="12"/>
      <c r="L432" s="12" t="s">
        <v>2466</v>
      </c>
      <c r="M432" s="12" t="s">
        <v>2467</v>
      </c>
      <c r="N432" s="12" t="s">
        <v>352</v>
      </c>
      <c r="O432" s="12" t="s">
        <v>102</v>
      </c>
      <c r="P432" s="12" t="s">
        <v>103</v>
      </c>
      <c r="Q432" s="12" t="s">
        <v>104</v>
      </c>
      <c r="R432" s="14" t="n">
        <v>12.75</v>
      </c>
      <c r="S432" s="14" t="s">
        <v>129</v>
      </c>
      <c r="T432" s="14" t="s">
        <v>653</v>
      </c>
      <c r="U432" s="14" t="n">
        <v>2025</v>
      </c>
      <c r="V432" s="12" t="s">
        <v>157</v>
      </c>
      <c r="W432" s="14"/>
      <c r="X432" s="15" t="n">
        <f aca="false">IF(OR($S432="%",$R432=""),"",$R432*INDEX(Cambi!$J$2:$J$5,MATCH($S432,Cambi!$I$2:$I$5,0))/IF($T432="EUR",1,INDEX(Cambi!$D:$D,MATCH($T432&amp;"|"&amp;$U432,Cambi!$C:$C,0))))</f>
        <v>11283.185840708</v>
      </c>
      <c r="Y432" s="12" t="s">
        <v>109</v>
      </c>
      <c r="Z432" s="12" t="s">
        <v>109</v>
      </c>
      <c r="AA432" s="12" t="s">
        <v>109</v>
      </c>
      <c r="AB432" s="16" t="s">
        <v>110</v>
      </c>
      <c r="AC432" s="16" t="s">
        <v>836</v>
      </c>
      <c r="AD432" s="12" t="s">
        <v>112</v>
      </c>
      <c r="AE432" s="12" t="s">
        <v>282</v>
      </c>
      <c r="AF432" s="12" t="s">
        <v>2468</v>
      </c>
      <c r="AG432" s="12" t="s">
        <v>284</v>
      </c>
      <c r="AH432" s="12" t="s">
        <v>838</v>
      </c>
      <c r="AI432" s="12" t="s">
        <v>117</v>
      </c>
      <c r="AJ432" s="12" t="s">
        <v>2469</v>
      </c>
      <c r="AK432" s="12" t="s">
        <v>4</v>
      </c>
    </row>
    <row r="433" customFormat="false" ht="15" hidden="false" customHeight="false" outlineLevel="0" collapsed="false">
      <c r="A433" s="11" t="n">
        <v>432</v>
      </c>
      <c r="B433" s="12" t="s">
        <v>2462</v>
      </c>
      <c r="C433" s="12" t="s">
        <v>2125</v>
      </c>
      <c r="D433" s="12" t="s">
        <v>2126</v>
      </c>
      <c r="E433" s="12" t="s">
        <v>759</v>
      </c>
      <c r="F433" s="12" t="s">
        <v>2463</v>
      </c>
      <c r="G433" s="12" t="s">
        <v>830</v>
      </c>
      <c r="H433" s="12" t="s">
        <v>2464</v>
      </c>
      <c r="I433" s="12" t="s">
        <v>181</v>
      </c>
      <c r="J433" s="13" t="s">
        <v>2465</v>
      </c>
      <c r="K433" s="12"/>
      <c r="L433" s="12" t="s">
        <v>2470</v>
      </c>
      <c r="M433" s="12" t="s">
        <v>2471</v>
      </c>
      <c r="N433" s="12" t="s">
        <v>352</v>
      </c>
      <c r="O433" s="12" t="s">
        <v>102</v>
      </c>
      <c r="P433" s="12" t="s">
        <v>103</v>
      </c>
      <c r="Q433" s="12" t="s">
        <v>104</v>
      </c>
      <c r="R433" s="14" t="n">
        <v>28.04</v>
      </c>
      <c r="S433" s="14" t="s">
        <v>129</v>
      </c>
      <c r="T433" s="14" t="s">
        <v>653</v>
      </c>
      <c r="U433" s="14" t="n">
        <v>2035</v>
      </c>
      <c r="V433" s="12" t="s">
        <v>107</v>
      </c>
      <c r="W433" s="14" t="s">
        <v>2472</v>
      </c>
      <c r="X433" s="15" t="n">
        <f aca="false">IF(OR($S433="%",$R433=""),"",$R433*INDEX(Cambi!$J$2:$J$5,MATCH($S433,Cambi!$I$2:$I$5,0))/IF($T433="EUR",1,INDEX(Cambi!$D:$D,MATCH($T433&amp;"|"&amp;$U433,Cambi!$C:$C,0))))</f>
        <v>24814.1592920354</v>
      </c>
      <c r="Y433" s="12" t="s">
        <v>109</v>
      </c>
      <c r="Z433" s="12" t="s">
        <v>109</v>
      </c>
      <c r="AA433" s="12" t="s">
        <v>109</v>
      </c>
      <c r="AB433" s="16" t="s">
        <v>110</v>
      </c>
      <c r="AC433" s="16" t="s">
        <v>836</v>
      </c>
      <c r="AD433" s="12" t="s">
        <v>112</v>
      </c>
      <c r="AE433" s="12" t="s">
        <v>282</v>
      </c>
      <c r="AF433" s="12" t="s">
        <v>2473</v>
      </c>
      <c r="AG433" s="12" t="s">
        <v>284</v>
      </c>
      <c r="AH433" s="12" t="s">
        <v>838</v>
      </c>
      <c r="AI433" s="12" t="s">
        <v>117</v>
      </c>
      <c r="AJ433" s="12" t="s">
        <v>266</v>
      </c>
      <c r="AK433" s="12" t="s">
        <v>4</v>
      </c>
    </row>
    <row r="434" customFormat="false" ht="15" hidden="false" customHeight="false" outlineLevel="0" collapsed="false">
      <c r="A434" s="11" t="n">
        <v>433</v>
      </c>
      <c r="B434" s="12" t="s">
        <v>2474</v>
      </c>
      <c r="C434" s="12" t="s">
        <v>2125</v>
      </c>
      <c r="D434" s="12" t="s">
        <v>2126</v>
      </c>
      <c r="E434" s="12" t="s">
        <v>759</v>
      </c>
      <c r="F434" s="12" t="s">
        <v>1898</v>
      </c>
      <c r="G434" s="12" t="s">
        <v>830</v>
      </c>
      <c r="H434" s="12" t="s">
        <v>2475</v>
      </c>
      <c r="I434" s="12" t="s">
        <v>847</v>
      </c>
      <c r="J434" s="13" t="s">
        <v>2476</v>
      </c>
      <c r="K434" s="12"/>
      <c r="L434" s="12" t="s">
        <v>2477</v>
      </c>
      <c r="M434" s="12" t="s">
        <v>2478</v>
      </c>
      <c r="N434" s="12" t="s">
        <v>352</v>
      </c>
      <c r="O434" s="12" t="s">
        <v>102</v>
      </c>
      <c r="P434" s="12" t="s">
        <v>103</v>
      </c>
      <c r="Q434" s="12" t="s">
        <v>104</v>
      </c>
      <c r="R434" s="14" t="n">
        <v>15102.7</v>
      </c>
      <c r="S434" s="14" t="s">
        <v>105</v>
      </c>
      <c r="T434" s="14" t="s">
        <v>653</v>
      </c>
      <c r="U434" s="14" t="n">
        <v>2025</v>
      </c>
      <c r="V434" s="12" t="s">
        <v>157</v>
      </c>
      <c r="W434" s="14"/>
      <c r="X434" s="15" t="n">
        <f aca="false">IF(OR($S434="%",$R434=""),"",$R434*INDEX(Cambi!$J$2:$J$5,MATCH($S434,Cambi!$I$2:$I$5,0))/IF($T434="EUR",1,INDEX(Cambi!$D:$D,MATCH($T434&amp;"|"&amp;$U434,Cambi!$C:$C,0))))</f>
        <v>13365.2212389381</v>
      </c>
      <c r="Y434" s="12" t="s">
        <v>109</v>
      </c>
      <c r="Z434" s="12" t="s">
        <v>109</v>
      </c>
      <c r="AA434" s="12" t="s">
        <v>109</v>
      </c>
      <c r="AB434" s="16" t="s">
        <v>110</v>
      </c>
      <c r="AC434" s="16" t="s">
        <v>836</v>
      </c>
      <c r="AD434" s="12" t="s">
        <v>112</v>
      </c>
      <c r="AE434" s="12" t="s">
        <v>282</v>
      </c>
      <c r="AF434" s="12" t="s">
        <v>2479</v>
      </c>
      <c r="AG434" s="12" t="s">
        <v>284</v>
      </c>
      <c r="AH434" s="12" t="s">
        <v>838</v>
      </c>
      <c r="AI434" s="12" t="s">
        <v>117</v>
      </c>
      <c r="AJ434" s="12" t="s">
        <v>859</v>
      </c>
      <c r="AK434" s="12" t="s">
        <v>4</v>
      </c>
    </row>
    <row r="435" customFormat="false" ht="15" hidden="false" customHeight="false" outlineLevel="0" collapsed="false">
      <c r="A435" s="11" t="n">
        <v>434</v>
      </c>
      <c r="B435" s="12" t="s">
        <v>2474</v>
      </c>
      <c r="C435" s="12" t="s">
        <v>2125</v>
      </c>
      <c r="D435" s="12" t="s">
        <v>2126</v>
      </c>
      <c r="E435" s="12" t="s">
        <v>759</v>
      </c>
      <c r="F435" s="12" t="s">
        <v>1898</v>
      </c>
      <c r="G435" s="12" t="s">
        <v>830</v>
      </c>
      <c r="H435" s="12" t="s">
        <v>2475</v>
      </c>
      <c r="I435" s="12" t="s">
        <v>847</v>
      </c>
      <c r="J435" s="13" t="s">
        <v>2476</v>
      </c>
      <c r="K435" s="12"/>
      <c r="L435" s="12" t="s">
        <v>1905</v>
      </c>
      <c r="M435" s="12" t="s">
        <v>2480</v>
      </c>
      <c r="N435" s="12" t="s">
        <v>352</v>
      </c>
      <c r="O435" s="12" t="s">
        <v>196</v>
      </c>
      <c r="P435" s="12" t="s">
        <v>155</v>
      </c>
      <c r="Q435" s="12" t="s">
        <v>794</v>
      </c>
      <c r="R435" s="14" t="n">
        <v>52.74</v>
      </c>
      <c r="S435" s="14" t="s">
        <v>197</v>
      </c>
      <c r="T435" s="14"/>
      <c r="U435" s="14" t="n">
        <v>2025</v>
      </c>
      <c r="V435" s="12" t="s">
        <v>157</v>
      </c>
      <c r="W435" s="14"/>
      <c r="X435" s="15" t="str">
        <f aca="false">IF(OR($S435="%",$R435=""),"",$R435*INDEX(Cambi!$J$2:$J$5,MATCH($S435,Cambi!$I$2:$I$5,0))/IF($T435="EUR",1,INDEX(Cambi!$D:$D,MATCH($T435&amp;"|"&amp;$U435,Cambi!$C:$C,0))))</f>
        <v/>
      </c>
      <c r="Y435" s="12" t="s">
        <v>109</v>
      </c>
      <c r="Z435" s="12" t="s">
        <v>109</v>
      </c>
      <c r="AA435" s="12" t="s">
        <v>109</v>
      </c>
      <c r="AB435" s="16" t="s">
        <v>110</v>
      </c>
      <c r="AC435" s="16" t="s">
        <v>836</v>
      </c>
      <c r="AD435" s="12" t="s">
        <v>112</v>
      </c>
      <c r="AE435" s="12" t="s">
        <v>282</v>
      </c>
      <c r="AF435" s="12" t="s">
        <v>2481</v>
      </c>
      <c r="AG435" s="12" t="s">
        <v>284</v>
      </c>
      <c r="AH435" s="12" t="s">
        <v>838</v>
      </c>
      <c r="AI435" s="12" t="s">
        <v>117</v>
      </c>
      <c r="AJ435" s="12" t="s">
        <v>2482</v>
      </c>
      <c r="AK435" s="12" t="s">
        <v>4</v>
      </c>
    </row>
    <row r="436" customFormat="false" ht="15" hidden="false" customHeight="false" outlineLevel="0" collapsed="false">
      <c r="A436" s="11" t="n">
        <v>435</v>
      </c>
      <c r="B436" s="12" t="s">
        <v>2474</v>
      </c>
      <c r="C436" s="12" t="s">
        <v>2125</v>
      </c>
      <c r="D436" s="12" t="s">
        <v>2126</v>
      </c>
      <c r="E436" s="12" t="s">
        <v>759</v>
      </c>
      <c r="F436" s="12" t="s">
        <v>1898</v>
      </c>
      <c r="G436" s="12" t="s">
        <v>830</v>
      </c>
      <c r="H436" s="12" t="s">
        <v>2475</v>
      </c>
      <c r="I436" s="12" t="s">
        <v>847</v>
      </c>
      <c r="J436" s="13" t="s">
        <v>2476</v>
      </c>
      <c r="K436" s="12"/>
      <c r="L436" s="12" t="s">
        <v>2483</v>
      </c>
      <c r="M436" s="12" t="s">
        <v>2484</v>
      </c>
      <c r="N436" s="12" t="s">
        <v>352</v>
      </c>
      <c r="O436" s="12" t="s">
        <v>102</v>
      </c>
      <c r="P436" s="12" t="s">
        <v>103</v>
      </c>
      <c r="Q436" s="12" t="s">
        <v>104</v>
      </c>
      <c r="R436" s="14" t="n">
        <v>33397.6</v>
      </c>
      <c r="S436" s="14" t="s">
        <v>105</v>
      </c>
      <c r="T436" s="14" t="s">
        <v>653</v>
      </c>
      <c r="U436" s="14" t="n">
        <v>2033</v>
      </c>
      <c r="V436" s="12" t="s">
        <v>107</v>
      </c>
      <c r="W436" s="14" t="s">
        <v>2485</v>
      </c>
      <c r="X436" s="15" t="n">
        <f aca="false">IF(OR($S436="%",$R436=""),"",$R436*INDEX(Cambi!$J$2:$J$5,MATCH($S436,Cambi!$I$2:$I$5,0))/IF($T436="EUR",1,INDEX(Cambi!$D:$D,MATCH($T436&amp;"|"&amp;$U436,Cambi!$C:$C,0))))</f>
        <v>29555.3982300885</v>
      </c>
      <c r="Y436" s="12" t="s">
        <v>109</v>
      </c>
      <c r="Z436" s="12" t="s">
        <v>109</v>
      </c>
      <c r="AA436" s="12" t="s">
        <v>109</v>
      </c>
      <c r="AB436" s="16" t="s">
        <v>110</v>
      </c>
      <c r="AC436" s="16" t="s">
        <v>836</v>
      </c>
      <c r="AD436" s="12" t="s">
        <v>112</v>
      </c>
      <c r="AE436" s="12" t="s">
        <v>282</v>
      </c>
      <c r="AF436" s="12" t="s">
        <v>2486</v>
      </c>
      <c r="AG436" s="12" t="s">
        <v>284</v>
      </c>
      <c r="AH436" s="12" t="s">
        <v>838</v>
      </c>
      <c r="AI436" s="12" t="s">
        <v>117</v>
      </c>
      <c r="AJ436" s="12" t="s">
        <v>266</v>
      </c>
      <c r="AK436" s="12" t="s">
        <v>4</v>
      </c>
    </row>
    <row r="437" customFormat="false" ht="15" hidden="false" customHeight="false" outlineLevel="0" collapsed="false">
      <c r="A437" s="11" t="n">
        <v>436</v>
      </c>
      <c r="B437" s="12" t="s">
        <v>2487</v>
      </c>
      <c r="C437" s="12" t="s">
        <v>2125</v>
      </c>
      <c r="D437" s="12" t="s">
        <v>2126</v>
      </c>
      <c r="E437" s="12" t="s">
        <v>759</v>
      </c>
      <c r="F437" s="12" t="s">
        <v>1898</v>
      </c>
      <c r="G437" s="12" t="s">
        <v>830</v>
      </c>
      <c r="H437" s="12" t="s">
        <v>2488</v>
      </c>
      <c r="I437" s="12" t="s">
        <v>181</v>
      </c>
      <c r="J437" s="13" t="s">
        <v>2489</v>
      </c>
      <c r="K437" s="12"/>
      <c r="L437" s="12" t="s">
        <v>2490</v>
      </c>
      <c r="M437" s="12" t="s">
        <v>2491</v>
      </c>
      <c r="N437" s="12" t="s">
        <v>352</v>
      </c>
      <c r="O437" s="12" t="s">
        <v>102</v>
      </c>
      <c r="P437" s="12" t="s">
        <v>155</v>
      </c>
      <c r="Q437" s="12" t="s">
        <v>787</v>
      </c>
      <c r="R437" s="14" t="n">
        <v>4896.6</v>
      </c>
      <c r="S437" s="14" t="s">
        <v>105</v>
      </c>
      <c r="T437" s="14" t="s">
        <v>653</v>
      </c>
      <c r="U437" s="14" t="n">
        <v>2024</v>
      </c>
      <c r="V437" s="12" t="s">
        <v>157</v>
      </c>
      <c r="W437" s="14"/>
      <c r="X437" s="15" t="n">
        <f aca="false">IF(OR($S437="%",$R437=""),"",$R437*INDEX(Cambi!$J$2:$J$5,MATCH($S437,Cambi!$I$2:$I$5,0))/IF($T437="EUR",1,INDEX(Cambi!$D:$D,MATCH($T437&amp;"|"&amp;$U437,Cambi!$C:$C,0))))</f>
        <v>4523.83592017738</v>
      </c>
      <c r="Y437" s="12" t="s">
        <v>109</v>
      </c>
      <c r="Z437" s="12" t="s">
        <v>109</v>
      </c>
      <c r="AA437" s="12" t="s">
        <v>109</v>
      </c>
      <c r="AB437" s="16" t="s">
        <v>110</v>
      </c>
      <c r="AC437" s="16" t="s">
        <v>836</v>
      </c>
      <c r="AD437" s="12" t="s">
        <v>112</v>
      </c>
      <c r="AE437" s="12" t="s">
        <v>282</v>
      </c>
      <c r="AF437" s="12" t="s">
        <v>2492</v>
      </c>
      <c r="AG437" s="12" t="s">
        <v>284</v>
      </c>
      <c r="AH437" s="12" t="s">
        <v>838</v>
      </c>
      <c r="AI437" s="12" t="s">
        <v>117</v>
      </c>
      <c r="AJ437" s="12" t="s">
        <v>2493</v>
      </c>
      <c r="AK437" s="12" t="s">
        <v>4</v>
      </c>
    </row>
    <row r="438" customFormat="false" ht="15" hidden="false" customHeight="false" outlineLevel="0" collapsed="false">
      <c r="A438" s="11" t="n">
        <v>437</v>
      </c>
      <c r="B438" s="12" t="s">
        <v>2487</v>
      </c>
      <c r="C438" s="12" t="s">
        <v>2125</v>
      </c>
      <c r="D438" s="12" t="s">
        <v>2126</v>
      </c>
      <c r="E438" s="12" t="s">
        <v>759</v>
      </c>
      <c r="F438" s="12" t="s">
        <v>1898</v>
      </c>
      <c r="G438" s="12" t="s">
        <v>830</v>
      </c>
      <c r="H438" s="12" t="s">
        <v>2488</v>
      </c>
      <c r="I438" s="12" t="s">
        <v>181</v>
      </c>
      <c r="J438" s="13" t="s">
        <v>2489</v>
      </c>
      <c r="K438" s="12"/>
      <c r="L438" s="12" t="s">
        <v>2494</v>
      </c>
      <c r="M438" s="12" t="s">
        <v>2495</v>
      </c>
      <c r="N438" s="12" t="s">
        <v>352</v>
      </c>
      <c r="O438" s="12" t="s">
        <v>102</v>
      </c>
      <c r="P438" s="12" t="s">
        <v>155</v>
      </c>
      <c r="Q438" s="12" t="s">
        <v>787</v>
      </c>
      <c r="R438" s="14" t="n">
        <v>10381.4</v>
      </c>
      <c r="S438" s="14" t="s">
        <v>105</v>
      </c>
      <c r="T438" s="14" t="s">
        <v>653</v>
      </c>
      <c r="U438" s="14" t="n">
        <v>2030</v>
      </c>
      <c r="V438" s="12" t="s">
        <v>107</v>
      </c>
      <c r="W438" s="14" t="s">
        <v>2496</v>
      </c>
      <c r="X438" s="15" t="n">
        <f aca="false">IF(OR($S438="%",$R438=""),"",$R438*INDEX(Cambi!$J$2:$J$5,MATCH($S438,Cambi!$I$2:$I$5,0))/IF($T438="EUR",1,INDEX(Cambi!$D:$D,MATCH($T438&amp;"|"&amp;$U438,Cambi!$C:$C,0))))</f>
        <v>9187.0796460177</v>
      </c>
      <c r="Y438" s="12" t="s">
        <v>109</v>
      </c>
      <c r="Z438" s="12" t="s">
        <v>109</v>
      </c>
      <c r="AA438" s="12" t="s">
        <v>109</v>
      </c>
      <c r="AB438" s="16" t="s">
        <v>110</v>
      </c>
      <c r="AC438" s="16" t="s">
        <v>836</v>
      </c>
      <c r="AD438" s="12" t="s">
        <v>112</v>
      </c>
      <c r="AE438" s="12" t="s">
        <v>282</v>
      </c>
      <c r="AF438" s="12" t="s">
        <v>2497</v>
      </c>
      <c r="AG438" s="12" t="s">
        <v>284</v>
      </c>
      <c r="AH438" s="12" t="s">
        <v>838</v>
      </c>
      <c r="AI438" s="12" t="s">
        <v>117</v>
      </c>
      <c r="AJ438" s="12" t="s">
        <v>2498</v>
      </c>
      <c r="AK438" s="12" t="s">
        <v>4</v>
      </c>
    </row>
    <row r="439" customFormat="false" ht="15" hidden="false" customHeight="false" outlineLevel="0" collapsed="false">
      <c r="A439" s="11" t="n">
        <v>438</v>
      </c>
      <c r="B439" s="12" t="s">
        <v>2499</v>
      </c>
      <c r="C439" s="12" t="s">
        <v>2125</v>
      </c>
      <c r="D439" s="12" t="s">
        <v>2126</v>
      </c>
      <c r="E439" s="12" t="s">
        <v>759</v>
      </c>
      <c r="F439" s="12" t="s">
        <v>2500</v>
      </c>
      <c r="G439" s="12" t="s">
        <v>830</v>
      </c>
      <c r="H439" s="12" t="s">
        <v>2501</v>
      </c>
      <c r="I439" s="12" t="s">
        <v>181</v>
      </c>
      <c r="J439" s="13" t="s">
        <v>2502</v>
      </c>
      <c r="K439" s="12"/>
      <c r="L439" s="12" t="s">
        <v>2503</v>
      </c>
      <c r="M439" s="12" t="s">
        <v>2504</v>
      </c>
      <c r="N439" s="12" t="s">
        <v>352</v>
      </c>
      <c r="O439" s="12" t="s">
        <v>102</v>
      </c>
      <c r="P439" s="12" t="s">
        <v>103</v>
      </c>
      <c r="Q439" s="12" t="s">
        <v>104</v>
      </c>
      <c r="R439" s="14" t="n">
        <v>13.6</v>
      </c>
      <c r="S439" s="14" t="s">
        <v>129</v>
      </c>
      <c r="T439" s="14" t="s">
        <v>653</v>
      </c>
      <c r="U439" s="14" t="n">
        <v>2024</v>
      </c>
      <c r="V439" s="12" t="s">
        <v>157</v>
      </c>
      <c r="W439" s="14"/>
      <c r="X439" s="15" t="n">
        <f aca="false">IF(OR($S439="%",$R439=""),"",$R439*INDEX(Cambi!$J$2:$J$5,MATCH($S439,Cambi!$I$2:$I$5,0))/IF($T439="EUR",1,INDEX(Cambi!$D:$D,MATCH($T439&amp;"|"&amp;$U439,Cambi!$C:$C,0))))</f>
        <v>12564.6711012565</v>
      </c>
      <c r="Y439" s="12" t="s">
        <v>109</v>
      </c>
      <c r="Z439" s="12" t="s">
        <v>109</v>
      </c>
      <c r="AA439" s="12" t="s">
        <v>109</v>
      </c>
      <c r="AB439" s="16" t="s">
        <v>110</v>
      </c>
      <c r="AC439" s="16" t="s">
        <v>836</v>
      </c>
      <c r="AD439" s="12" t="s">
        <v>112</v>
      </c>
      <c r="AE439" s="12" t="s">
        <v>282</v>
      </c>
      <c r="AF439" s="12" t="s">
        <v>2505</v>
      </c>
      <c r="AG439" s="12" t="s">
        <v>284</v>
      </c>
      <c r="AH439" s="12" t="s">
        <v>838</v>
      </c>
      <c r="AI439" s="12" t="s">
        <v>117</v>
      </c>
      <c r="AJ439" s="12" t="s">
        <v>2506</v>
      </c>
      <c r="AK439" s="12" t="s">
        <v>4</v>
      </c>
    </row>
    <row r="440" customFormat="false" ht="15" hidden="false" customHeight="false" outlineLevel="0" collapsed="false">
      <c r="A440" s="11" t="n">
        <v>439</v>
      </c>
      <c r="B440" s="12" t="s">
        <v>2499</v>
      </c>
      <c r="C440" s="12" t="s">
        <v>2125</v>
      </c>
      <c r="D440" s="12" t="s">
        <v>2126</v>
      </c>
      <c r="E440" s="12" t="s">
        <v>759</v>
      </c>
      <c r="F440" s="12" t="s">
        <v>2500</v>
      </c>
      <c r="G440" s="12" t="s">
        <v>830</v>
      </c>
      <c r="H440" s="12" t="s">
        <v>2501</v>
      </c>
      <c r="I440" s="12" t="s">
        <v>181</v>
      </c>
      <c r="J440" s="13" t="s">
        <v>2502</v>
      </c>
      <c r="K440" s="12"/>
      <c r="L440" s="12" t="s">
        <v>2507</v>
      </c>
      <c r="M440" s="12" t="s">
        <v>2508</v>
      </c>
      <c r="N440" s="12" t="s">
        <v>352</v>
      </c>
      <c r="O440" s="12" t="s">
        <v>102</v>
      </c>
      <c r="P440" s="12" t="s">
        <v>103</v>
      </c>
      <c r="Q440" s="12" t="s">
        <v>104</v>
      </c>
      <c r="R440" s="14" t="n">
        <v>37.9</v>
      </c>
      <c r="S440" s="14" t="s">
        <v>129</v>
      </c>
      <c r="T440" s="14" t="s">
        <v>653</v>
      </c>
      <c r="U440" s="14" t="n">
        <v>2033</v>
      </c>
      <c r="V440" s="12" t="s">
        <v>107</v>
      </c>
      <c r="W440" s="14" t="s">
        <v>2509</v>
      </c>
      <c r="X440" s="15" t="n">
        <f aca="false">IF(OR($S440="%",$R440=""),"",$R440*INDEX(Cambi!$J$2:$J$5,MATCH($S440,Cambi!$I$2:$I$5,0))/IF($T440="EUR",1,INDEX(Cambi!$D:$D,MATCH($T440&amp;"|"&amp;$U440,Cambi!$C:$C,0))))</f>
        <v>33539.8230088496</v>
      </c>
      <c r="Y440" s="12" t="s">
        <v>109</v>
      </c>
      <c r="Z440" s="12" t="s">
        <v>109</v>
      </c>
      <c r="AA440" s="12" t="s">
        <v>109</v>
      </c>
      <c r="AB440" s="16" t="s">
        <v>110</v>
      </c>
      <c r="AC440" s="16" t="s">
        <v>836</v>
      </c>
      <c r="AD440" s="12" t="s">
        <v>112</v>
      </c>
      <c r="AE440" s="12" t="s">
        <v>282</v>
      </c>
      <c r="AF440" s="12" t="s">
        <v>2510</v>
      </c>
      <c r="AG440" s="12" t="s">
        <v>284</v>
      </c>
      <c r="AH440" s="12" t="s">
        <v>838</v>
      </c>
      <c r="AI440" s="12" t="s">
        <v>117</v>
      </c>
      <c r="AJ440" s="12" t="s">
        <v>2511</v>
      </c>
      <c r="AK440" s="12" t="s">
        <v>4</v>
      </c>
    </row>
    <row r="441" customFormat="false" ht="15" hidden="false" customHeight="false" outlineLevel="0" collapsed="false">
      <c r="A441" s="11" t="n">
        <v>440</v>
      </c>
      <c r="B441" s="12" t="s">
        <v>2512</v>
      </c>
      <c r="C441" s="12" t="s">
        <v>2125</v>
      </c>
      <c r="D441" s="12" t="s">
        <v>2126</v>
      </c>
      <c r="E441" s="12" t="s">
        <v>759</v>
      </c>
      <c r="F441" s="12" t="s">
        <v>2513</v>
      </c>
      <c r="G441" s="12" t="s">
        <v>830</v>
      </c>
      <c r="H441" s="12" t="s">
        <v>2514</v>
      </c>
      <c r="I441" s="12" t="s">
        <v>978</v>
      </c>
      <c r="J441" s="13" t="s">
        <v>2515</v>
      </c>
      <c r="K441" s="12"/>
      <c r="L441" s="12" t="s">
        <v>2514</v>
      </c>
      <c r="M441" s="12" t="s">
        <v>2516</v>
      </c>
      <c r="N441" s="12" t="s">
        <v>352</v>
      </c>
      <c r="O441" s="12" t="s">
        <v>102</v>
      </c>
      <c r="P441" s="12" t="s">
        <v>103</v>
      </c>
      <c r="Q441" s="12" t="s">
        <v>104</v>
      </c>
      <c r="R441" s="14" t="n">
        <v>12</v>
      </c>
      <c r="S441" s="14" t="s">
        <v>129</v>
      </c>
      <c r="T441" s="14" t="s">
        <v>653</v>
      </c>
      <c r="U441" s="14" t="n">
        <v>2025</v>
      </c>
      <c r="V441" s="12" t="s">
        <v>157</v>
      </c>
      <c r="W441" s="14"/>
      <c r="X441" s="15" t="n">
        <f aca="false">IF(OR($S441="%",$R441=""),"",$R441*INDEX(Cambi!$J$2:$J$5,MATCH($S441,Cambi!$I$2:$I$5,0))/IF($T441="EUR",1,INDEX(Cambi!$D:$D,MATCH($T441&amp;"|"&amp;$U441,Cambi!$C:$C,0))))</f>
        <v>10619.4690265487</v>
      </c>
      <c r="Y441" s="12" t="s">
        <v>109</v>
      </c>
      <c r="Z441" s="12" t="s">
        <v>109</v>
      </c>
      <c r="AA441" s="12" t="s">
        <v>109</v>
      </c>
      <c r="AB441" s="16" t="s">
        <v>110</v>
      </c>
      <c r="AC441" s="16" t="s">
        <v>836</v>
      </c>
      <c r="AD441" s="12" t="s">
        <v>112</v>
      </c>
      <c r="AE441" s="12" t="s">
        <v>2517</v>
      </c>
      <c r="AF441" s="12" t="s">
        <v>2518</v>
      </c>
      <c r="AG441" s="12" t="s">
        <v>284</v>
      </c>
      <c r="AH441" s="12" t="s">
        <v>838</v>
      </c>
      <c r="AI441" s="12" t="s">
        <v>117</v>
      </c>
      <c r="AJ441" s="12" t="s">
        <v>2519</v>
      </c>
      <c r="AK441" s="12" t="s">
        <v>4</v>
      </c>
    </row>
    <row r="442" customFormat="false" ht="15" hidden="false" customHeight="false" outlineLevel="0" collapsed="false">
      <c r="A442" s="11" t="n">
        <v>441</v>
      </c>
      <c r="B442" s="12" t="s">
        <v>2512</v>
      </c>
      <c r="C442" s="12" t="s">
        <v>2125</v>
      </c>
      <c r="D442" s="12" t="s">
        <v>2126</v>
      </c>
      <c r="E442" s="12" t="s">
        <v>759</v>
      </c>
      <c r="F442" s="12" t="s">
        <v>2513</v>
      </c>
      <c r="G442" s="12" t="s">
        <v>830</v>
      </c>
      <c r="H442" s="12" t="s">
        <v>2514</v>
      </c>
      <c r="I442" s="12" t="s">
        <v>978</v>
      </c>
      <c r="J442" s="13" t="s">
        <v>2515</v>
      </c>
      <c r="K442" s="12"/>
      <c r="L442" s="12" t="s">
        <v>2520</v>
      </c>
      <c r="M442" s="12" t="s">
        <v>2521</v>
      </c>
      <c r="N442" s="12" t="s">
        <v>352</v>
      </c>
      <c r="O442" s="12" t="s">
        <v>102</v>
      </c>
      <c r="P442" s="12" t="s">
        <v>103</v>
      </c>
      <c r="Q442" s="12" t="s">
        <v>104</v>
      </c>
      <c r="R442" s="14" t="n">
        <v>8.5</v>
      </c>
      <c r="S442" s="14" t="s">
        <v>129</v>
      </c>
      <c r="T442" s="14" t="s">
        <v>106</v>
      </c>
      <c r="U442" s="14" t="n">
        <v>2025</v>
      </c>
      <c r="V442" s="12" t="s">
        <v>157</v>
      </c>
      <c r="W442" s="14"/>
      <c r="X442" s="15" t="n">
        <f aca="false">IF(OR($S442="%",$R442=""),"",$R442*INDEX(Cambi!$J$2:$J$5,MATCH($S442,Cambi!$I$2:$I$5,0))/IF($T442="EUR",1,INDEX(Cambi!$D:$D,MATCH($T442&amp;"|"&amp;$U442,Cambi!$C:$C,0))))</f>
        <v>8500</v>
      </c>
      <c r="Y442" s="12" t="s">
        <v>109</v>
      </c>
      <c r="Z442" s="12" t="s">
        <v>109</v>
      </c>
      <c r="AA442" s="12" t="s">
        <v>109</v>
      </c>
      <c r="AB442" s="16" t="s">
        <v>110</v>
      </c>
      <c r="AC442" s="16" t="s">
        <v>836</v>
      </c>
      <c r="AD442" s="12" t="s">
        <v>112</v>
      </c>
      <c r="AE442" s="12" t="s">
        <v>2517</v>
      </c>
      <c r="AF442" s="12" t="s">
        <v>2522</v>
      </c>
      <c r="AG442" s="12" t="s">
        <v>284</v>
      </c>
      <c r="AH442" s="12" t="s">
        <v>838</v>
      </c>
      <c r="AI442" s="12" t="s">
        <v>117</v>
      </c>
      <c r="AJ442" s="12" t="s">
        <v>2523</v>
      </c>
      <c r="AK442" s="12" t="s">
        <v>4</v>
      </c>
    </row>
    <row r="443" customFormat="false" ht="15" hidden="false" customHeight="false" outlineLevel="0" collapsed="false">
      <c r="A443" s="11" t="n">
        <v>442</v>
      </c>
      <c r="B443" s="12" t="s">
        <v>2524</v>
      </c>
      <c r="C443" s="12" t="s">
        <v>2125</v>
      </c>
      <c r="D443" s="12" t="s">
        <v>2126</v>
      </c>
      <c r="E443" s="12" t="s">
        <v>759</v>
      </c>
      <c r="F443" s="12" t="s">
        <v>2525</v>
      </c>
      <c r="G443" s="12" t="s">
        <v>1876</v>
      </c>
      <c r="H443" s="12" t="s">
        <v>2526</v>
      </c>
      <c r="I443" s="12" t="s">
        <v>2527</v>
      </c>
      <c r="J443" s="13" t="s">
        <v>2528</v>
      </c>
      <c r="K443" s="12"/>
      <c r="L443" s="12" t="s">
        <v>2529</v>
      </c>
      <c r="M443" s="12" t="s">
        <v>2530</v>
      </c>
      <c r="N443" s="12" t="s">
        <v>352</v>
      </c>
      <c r="O443" s="12" t="s">
        <v>213</v>
      </c>
      <c r="P443" s="12" t="s">
        <v>155</v>
      </c>
      <c r="Q443" s="12" t="s">
        <v>2112</v>
      </c>
      <c r="R443" s="14" t="n">
        <v>11.4</v>
      </c>
      <c r="S443" s="14" t="s">
        <v>197</v>
      </c>
      <c r="T443" s="14"/>
      <c r="U443" s="14" t="n">
        <v>2025</v>
      </c>
      <c r="V443" s="12" t="s">
        <v>107</v>
      </c>
      <c r="W443" s="14"/>
      <c r="X443" s="15" t="str">
        <f aca="false">IF(OR($S443="%",$R443=""),"",$R443*INDEX(Cambi!$J$2:$J$5,MATCH($S443,Cambi!$I$2:$I$5,0))/IF($T443="EUR",1,INDEX(Cambi!$D:$D,MATCH($T443&amp;"|"&amp;$U443,Cambi!$C:$C,0))))</f>
        <v/>
      </c>
      <c r="Y443" s="12" t="s">
        <v>109</v>
      </c>
      <c r="Z443" s="12" t="s">
        <v>109</v>
      </c>
      <c r="AA443" s="12" t="s">
        <v>2531</v>
      </c>
      <c r="AB443" s="12" t="s">
        <v>679</v>
      </c>
      <c r="AC443" s="12" t="s">
        <v>395</v>
      </c>
      <c r="AD443" s="12" t="s">
        <v>112</v>
      </c>
      <c r="AE443" s="12" t="s">
        <v>2532</v>
      </c>
      <c r="AF443" s="12" t="s">
        <v>2533</v>
      </c>
      <c r="AG443" s="12" t="s">
        <v>498</v>
      </c>
      <c r="AH443" s="12" t="s">
        <v>116</v>
      </c>
      <c r="AI443" s="12" t="s">
        <v>117</v>
      </c>
      <c r="AJ443" s="12" t="s">
        <v>2534</v>
      </c>
      <c r="AK443" s="12" t="s">
        <v>4</v>
      </c>
    </row>
    <row r="444" customFormat="false" ht="15" hidden="false" customHeight="false" outlineLevel="0" collapsed="false">
      <c r="A444" s="11" t="n">
        <v>443</v>
      </c>
      <c r="B444" s="12" t="s">
        <v>2535</v>
      </c>
      <c r="C444" s="12" t="s">
        <v>2125</v>
      </c>
      <c r="D444" s="12" t="s">
        <v>2126</v>
      </c>
      <c r="E444" s="12" t="s">
        <v>759</v>
      </c>
      <c r="F444" s="12" t="s">
        <v>1971</v>
      </c>
      <c r="G444" s="12" t="s">
        <v>830</v>
      </c>
      <c r="H444" s="12" t="s">
        <v>2536</v>
      </c>
      <c r="I444" s="12" t="s">
        <v>181</v>
      </c>
      <c r="J444" s="13" t="s">
        <v>2537</v>
      </c>
      <c r="K444" s="12"/>
      <c r="L444" s="12" t="s">
        <v>2538</v>
      </c>
      <c r="M444" s="12" t="s">
        <v>2539</v>
      </c>
      <c r="N444" s="12" t="s">
        <v>352</v>
      </c>
      <c r="O444" s="12" t="s">
        <v>102</v>
      </c>
      <c r="P444" s="12" t="s">
        <v>103</v>
      </c>
      <c r="Q444" s="12" t="s">
        <v>104</v>
      </c>
      <c r="R444" s="14" t="n">
        <v>11.82</v>
      </c>
      <c r="S444" s="14" t="s">
        <v>129</v>
      </c>
      <c r="T444" s="14" t="s">
        <v>653</v>
      </c>
      <c r="U444" s="14" t="n">
        <v>2025</v>
      </c>
      <c r="V444" s="12" t="s">
        <v>157</v>
      </c>
      <c r="W444" s="14"/>
      <c r="X444" s="15" t="n">
        <f aca="false">IF(OR($S444="%",$R444=""),"",$R444*INDEX(Cambi!$J$2:$J$5,MATCH($S444,Cambi!$I$2:$I$5,0))/IF($T444="EUR",1,INDEX(Cambi!$D:$D,MATCH($T444&amp;"|"&amp;$U444,Cambi!$C:$C,0))))</f>
        <v>10460.1769911504</v>
      </c>
      <c r="Y444" s="12" t="s">
        <v>109</v>
      </c>
      <c r="Z444" s="12" t="s">
        <v>109</v>
      </c>
      <c r="AA444" s="12" t="s">
        <v>109</v>
      </c>
      <c r="AB444" s="16" t="s">
        <v>110</v>
      </c>
      <c r="AC444" s="16" t="s">
        <v>836</v>
      </c>
      <c r="AD444" s="12" t="s">
        <v>112</v>
      </c>
      <c r="AE444" s="12" t="s">
        <v>282</v>
      </c>
      <c r="AF444" s="12" t="s">
        <v>2540</v>
      </c>
      <c r="AG444" s="12" t="s">
        <v>284</v>
      </c>
      <c r="AH444" s="12" t="s">
        <v>838</v>
      </c>
      <c r="AI444" s="12" t="s">
        <v>117</v>
      </c>
      <c r="AJ444" s="12" t="s">
        <v>2541</v>
      </c>
      <c r="AK444" s="12" t="s">
        <v>4</v>
      </c>
    </row>
    <row r="445" customFormat="false" ht="15" hidden="false" customHeight="false" outlineLevel="0" collapsed="false">
      <c r="A445" s="11" t="n">
        <v>444</v>
      </c>
      <c r="B445" s="12" t="s">
        <v>2535</v>
      </c>
      <c r="C445" s="12" t="s">
        <v>2125</v>
      </c>
      <c r="D445" s="12" t="s">
        <v>2126</v>
      </c>
      <c r="E445" s="12" t="s">
        <v>759</v>
      </c>
      <c r="F445" s="12" t="s">
        <v>1971</v>
      </c>
      <c r="G445" s="12" t="s">
        <v>830</v>
      </c>
      <c r="H445" s="12" t="s">
        <v>2536</v>
      </c>
      <c r="I445" s="12" t="s">
        <v>181</v>
      </c>
      <c r="J445" s="13" t="s">
        <v>2537</v>
      </c>
      <c r="K445" s="12"/>
      <c r="L445" s="12" t="s">
        <v>2542</v>
      </c>
      <c r="M445" s="12" t="s">
        <v>2543</v>
      </c>
      <c r="N445" s="12" t="s">
        <v>352</v>
      </c>
      <c r="O445" s="12" t="s">
        <v>102</v>
      </c>
      <c r="P445" s="12" t="s">
        <v>103</v>
      </c>
      <c r="Q445" s="12" t="s">
        <v>104</v>
      </c>
      <c r="R445" s="14" t="n">
        <v>31.15</v>
      </c>
      <c r="S445" s="14" t="s">
        <v>129</v>
      </c>
      <c r="T445" s="14" t="s">
        <v>653</v>
      </c>
      <c r="U445" s="14" t="n">
        <v>2035</v>
      </c>
      <c r="V445" s="12" t="s">
        <v>107</v>
      </c>
      <c r="W445" s="14" t="s">
        <v>1980</v>
      </c>
      <c r="X445" s="15" t="n">
        <f aca="false">IF(OR($S445="%",$R445=""),"",$R445*INDEX(Cambi!$J$2:$J$5,MATCH($S445,Cambi!$I$2:$I$5,0))/IF($T445="EUR",1,INDEX(Cambi!$D:$D,MATCH($T445&amp;"|"&amp;$U445,Cambi!$C:$C,0))))</f>
        <v>27566.3716814159</v>
      </c>
      <c r="Y445" s="12" t="s">
        <v>109</v>
      </c>
      <c r="Z445" s="12" t="s">
        <v>109</v>
      </c>
      <c r="AA445" s="12" t="s">
        <v>109</v>
      </c>
      <c r="AB445" s="16" t="s">
        <v>110</v>
      </c>
      <c r="AC445" s="16" t="s">
        <v>836</v>
      </c>
      <c r="AD445" s="12" t="s">
        <v>112</v>
      </c>
      <c r="AE445" s="12" t="s">
        <v>282</v>
      </c>
      <c r="AF445" s="12" t="s">
        <v>2544</v>
      </c>
      <c r="AG445" s="12" t="s">
        <v>284</v>
      </c>
      <c r="AH445" s="12" t="s">
        <v>838</v>
      </c>
      <c r="AI445" s="12" t="s">
        <v>117</v>
      </c>
      <c r="AJ445" s="12" t="s">
        <v>2545</v>
      </c>
      <c r="AK445" s="12" t="s">
        <v>4</v>
      </c>
    </row>
    <row r="446" customFormat="false" ht="15" hidden="false" customHeight="false" outlineLevel="0" collapsed="false">
      <c r="A446" s="11" t="n">
        <v>445</v>
      </c>
      <c r="B446" s="12" t="s">
        <v>2546</v>
      </c>
      <c r="C446" s="12" t="s">
        <v>2125</v>
      </c>
      <c r="D446" s="12" t="s">
        <v>2126</v>
      </c>
      <c r="E446" s="12" t="s">
        <v>759</v>
      </c>
      <c r="F446" s="12" t="s">
        <v>1984</v>
      </c>
      <c r="G446" s="12" t="s">
        <v>830</v>
      </c>
      <c r="H446" s="12" t="s">
        <v>2547</v>
      </c>
      <c r="I446" s="12" t="s">
        <v>181</v>
      </c>
      <c r="J446" s="13" t="s">
        <v>2548</v>
      </c>
      <c r="K446" s="12"/>
      <c r="L446" s="12" t="s">
        <v>2549</v>
      </c>
      <c r="M446" s="12" t="s">
        <v>2504</v>
      </c>
      <c r="N446" s="12" t="s">
        <v>352</v>
      </c>
      <c r="O446" s="12" t="s">
        <v>102</v>
      </c>
      <c r="P446" s="12" t="s">
        <v>103</v>
      </c>
      <c r="Q446" s="12" t="s">
        <v>104</v>
      </c>
      <c r="R446" s="14" t="n">
        <v>11.92</v>
      </c>
      <c r="S446" s="14" t="s">
        <v>129</v>
      </c>
      <c r="T446" s="14" t="s">
        <v>653</v>
      </c>
      <c r="U446" s="14" t="n">
        <v>2024</v>
      </c>
      <c r="V446" s="12" t="s">
        <v>157</v>
      </c>
      <c r="W446" s="14"/>
      <c r="X446" s="15" t="n">
        <f aca="false">IF(OR($S446="%",$R446=""),"",$R446*INDEX(Cambi!$J$2:$J$5,MATCH($S446,Cambi!$I$2:$I$5,0))/IF($T446="EUR",1,INDEX(Cambi!$D:$D,MATCH($T446&amp;"|"&amp;$U446,Cambi!$C:$C,0))))</f>
        <v>11012.5646711013</v>
      </c>
      <c r="Y446" s="12" t="s">
        <v>109</v>
      </c>
      <c r="Z446" s="12" t="s">
        <v>109</v>
      </c>
      <c r="AA446" s="12" t="s">
        <v>109</v>
      </c>
      <c r="AB446" s="16" t="s">
        <v>110</v>
      </c>
      <c r="AC446" s="16" t="s">
        <v>836</v>
      </c>
      <c r="AD446" s="12" t="s">
        <v>112</v>
      </c>
      <c r="AE446" s="12" t="s">
        <v>2550</v>
      </c>
      <c r="AF446" s="12" t="s">
        <v>2551</v>
      </c>
      <c r="AG446" s="12" t="s">
        <v>498</v>
      </c>
      <c r="AH446" s="12" t="s">
        <v>838</v>
      </c>
      <c r="AI446" s="12" t="s">
        <v>117</v>
      </c>
      <c r="AJ446" s="12" t="s">
        <v>2552</v>
      </c>
      <c r="AK446" s="12" t="s">
        <v>4</v>
      </c>
    </row>
    <row r="447" customFormat="false" ht="15" hidden="false" customHeight="false" outlineLevel="0" collapsed="false">
      <c r="A447" s="11" t="n">
        <v>446</v>
      </c>
      <c r="B447" s="12" t="s">
        <v>2546</v>
      </c>
      <c r="C447" s="12" t="s">
        <v>2125</v>
      </c>
      <c r="D447" s="12" t="s">
        <v>2126</v>
      </c>
      <c r="E447" s="12" t="s">
        <v>759</v>
      </c>
      <c r="F447" s="12" t="s">
        <v>1984</v>
      </c>
      <c r="G447" s="12" t="s">
        <v>830</v>
      </c>
      <c r="H447" s="12" t="s">
        <v>2547</v>
      </c>
      <c r="I447" s="12" t="s">
        <v>181</v>
      </c>
      <c r="J447" s="13" t="s">
        <v>2548</v>
      </c>
      <c r="K447" s="12"/>
      <c r="L447" s="12" t="s">
        <v>2553</v>
      </c>
      <c r="M447" s="12" t="s">
        <v>2467</v>
      </c>
      <c r="N447" s="12" t="s">
        <v>352</v>
      </c>
      <c r="O447" s="12" t="s">
        <v>102</v>
      </c>
      <c r="P447" s="12" t="s">
        <v>103</v>
      </c>
      <c r="Q447" s="12" t="s">
        <v>104</v>
      </c>
      <c r="R447" s="14" t="n">
        <v>13.03</v>
      </c>
      <c r="S447" s="14" t="s">
        <v>129</v>
      </c>
      <c r="T447" s="14" t="s">
        <v>653</v>
      </c>
      <c r="U447" s="14" t="n">
        <v>2025</v>
      </c>
      <c r="V447" s="12" t="s">
        <v>157</v>
      </c>
      <c r="W447" s="14"/>
      <c r="X447" s="15" t="n">
        <f aca="false">IF(OR($S447="%",$R447=""),"",$R447*INDEX(Cambi!$J$2:$J$5,MATCH($S447,Cambi!$I$2:$I$5,0))/IF($T447="EUR",1,INDEX(Cambi!$D:$D,MATCH($T447&amp;"|"&amp;$U447,Cambi!$C:$C,0))))</f>
        <v>11530.9734513274</v>
      </c>
      <c r="Y447" s="12" t="s">
        <v>109</v>
      </c>
      <c r="Z447" s="12" t="s">
        <v>109</v>
      </c>
      <c r="AA447" s="12" t="s">
        <v>109</v>
      </c>
      <c r="AB447" s="16" t="s">
        <v>110</v>
      </c>
      <c r="AC447" s="16" t="s">
        <v>836</v>
      </c>
      <c r="AD447" s="12" t="s">
        <v>112</v>
      </c>
      <c r="AE447" s="12" t="s">
        <v>2550</v>
      </c>
      <c r="AF447" s="12" t="s">
        <v>2554</v>
      </c>
      <c r="AG447" s="12" t="s">
        <v>498</v>
      </c>
      <c r="AH447" s="12" t="s">
        <v>838</v>
      </c>
      <c r="AI447" s="12" t="s">
        <v>117</v>
      </c>
      <c r="AJ447" s="12" t="s">
        <v>2555</v>
      </c>
      <c r="AK447" s="12" t="s">
        <v>4</v>
      </c>
    </row>
    <row r="448" customFormat="false" ht="15" hidden="false" customHeight="false" outlineLevel="0" collapsed="false">
      <c r="A448" s="11" t="n">
        <v>447</v>
      </c>
      <c r="B448" s="12" t="s">
        <v>2546</v>
      </c>
      <c r="C448" s="12" t="s">
        <v>2125</v>
      </c>
      <c r="D448" s="12" t="s">
        <v>2126</v>
      </c>
      <c r="E448" s="12" t="s">
        <v>759</v>
      </c>
      <c r="F448" s="12" t="s">
        <v>1984</v>
      </c>
      <c r="G448" s="12" t="s">
        <v>830</v>
      </c>
      <c r="H448" s="12" t="s">
        <v>2547</v>
      </c>
      <c r="I448" s="12" t="s">
        <v>181</v>
      </c>
      <c r="J448" s="13" t="s">
        <v>2548</v>
      </c>
      <c r="K448" s="12"/>
      <c r="L448" s="12" t="s">
        <v>2556</v>
      </c>
      <c r="M448" s="12" t="s">
        <v>2557</v>
      </c>
      <c r="N448" s="12" t="s">
        <v>352</v>
      </c>
      <c r="O448" s="12" t="s">
        <v>102</v>
      </c>
      <c r="P448" s="12" t="s">
        <v>103</v>
      </c>
      <c r="Q448" s="12" t="s">
        <v>104</v>
      </c>
      <c r="R448" s="14" t="n">
        <v>20.61</v>
      </c>
      <c r="S448" s="14" t="s">
        <v>129</v>
      </c>
      <c r="T448" s="14" t="s">
        <v>653</v>
      </c>
      <c r="U448" s="14" t="n">
        <v>2030</v>
      </c>
      <c r="V448" s="12" t="s">
        <v>107</v>
      </c>
      <c r="W448" s="14" t="s">
        <v>2558</v>
      </c>
      <c r="X448" s="15" t="n">
        <f aca="false">IF(OR($S448="%",$R448=""),"",$R448*INDEX(Cambi!$J$2:$J$5,MATCH($S448,Cambi!$I$2:$I$5,0))/IF($T448="EUR",1,INDEX(Cambi!$D:$D,MATCH($T448&amp;"|"&amp;$U448,Cambi!$C:$C,0))))</f>
        <v>18238.9380530973</v>
      </c>
      <c r="Y448" s="12" t="s">
        <v>109</v>
      </c>
      <c r="Z448" s="12" t="s">
        <v>109</v>
      </c>
      <c r="AA448" s="12" t="s">
        <v>109</v>
      </c>
      <c r="AB448" s="16" t="s">
        <v>110</v>
      </c>
      <c r="AC448" s="16" t="s">
        <v>836</v>
      </c>
      <c r="AD448" s="12" t="s">
        <v>112</v>
      </c>
      <c r="AE448" s="12" t="s">
        <v>2550</v>
      </c>
      <c r="AF448" s="12" t="s">
        <v>2559</v>
      </c>
      <c r="AG448" s="12" t="s">
        <v>498</v>
      </c>
      <c r="AH448" s="12" t="s">
        <v>838</v>
      </c>
      <c r="AI448" s="12" t="s">
        <v>117</v>
      </c>
      <c r="AJ448" s="12" t="s">
        <v>2560</v>
      </c>
      <c r="AK448" s="12" t="s">
        <v>4</v>
      </c>
    </row>
    <row r="449" customFormat="false" ht="15" hidden="false" customHeight="false" outlineLevel="0" collapsed="false">
      <c r="A449" s="11" t="n">
        <v>448</v>
      </c>
      <c r="B449" s="12" t="s">
        <v>2561</v>
      </c>
      <c r="C449" s="12" t="s">
        <v>2125</v>
      </c>
      <c r="D449" s="12" t="s">
        <v>2126</v>
      </c>
      <c r="E449" s="12" t="s">
        <v>759</v>
      </c>
      <c r="F449" s="12" t="s">
        <v>1984</v>
      </c>
      <c r="G449" s="12" t="s">
        <v>830</v>
      </c>
      <c r="H449" s="12" t="s">
        <v>2562</v>
      </c>
      <c r="I449" s="12" t="s">
        <v>181</v>
      </c>
      <c r="J449" s="13" t="s">
        <v>2563</v>
      </c>
      <c r="K449" s="12"/>
      <c r="L449" s="12" t="s">
        <v>2564</v>
      </c>
      <c r="M449" s="12" t="s">
        <v>2565</v>
      </c>
      <c r="N449" s="12" t="s">
        <v>352</v>
      </c>
      <c r="O449" s="12" t="s">
        <v>102</v>
      </c>
      <c r="P449" s="12" t="s">
        <v>214</v>
      </c>
      <c r="Q449" s="12" t="s">
        <v>2566</v>
      </c>
      <c r="R449" s="14" t="n">
        <v>660.1</v>
      </c>
      <c r="S449" s="14" t="s">
        <v>105</v>
      </c>
      <c r="T449" s="14" t="s">
        <v>653</v>
      </c>
      <c r="U449" s="14" t="n">
        <v>2025</v>
      </c>
      <c r="V449" s="12" t="s">
        <v>157</v>
      </c>
      <c r="W449" s="14"/>
      <c r="X449" s="15" t="n">
        <f aca="false">IF(OR($S449="%",$R449=""),"",$R449*INDEX(Cambi!$J$2:$J$5,MATCH($S449,Cambi!$I$2:$I$5,0))/IF($T449="EUR",1,INDEX(Cambi!$D:$D,MATCH($T449&amp;"|"&amp;$U449,Cambi!$C:$C,0))))</f>
        <v>584.159292035398</v>
      </c>
      <c r="Y449" s="12" t="s">
        <v>109</v>
      </c>
      <c r="Z449" s="12" t="s">
        <v>109</v>
      </c>
      <c r="AA449" s="12" t="s">
        <v>109</v>
      </c>
      <c r="AB449" s="16" t="s">
        <v>110</v>
      </c>
      <c r="AC449" s="16" t="s">
        <v>836</v>
      </c>
      <c r="AD449" s="12" t="s">
        <v>112</v>
      </c>
      <c r="AE449" s="12" t="s">
        <v>282</v>
      </c>
      <c r="AF449" s="12" t="s">
        <v>2567</v>
      </c>
      <c r="AG449" s="12" t="s">
        <v>284</v>
      </c>
      <c r="AH449" s="12" t="s">
        <v>838</v>
      </c>
      <c r="AI449" s="12" t="s">
        <v>117</v>
      </c>
      <c r="AJ449" s="12" t="s">
        <v>2568</v>
      </c>
      <c r="AK449" s="12" t="s">
        <v>4</v>
      </c>
    </row>
    <row r="450" customFormat="false" ht="15" hidden="false" customHeight="false" outlineLevel="0" collapsed="false">
      <c r="A450" s="11" t="n">
        <v>449</v>
      </c>
      <c r="B450" s="12" t="s">
        <v>2561</v>
      </c>
      <c r="C450" s="12" t="s">
        <v>2125</v>
      </c>
      <c r="D450" s="12" t="s">
        <v>2126</v>
      </c>
      <c r="E450" s="12" t="s">
        <v>759</v>
      </c>
      <c r="F450" s="12" t="s">
        <v>1984</v>
      </c>
      <c r="G450" s="12" t="s">
        <v>830</v>
      </c>
      <c r="H450" s="12" t="s">
        <v>2562</v>
      </c>
      <c r="I450" s="12" t="s">
        <v>181</v>
      </c>
      <c r="J450" s="13" t="s">
        <v>2563</v>
      </c>
      <c r="K450" s="12"/>
      <c r="L450" s="12" t="s">
        <v>2564</v>
      </c>
      <c r="M450" s="12" t="s">
        <v>2569</v>
      </c>
      <c r="N450" s="12" t="s">
        <v>352</v>
      </c>
      <c r="O450" s="12" t="s">
        <v>102</v>
      </c>
      <c r="P450" s="12" t="s">
        <v>214</v>
      </c>
      <c r="Q450" s="12" t="s">
        <v>2566</v>
      </c>
      <c r="R450" s="14" t="n">
        <v>1020.8</v>
      </c>
      <c r="S450" s="14" t="s">
        <v>105</v>
      </c>
      <c r="T450" s="14" t="s">
        <v>653</v>
      </c>
      <c r="U450" s="14" t="n">
        <v>2030</v>
      </c>
      <c r="V450" s="12" t="s">
        <v>107</v>
      </c>
      <c r="W450" s="14" t="s">
        <v>2570</v>
      </c>
      <c r="X450" s="15" t="n">
        <f aca="false">IF(OR($S450="%",$R450=""),"",$R450*INDEX(Cambi!$J$2:$J$5,MATCH($S450,Cambi!$I$2:$I$5,0))/IF($T450="EUR",1,INDEX(Cambi!$D:$D,MATCH($T450&amp;"|"&amp;$U450,Cambi!$C:$C,0))))</f>
        <v>903.362831858407</v>
      </c>
      <c r="Y450" s="12" t="s">
        <v>109</v>
      </c>
      <c r="Z450" s="12" t="s">
        <v>109</v>
      </c>
      <c r="AA450" s="12" t="s">
        <v>109</v>
      </c>
      <c r="AB450" s="16" t="s">
        <v>110</v>
      </c>
      <c r="AC450" s="16" t="s">
        <v>836</v>
      </c>
      <c r="AD450" s="12" t="s">
        <v>112</v>
      </c>
      <c r="AE450" s="12" t="s">
        <v>282</v>
      </c>
      <c r="AF450" s="12" t="s">
        <v>2567</v>
      </c>
      <c r="AG450" s="12" t="s">
        <v>284</v>
      </c>
      <c r="AH450" s="12" t="s">
        <v>838</v>
      </c>
      <c r="AI450" s="12" t="s">
        <v>117</v>
      </c>
      <c r="AJ450" s="12" t="s">
        <v>266</v>
      </c>
      <c r="AK450" s="12" t="s">
        <v>4</v>
      </c>
    </row>
    <row r="451" customFormat="false" ht="15" hidden="false" customHeight="false" outlineLevel="0" collapsed="false">
      <c r="A451" s="11" t="n">
        <v>450</v>
      </c>
      <c r="B451" s="12" t="s">
        <v>2571</v>
      </c>
      <c r="C451" s="12" t="s">
        <v>2125</v>
      </c>
      <c r="D451" s="12" t="s">
        <v>2126</v>
      </c>
      <c r="E451" s="12" t="s">
        <v>759</v>
      </c>
      <c r="F451" s="12" t="s">
        <v>1984</v>
      </c>
      <c r="G451" s="12" t="s">
        <v>830</v>
      </c>
      <c r="H451" s="12" t="s">
        <v>2572</v>
      </c>
      <c r="I451" s="12" t="s">
        <v>847</v>
      </c>
      <c r="J451" s="13" t="s">
        <v>2573</v>
      </c>
      <c r="K451" s="12"/>
      <c r="L451" s="12" t="s">
        <v>2574</v>
      </c>
      <c r="M451" s="12" t="s">
        <v>2575</v>
      </c>
      <c r="N451" s="12" t="s">
        <v>352</v>
      </c>
      <c r="O451" s="12" t="s">
        <v>102</v>
      </c>
      <c r="P451" s="12" t="s">
        <v>366</v>
      </c>
      <c r="Q451" s="12" t="s">
        <v>108</v>
      </c>
      <c r="R451" s="14" t="n">
        <v>4362</v>
      </c>
      <c r="S451" s="14" t="s">
        <v>105</v>
      </c>
      <c r="T451" s="14" t="s">
        <v>653</v>
      </c>
      <c r="U451" s="14" t="n">
        <v>2026</v>
      </c>
      <c r="V451" s="12" t="s">
        <v>198</v>
      </c>
      <c r="W451" s="14"/>
      <c r="X451" s="15" t="n">
        <f aca="false">IF(OR($S451="%",$R451=""),"",$R451*INDEX(Cambi!$J$2:$J$5,MATCH($S451,Cambi!$I$2:$I$5,0))/IF($T451="EUR",1,INDEX(Cambi!$D:$D,MATCH($T451&amp;"|"&amp;$U451,Cambi!$C:$C,0))))</f>
        <v>3860.17699115044</v>
      </c>
      <c r="Y451" s="12" t="s">
        <v>108</v>
      </c>
      <c r="Z451" s="12" t="s">
        <v>109</v>
      </c>
      <c r="AA451" s="12" t="s">
        <v>109</v>
      </c>
      <c r="AB451" s="16" t="s">
        <v>110</v>
      </c>
      <c r="AC451" s="16" t="s">
        <v>836</v>
      </c>
      <c r="AD451" s="12" t="s">
        <v>112</v>
      </c>
      <c r="AE451" s="12" t="s">
        <v>282</v>
      </c>
      <c r="AF451" s="12" t="s">
        <v>2576</v>
      </c>
      <c r="AG451" s="12" t="s">
        <v>284</v>
      </c>
      <c r="AH451" s="12" t="s">
        <v>838</v>
      </c>
      <c r="AI451" s="12" t="s">
        <v>117</v>
      </c>
      <c r="AJ451" s="12" t="s">
        <v>266</v>
      </c>
      <c r="AK451" s="12" t="s">
        <v>4</v>
      </c>
    </row>
    <row r="452" customFormat="false" ht="15" hidden="false" customHeight="false" outlineLevel="0" collapsed="false">
      <c r="A452" s="11" t="n">
        <v>451</v>
      </c>
      <c r="B452" s="12" t="s">
        <v>2571</v>
      </c>
      <c r="C452" s="12" t="s">
        <v>2125</v>
      </c>
      <c r="D452" s="12" t="s">
        <v>2126</v>
      </c>
      <c r="E452" s="12" t="s">
        <v>759</v>
      </c>
      <c r="F452" s="12" t="s">
        <v>1984</v>
      </c>
      <c r="G452" s="12" t="s">
        <v>830</v>
      </c>
      <c r="H452" s="12" t="s">
        <v>2572</v>
      </c>
      <c r="I452" s="12" t="s">
        <v>847</v>
      </c>
      <c r="J452" s="13" t="s">
        <v>2573</v>
      </c>
      <c r="K452" s="12"/>
      <c r="L452" s="12" t="s">
        <v>2577</v>
      </c>
      <c r="M452" s="12" t="s">
        <v>2578</v>
      </c>
      <c r="N452" s="12" t="s">
        <v>352</v>
      </c>
      <c r="O452" s="12" t="s">
        <v>102</v>
      </c>
      <c r="P452" s="12" t="s">
        <v>366</v>
      </c>
      <c r="Q452" s="12" t="s">
        <v>108</v>
      </c>
      <c r="R452" s="14" t="n">
        <v>8108.2</v>
      </c>
      <c r="S452" s="14" t="s">
        <v>105</v>
      </c>
      <c r="T452" s="14" t="s">
        <v>653</v>
      </c>
      <c r="U452" s="14" t="n">
        <v>2031</v>
      </c>
      <c r="V452" s="12" t="s">
        <v>107</v>
      </c>
      <c r="W452" s="14" t="s">
        <v>2579</v>
      </c>
      <c r="X452" s="15" t="n">
        <f aca="false">IF(OR($S452="%",$R452=""),"",$R452*INDEX(Cambi!$J$2:$J$5,MATCH($S452,Cambi!$I$2:$I$5,0))/IF($T452="EUR",1,INDEX(Cambi!$D:$D,MATCH($T452&amp;"|"&amp;$U452,Cambi!$C:$C,0))))</f>
        <v>7175.3982300885</v>
      </c>
      <c r="Y452" s="12" t="s">
        <v>108</v>
      </c>
      <c r="Z452" s="12" t="s">
        <v>109</v>
      </c>
      <c r="AA452" s="12" t="s">
        <v>109</v>
      </c>
      <c r="AB452" s="16" t="s">
        <v>110</v>
      </c>
      <c r="AC452" s="16" t="s">
        <v>836</v>
      </c>
      <c r="AD452" s="12" t="s">
        <v>112</v>
      </c>
      <c r="AE452" s="12" t="s">
        <v>282</v>
      </c>
      <c r="AF452" s="12" t="s">
        <v>2580</v>
      </c>
      <c r="AG452" s="12" t="s">
        <v>284</v>
      </c>
      <c r="AH452" s="12" t="s">
        <v>838</v>
      </c>
      <c r="AI452" s="12" t="s">
        <v>117</v>
      </c>
      <c r="AJ452" s="12" t="s">
        <v>2581</v>
      </c>
      <c r="AK452" s="12" t="s">
        <v>4</v>
      </c>
    </row>
    <row r="453" customFormat="false" ht="15" hidden="false" customHeight="false" outlineLevel="0" collapsed="false">
      <c r="A453" s="11" t="n">
        <v>452</v>
      </c>
      <c r="B453" s="12" t="s">
        <v>2582</v>
      </c>
      <c r="C453" s="12" t="s">
        <v>2125</v>
      </c>
      <c r="D453" s="12" t="s">
        <v>2126</v>
      </c>
      <c r="E453" s="12" t="s">
        <v>759</v>
      </c>
      <c r="F453" s="12" t="s">
        <v>2583</v>
      </c>
      <c r="G453" s="12" t="s">
        <v>1055</v>
      </c>
      <c r="H453" s="12" t="s">
        <v>2584</v>
      </c>
      <c r="I453" s="12" t="s">
        <v>847</v>
      </c>
      <c r="J453" s="13" t="s">
        <v>2585</v>
      </c>
      <c r="K453" s="12" t="s">
        <v>2586</v>
      </c>
      <c r="L453" s="12" t="s">
        <v>2587</v>
      </c>
      <c r="M453" s="12" t="s">
        <v>2588</v>
      </c>
      <c r="N453" s="12" t="s">
        <v>352</v>
      </c>
      <c r="O453" s="12" t="s">
        <v>102</v>
      </c>
      <c r="P453" s="12" t="s">
        <v>103</v>
      </c>
      <c r="Q453" s="12" t="s">
        <v>104</v>
      </c>
      <c r="R453" s="14" t="n">
        <v>8.1</v>
      </c>
      <c r="S453" s="14" t="s">
        <v>129</v>
      </c>
      <c r="T453" s="14" t="s">
        <v>106</v>
      </c>
      <c r="U453" s="14" t="n">
        <v>2022</v>
      </c>
      <c r="V453" s="12" t="s">
        <v>157</v>
      </c>
      <c r="W453" s="14"/>
      <c r="X453" s="15" t="n">
        <f aca="false">IF(OR($S453="%",$R453=""),"",$R453*INDEX(Cambi!$J$2:$J$5,MATCH($S453,Cambi!$I$2:$I$5,0))/IF($T453="EUR",1,INDEX(Cambi!$D:$D,MATCH($T453&amp;"|"&amp;$U453,Cambi!$C:$C,0))))</f>
        <v>8100</v>
      </c>
      <c r="Y453" s="12" t="s">
        <v>109</v>
      </c>
      <c r="Z453" s="12" t="s">
        <v>109</v>
      </c>
      <c r="AA453" s="12" t="s">
        <v>851</v>
      </c>
      <c r="AB453" s="16" t="s">
        <v>679</v>
      </c>
      <c r="AC453" s="16" t="s">
        <v>2589</v>
      </c>
      <c r="AD453" s="12" t="s">
        <v>281</v>
      </c>
      <c r="AE453" s="12" t="s">
        <v>2590</v>
      </c>
      <c r="AF453" s="12" t="s">
        <v>2591</v>
      </c>
      <c r="AG453" s="12" t="s">
        <v>284</v>
      </c>
      <c r="AH453" s="12" t="s">
        <v>499</v>
      </c>
      <c r="AI453" s="12" t="s">
        <v>285</v>
      </c>
      <c r="AJ453" s="12" t="s">
        <v>2592</v>
      </c>
      <c r="AK453" s="12" t="s">
        <v>4</v>
      </c>
    </row>
    <row r="454" customFormat="false" ht="15" hidden="false" customHeight="false" outlineLevel="0" collapsed="false">
      <c r="A454" s="11" t="n">
        <v>453</v>
      </c>
      <c r="B454" s="12" t="s">
        <v>2593</v>
      </c>
      <c r="C454" s="12" t="s">
        <v>2125</v>
      </c>
      <c r="D454" s="12" t="s">
        <v>2126</v>
      </c>
      <c r="E454" s="12" t="s">
        <v>759</v>
      </c>
      <c r="F454" s="12" t="s">
        <v>845</v>
      </c>
      <c r="G454" s="12" t="s">
        <v>830</v>
      </c>
      <c r="H454" s="12" t="s">
        <v>2594</v>
      </c>
      <c r="I454" s="12" t="s">
        <v>847</v>
      </c>
      <c r="J454" s="13" t="s">
        <v>2595</v>
      </c>
      <c r="K454" s="12"/>
      <c r="L454" s="12" t="s">
        <v>2596</v>
      </c>
      <c r="M454" s="12" t="s">
        <v>2597</v>
      </c>
      <c r="N454" s="12" t="s">
        <v>352</v>
      </c>
      <c r="O454" s="12" t="s">
        <v>196</v>
      </c>
      <c r="P454" s="12" t="s">
        <v>214</v>
      </c>
      <c r="Q454" s="12" t="s">
        <v>1464</v>
      </c>
      <c r="R454" s="14" t="n">
        <v>24.62</v>
      </c>
      <c r="S454" s="14" t="s">
        <v>197</v>
      </c>
      <c r="T454" s="14"/>
      <c r="U454" s="14" t="n">
        <v>2025</v>
      </c>
      <c r="V454" s="12" t="s">
        <v>157</v>
      </c>
      <c r="W454" s="14"/>
      <c r="X454" s="15" t="str">
        <f aca="false">IF(OR($S454="%",$R454=""),"",$R454*INDEX(Cambi!$J$2:$J$5,MATCH($S454,Cambi!$I$2:$I$5,0))/IF($T454="EUR",1,INDEX(Cambi!$D:$D,MATCH($T454&amp;"|"&amp;$U454,Cambi!$C:$C,0))))</f>
        <v/>
      </c>
      <c r="Y454" s="12" t="s">
        <v>109</v>
      </c>
      <c r="Z454" s="12" t="s">
        <v>109</v>
      </c>
      <c r="AA454" s="12" t="s">
        <v>109</v>
      </c>
      <c r="AB454" s="16" t="s">
        <v>110</v>
      </c>
      <c r="AC454" s="16" t="s">
        <v>836</v>
      </c>
      <c r="AD454" s="12" t="s">
        <v>112</v>
      </c>
      <c r="AE454" s="12" t="s">
        <v>282</v>
      </c>
      <c r="AF454" s="12" t="s">
        <v>2598</v>
      </c>
      <c r="AG454" s="12" t="s">
        <v>284</v>
      </c>
      <c r="AH454" s="12" t="s">
        <v>838</v>
      </c>
      <c r="AI454" s="12" t="s">
        <v>117</v>
      </c>
      <c r="AJ454" s="12" t="s">
        <v>2027</v>
      </c>
      <c r="AK454" s="12" t="s">
        <v>4</v>
      </c>
    </row>
    <row r="455" customFormat="false" ht="15" hidden="false" customHeight="false" outlineLevel="0" collapsed="false">
      <c r="A455" s="11" t="n">
        <v>454</v>
      </c>
      <c r="B455" s="12" t="s">
        <v>2593</v>
      </c>
      <c r="C455" s="12" t="s">
        <v>2125</v>
      </c>
      <c r="D455" s="12" t="s">
        <v>2126</v>
      </c>
      <c r="E455" s="12" t="s">
        <v>759</v>
      </c>
      <c r="F455" s="12" t="s">
        <v>845</v>
      </c>
      <c r="G455" s="12" t="s">
        <v>830</v>
      </c>
      <c r="H455" s="12" t="s">
        <v>2594</v>
      </c>
      <c r="I455" s="12" t="s">
        <v>847</v>
      </c>
      <c r="J455" s="13" t="s">
        <v>2595</v>
      </c>
      <c r="K455" s="12"/>
      <c r="L455" s="12" t="s">
        <v>864</v>
      </c>
      <c r="M455" s="12" t="s">
        <v>2599</v>
      </c>
      <c r="N455" s="12" t="s">
        <v>352</v>
      </c>
      <c r="O455" s="12" t="s">
        <v>102</v>
      </c>
      <c r="P455" s="12" t="s">
        <v>103</v>
      </c>
      <c r="Q455" s="12" t="s">
        <v>104</v>
      </c>
      <c r="R455" s="14" t="n">
        <v>14.02</v>
      </c>
      <c r="S455" s="14" t="s">
        <v>129</v>
      </c>
      <c r="T455" s="14" t="s">
        <v>653</v>
      </c>
      <c r="U455" s="14" t="n">
        <v>2025</v>
      </c>
      <c r="V455" s="12" t="s">
        <v>157</v>
      </c>
      <c r="W455" s="14"/>
      <c r="X455" s="15" t="n">
        <f aca="false">IF(OR($S455="%",$R455=""),"",$R455*INDEX(Cambi!$J$2:$J$5,MATCH($S455,Cambi!$I$2:$I$5,0))/IF($T455="EUR",1,INDEX(Cambi!$D:$D,MATCH($T455&amp;"|"&amp;$U455,Cambi!$C:$C,0))))</f>
        <v>12407.0796460177</v>
      </c>
      <c r="Y455" s="12" t="s">
        <v>109</v>
      </c>
      <c r="Z455" s="12" t="s">
        <v>109</v>
      </c>
      <c r="AA455" s="12" t="s">
        <v>109</v>
      </c>
      <c r="AB455" s="16" t="s">
        <v>110</v>
      </c>
      <c r="AC455" s="16" t="s">
        <v>836</v>
      </c>
      <c r="AD455" s="12" t="s">
        <v>112</v>
      </c>
      <c r="AE455" s="12" t="s">
        <v>282</v>
      </c>
      <c r="AF455" s="12" t="s">
        <v>2600</v>
      </c>
      <c r="AG455" s="12" t="s">
        <v>284</v>
      </c>
      <c r="AH455" s="12" t="s">
        <v>838</v>
      </c>
      <c r="AI455" s="12" t="s">
        <v>117</v>
      </c>
      <c r="AJ455" s="12" t="s">
        <v>2601</v>
      </c>
      <c r="AK455" s="12" t="s">
        <v>4</v>
      </c>
    </row>
    <row r="456" customFormat="false" ht="15" hidden="false" customHeight="false" outlineLevel="0" collapsed="false">
      <c r="A456" s="11" t="n">
        <v>455</v>
      </c>
      <c r="B456" s="12" t="s">
        <v>2593</v>
      </c>
      <c r="C456" s="12" t="s">
        <v>2125</v>
      </c>
      <c r="D456" s="12" t="s">
        <v>2126</v>
      </c>
      <c r="E456" s="12" t="s">
        <v>759</v>
      </c>
      <c r="F456" s="12" t="s">
        <v>845</v>
      </c>
      <c r="G456" s="12" t="s">
        <v>830</v>
      </c>
      <c r="H456" s="12" t="s">
        <v>2594</v>
      </c>
      <c r="I456" s="12" t="s">
        <v>847</v>
      </c>
      <c r="J456" s="13" t="s">
        <v>2595</v>
      </c>
      <c r="K456" s="12"/>
      <c r="L456" s="12" t="s">
        <v>2602</v>
      </c>
      <c r="M456" s="12" t="s">
        <v>2603</v>
      </c>
      <c r="N456" s="12" t="s">
        <v>352</v>
      </c>
      <c r="O456" s="12" t="s">
        <v>102</v>
      </c>
      <c r="P456" s="12" t="s">
        <v>103</v>
      </c>
      <c r="Q456" s="12" t="s">
        <v>104</v>
      </c>
      <c r="R456" s="14" t="n">
        <v>15.55</v>
      </c>
      <c r="S456" s="14" t="s">
        <v>129</v>
      </c>
      <c r="T456" s="14" t="s">
        <v>653</v>
      </c>
      <c r="U456" s="14" t="n">
        <v>2026</v>
      </c>
      <c r="V456" s="12" t="s">
        <v>198</v>
      </c>
      <c r="W456" s="14"/>
      <c r="X456" s="15" t="n">
        <f aca="false">IF(OR($S456="%",$R456=""),"",$R456*INDEX(Cambi!$J$2:$J$5,MATCH($S456,Cambi!$I$2:$I$5,0))/IF($T456="EUR",1,INDEX(Cambi!$D:$D,MATCH($T456&amp;"|"&amp;$U456,Cambi!$C:$C,0))))</f>
        <v>13761.0619469027</v>
      </c>
      <c r="Y456" s="12" t="s">
        <v>109</v>
      </c>
      <c r="Z456" s="12" t="s">
        <v>109</v>
      </c>
      <c r="AA456" s="12" t="s">
        <v>109</v>
      </c>
      <c r="AB456" s="16" t="s">
        <v>110</v>
      </c>
      <c r="AC456" s="16" t="s">
        <v>836</v>
      </c>
      <c r="AD456" s="12" t="s">
        <v>112</v>
      </c>
      <c r="AE456" s="12" t="s">
        <v>282</v>
      </c>
      <c r="AF456" s="12" t="s">
        <v>2604</v>
      </c>
      <c r="AG456" s="12" t="s">
        <v>284</v>
      </c>
      <c r="AH456" s="12" t="s">
        <v>838</v>
      </c>
      <c r="AI456" s="12" t="s">
        <v>117</v>
      </c>
      <c r="AJ456" s="12" t="s">
        <v>2605</v>
      </c>
      <c r="AK456" s="12" t="s">
        <v>4</v>
      </c>
    </row>
    <row r="457" customFormat="false" ht="15" hidden="false" customHeight="false" outlineLevel="0" collapsed="false">
      <c r="A457" s="11" t="n">
        <v>456</v>
      </c>
      <c r="B457" s="12" t="s">
        <v>2593</v>
      </c>
      <c r="C457" s="12" t="s">
        <v>2125</v>
      </c>
      <c r="D457" s="12" t="s">
        <v>2126</v>
      </c>
      <c r="E457" s="12" t="s">
        <v>759</v>
      </c>
      <c r="F457" s="12" t="s">
        <v>845</v>
      </c>
      <c r="G457" s="12" t="s">
        <v>830</v>
      </c>
      <c r="H457" s="12" t="s">
        <v>2594</v>
      </c>
      <c r="I457" s="12" t="s">
        <v>847</v>
      </c>
      <c r="J457" s="13" t="s">
        <v>2595</v>
      </c>
      <c r="K457" s="12"/>
      <c r="L457" s="12" t="s">
        <v>2606</v>
      </c>
      <c r="M457" s="12" t="s">
        <v>2607</v>
      </c>
      <c r="N457" s="12" t="s">
        <v>352</v>
      </c>
      <c r="O457" s="12" t="s">
        <v>102</v>
      </c>
      <c r="P457" s="12" t="s">
        <v>103</v>
      </c>
      <c r="Q457" s="12" t="s">
        <v>104</v>
      </c>
      <c r="R457" s="14" t="n">
        <v>26.23</v>
      </c>
      <c r="S457" s="14" t="s">
        <v>129</v>
      </c>
      <c r="T457" s="14" t="s">
        <v>653</v>
      </c>
      <c r="U457" s="14" t="n">
        <v>2031</v>
      </c>
      <c r="V457" s="12" t="s">
        <v>107</v>
      </c>
      <c r="W457" s="14" t="s">
        <v>2608</v>
      </c>
      <c r="X457" s="15" t="n">
        <f aca="false">IF(OR($S457="%",$R457=""),"",$R457*INDEX(Cambi!$J$2:$J$5,MATCH($S457,Cambi!$I$2:$I$5,0))/IF($T457="EUR",1,INDEX(Cambi!$D:$D,MATCH($T457&amp;"|"&amp;$U457,Cambi!$C:$C,0))))</f>
        <v>23212.389380531</v>
      </c>
      <c r="Y457" s="12" t="s">
        <v>109</v>
      </c>
      <c r="Z457" s="12" t="s">
        <v>109</v>
      </c>
      <c r="AA457" s="12" t="s">
        <v>109</v>
      </c>
      <c r="AB457" s="16" t="s">
        <v>110</v>
      </c>
      <c r="AC457" s="16" t="s">
        <v>836</v>
      </c>
      <c r="AD457" s="12" t="s">
        <v>112</v>
      </c>
      <c r="AE457" s="12" t="s">
        <v>282</v>
      </c>
      <c r="AF457" s="12" t="s">
        <v>2609</v>
      </c>
      <c r="AG457" s="12" t="s">
        <v>284</v>
      </c>
      <c r="AH457" s="12" t="s">
        <v>838</v>
      </c>
      <c r="AI457" s="12" t="s">
        <v>117</v>
      </c>
      <c r="AJ457" s="12" t="s">
        <v>266</v>
      </c>
      <c r="AK457" s="12" t="s">
        <v>4</v>
      </c>
    </row>
    <row r="458" customFormat="false" ht="15" hidden="false" customHeight="false" outlineLevel="0" collapsed="false">
      <c r="A458" s="11" t="n">
        <v>457</v>
      </c>
      <c r="B458" s="12" t="s">
        <v>625</v>
      </c>
      <c r="C458" s="12" t="s">
        <v>2125</v>
      </c>
      <c r="D458" s="12" t="s">
        <v>2126</v>
      </c>
      <c r="E458" s="12" t="s">
        <v>759</v>
      </c>
      <c r="F458" s="12" t="s">
        <v>626</v>
      </c>
      <c r="G458" s="12" t="s">
        <v>95</v>
      </c>
      <c r="H458" s="12" t="s">
        <v>627</v>
      </c>
      <c r="I458" s="12" t="s">
        <v>628</v>
      </c>
      <c r="J458" s="13" t="s">
        <v>629</v>
      </c>
      <c r="K458" s="12" t="s">
        <v>630</v>
      </c>
      <c r="L458" s="12" t="s">
        <v>1110</v>
      </c>
      <c r="M458" s="12" t="s">
        <v>1111</v>
      </c>
      <c r="N458" s="12" t="s">
        <v>101</v>
      </c>
      <c r="O458" s="12" t="s">
        <v>102</v>
      </c>
      <c r="P458" s="12" t="s">
        <v>103</v>
      </c>
      <c r="Q458" s="12" t="s">
        <v>104</v>
      </c>
      <c r="R458" s="14" t="n">
        <v>588.2</v>
      </c>
      <c r="S458" s="14" t="s">
        <v>105</v>
      </c>
      <c r="T458" s="14" t="s">
        <v>106</v>
      </c>
      <c r="U458" s="14" t="n">
        <v>2026</v>
      </c>
      <c r="V458" s="12" t="s">
        <v>107</v>
      </c>
      <c r="W458" s="14"/>
      <c r="X458" s="15" t="n">
        <f aca="false">IF(OR($S458="%",$R458=""),"",$R458*INDEX(Cambi!$J$2:$J$5,MATCH($S458,Cambi!$I$2:$I$5,0))/IF($T458="EUR",1,INDEX(Cambi!$D:$D,MATCH($T458&amp;"|"&amp;$U458,Cambi!$C:$C,0))))</f>
        <v>588.2</v>
      </c>
      <c r="Y458" s="12" t="s">
        <v>130</v>
      </c>
      <c r="Z458" s="12" t="s">
        <v>109</v>
      </c>
      <c r="AA458" s="12" t="s">
        <v>633</v>
      </c>
      <c r="AB458" s="16" t="s">
        <v>110</v>
      </c>
      <c r="AC458" s="16" t="s">
        <v>634</v>
      </c>
      <c r="AD458" s="12" t="s">
        <v>281</v>
      </c>
      <c r="AE458" s="12" t="s">
        <v>635</v>
      </c>
      <c r="AF458" s="12" t="s">
        <v>2610</v>
      </c>
      <c r="AG458" s="12" t="s">
        <v>115</v>
      </c>
      <c r="AH458" s="12" t="s">
        <v>116</v>
      </c>
      <c r="AI458" s="12" t="s">
        <v>285</v>
      </c>
      <c r="AJ458" s="12" t="s">
        <v>2611</v>
      </c>
      <c r="AK458" s="12" t="s">
        <v>4</v>
      </c>
    </row>
    <row r="459" customFormat="false" ht="15" hidden="false" customHeight="false" outlineLevel="0" collapsed="false">
      <c r="A459" s="11" t="n">
        <v>458</v>
      </c>
      <c r="B459" s="12" t="s">
        <v>2612</v>
      </c>
      <c r="C459" s="12" t="s">
        <v>2125</v>
      </c>
      <c r="D459" s="12" t="s">
        <v>2126</v>
      </c>
      <c r="E459" s="12" t="s">
        <v>759</v>
      </c>
      <c r="F459" s="12" t="s">
        <v>56</v>
      </c>
      <c r="G459" s="12" t="s">
        <v>830</v>
      </c>
      <c r="H459" s="12" t="s">
        <v>2613</v>
      </c>
      <c r="I459" s="12" t="s">
        <v>2614</v>
      </c>
      <c r="J459" s="13" t="s">
        <v>2615</v>
      </c>
      <c r="K459" s="12" t="s">
        <v>2616</v>
      </c>
      <c r="L459" s="12" t="s">
        <v>2617</v>
      </c>
      <c r="M459" s="12" t="s">
        <v>2618</v>
      </c>
      <c r="N459" s="12" t="s">
        <v>352</v>
      </c>
      <c r="O459" s="12" t="s">
        <v>102</v>
      </c>
      <c r="P459" s="12" t="s">
        <v>103</v>
      </c>
      <c r="Q459" s="12" t="s">
        <v>104</v>
      </c>
      <c r="R459" s="14" t="n">
        <v>7</v>
      </c>
      <c r="S459" s="14" t="s">
        <v>129</v>
      </c>
      <c r="T459" s="14" t="s">
        <v>106</v>
      </c>
      <c r="U459" s="14" t="n">
        <v>2025</v>
      </c>
      <c r="V459" s="12" t="s">
        <v>157</v>
      </c>
      <c r="W459" s="14"/>
      <c r="X459" s="15" t="n">
        <f aca="false">IF(OR($S459="%",$R459=""),"",$R459*INDEX(Cambi!$J$2:$J$5,MATCH($S459,Cambi!$I$2:$I$5,0))/IF($T459="EUR",1,INDEX(Cambi!$D:$D,MATCH($T459&amp;"|"&amp;$U459,Cambi!$C:$C,0))))</f>
        <v>7000</v>
      </c>
      <c r="Y459" s="12" t="s">
        <v>654</v>
      </c>
      <c r="Z459" s="12" t="s">
        <v>109</v>
      </c>
      <c r="AA459" s="12" t="s">
        <v>2619</v>
      </c>
      <c r="AB459" s="16" t="s">
        <v>679</v>
      </c>
      <c r="AC459" s="16" t="s">
        <v>2620</v>
      </c>
      <c r="AD459" s="12" t="s">
        <v>281</v>
      </c>
      <c r="AE459" s="12" t="s">
        <v>2621</v>
      </c>
      <c r="AF459" s="12" t="s">
        <v>2622</v>
      </c>
      <c r="AG459" s="12" t="s">
        <v>498</v>
      </c>
      <c r="AH459" s="12" t="s">
        <v>116</v>
      </c>
      <c r="AI459" s="12" t="s">
        <v>285</v>
      </c>
      <c r="AJ459" s="12" t="s">
        <v>2623</v>
      </c>
      <c r="AK459" s="12" t="s">
        <v>4</v>
      </c>
    </row>
    <row r="460" customFormat="false" ht="15" hidden="false" customHeight="false" outlineLevel="0" collapsed="false">
      <c r="A460" s="11" t="n">
        <v>459</v>
      </c>
      <c r="B460" s="12" t="s">
        <v>2624</v>
      </c>
      <c r="C460" s="12" t="s">
        <v>2125</v>
      </c>
      <c r="D460" s="12" t="s">
        <v>2126</v>
      </c>
      <c r="E460" s="12" t="s">
        <v>759</v>
      </c>
      <c r="F460" s="12" t="s">
        <v>2625</v>
      </c>
      <c r="G460" s="12" t="s">
        <v>1876</v>
      </c>
      <c r="H460" s="12" t="s">
        <v>2626</v>
      </c>
      <c r="I460" s="12" t="s">
        <v>2627</v>
      </c>
      <c r="J460" s="13" t="s">
        <v>2628</v>
      </c>
      <c r="K460" s="12"/>
      <c r="L460" s="12" t="s">
        <v>2629</v>
      </c>
      <c r="M460" s="12" t="s">
        <v>2630</v>
      </c>
      <c r="N460" s="12" t="s">
        <v>956</v>
      </c>
      <c r="O460" s="12" t="s">
        <v>102</v>
      </c>
      <c r="P460" s="12" t="s">
        <v>103</v>
      </c>
      <c r="Q460" s="12" t="s">
        <v>104</v>
      </c>
      <c r="R460" s="14" t="n">
        <v>15.5</v>
      </c>
      <c r="S460" s="14" t="s">
        <v>129</v>
      </c>
      <c r="T460" s="14" t="s">
        <v>106</v>
      </c>
      <c r="U460" s="14" t="n">
        <v>2017</v>
      </c>
      <c r="V460" s="12" t="s">
        <v>157</v>
      </c>
      <c r="W460" s="14" t="s">
        <v>2631</v>
      </c>
      <c r="X460" s="15" t="n">
        <f aca="false">IF(OR($S460="%",$R460=""),"",$R460*INDEX(Cambi!$J$2:$J$5,MATCH($S460,Cambi!$I$2:$I$5,0))/IF($T460="EUR",1,INDEX(Cambi!$D:$D,MATCH($T460&amp;"|"&amp;$U460,Cambi!$C:$C,0))))</f>
        <v>15500</v>
      </c>
      <c r="Y460" s="12" t="s">
        <v>109</v>
      </c>
      <c r="Z460" s="12" t="s">
        <v>109</v>
      </c>
      <c r="AA460" s="12" t="s">
        <v>2632</v>
      </c>
      <c r="AB460" s="16" t="s">
        <v>679</v>
      </c>
      <c r="AC460" s="16" t="s">
        <v>2633</v>
      </c>
      <c r="AD460" s="12" t="s">
        <v>617</v>
      </c>
      <c r="AE460" s="12" t="s">
        <v>2634</v>
      </c>
      <c r="AF460" s="12" t="s">
        <v>2635</v>
      </c>
      <c r="AG460" s="12" t="s">
        <v>115</v>
      </c>
      <c r="AH460" s="12" t="s">
        <v>116</v>
      </c>
      <c r="AI460" s="12" t="s">
        <v>117</v>
      </c>
      <c r="AJ460" s="12" t="s">
        <v>2636</v>
      </c>
      <c r="AK460" s="12" t="s">
        <v>4</v>
      </c>
    </row>
    <row r="461" customFormat="false" ht="15" hidden="false" customHeight="false" outlineLevel="0" collapsed="false">
      <c r="A461" s="11" t="n">
        <v>460</v>
      </c>
      <c r="B461" s="12" t="s">
        <v>2624</v>
      </c>
      <c r="C461" s="12" t="s">
        <v>2125</v>
      </c>
      <c r="D461" s="12" t="s">
        <v>2126</v>
      </c>
      <c r="E461" s="12" t="s">
        <v>759</v>
      </c>
      <c r="F461" s="12" t="s">
        <v>2625</v>
      </c>
      <c r="G461" s="12" t="s">
        <v>1876</v>
      </c>
      <c r="H461" s="12" t="s">
        <v>2626</v>
      </c>
      <c r="I461" s="12" t="s">
        <v>2627</v>
      </c>
      <c r="J461" s="13" t="s">
        <v>2628</v>
      </c>
      <c r="K461" s="12"/>
      <c r="L461" s="12" t="s">
        <v>2637</v>
      </c>
      <c r="M461" s="12" t="s">
        <v>2638</v>
      </c>
      <c r="N461" s="12" t="s">
        <v>352</v>
      </c>
      <c r="O461" s="12" t="s">
        <v>102</v>
      </c>
      <c r="P461" s="12" t="s">
        <v>103</v>
      </c>
      <c r="Q461" s="12" t="s">
        <v>104</v>
      </c>
      <c r="R461" s="14" t="n">
        <v>26.8</v>
      </c>
      <c r="S461" s="14" t="s">
        <v>129</v>
      </c>
      <c r="T461" s="14" t="s">
        <v>106</v>
      </c>
      <c r="U461" s="14" t="n">
        <v>2017</v>
      </c>
      <c r="V461" s="12" t="s">
        <v>157</v>
      </c>
      <c r="W461" s="14"/>
      <c r="X461" s="15" t="n">
        <f aca="false">IF(OR($S461="%",$R461=""),"",$R461*INDEX(Cambi!$J$2:$J$5,MATCH($S461,Cambi!$I$2:$I$5,0))/IF($T461="EUR",1,INDEX(Cambi!$D:$D,MATCH($T461&amp;"|"&amp;$U461,Cambi!$C:$C,0))))</f>
        <v>26800</v>
      </c>
      <c r="Y461" s="12" t="s">
        <v>109</v>
      </c>
      <c r="Z461" s="12" t="s">
        <v>109</v>
      </c>
      <c r="AA461" s="12" t="s">
        <v>2632</v>
      </c>
      <c r="AB461" s="16" t="s">
        <v>679</v>
      </c>
      <c r="AC461" s="16" t="s">
        <v>2633</v>
      </c>
      <c r="AD461" s="12" t="s">
        <v>617</v>
      </c>
      <c r="AE461" s="12" t="s">
        <v>2634</v>
      </c>
      <c r="AF461" s="12" t="s">
        <v>2639</v>
      </c>
      <c r="AG461" s="12" t="s">
        <v>115</v>
      </c>
      <c r="AH461" s="12" t="s">
        <v>116</v>
      </c>
      <c r="AI461" s="12" t="s">
        <v>117</v>
      </c>
      <c r="AJ461" s="12" t="s">
        <v>2640</v>
      </c>
      <c r="AK461" s="12" t="s">
        <v>4</v>
      </c>
    </row>
    <row r="462" customFormat="false" ht="15" hidden="false" customHeight="false" outlineLevel="0" collapsed="false">
      <c r="A462" s="11" t="n">
        <v>461</v>
      </c>
      <c r="B462" s="12" t="s">
        <v>2624</v>
      </c>
      <c r="C462" s="12" t="s">
        <v>2125</v>
      </c>
      <c r="D462" s="12" t="s">
        <v>2126</v>
      </c>
      <c r="E462" s="12" t="s">
        <v>759</v>
      </c>
      <c r="F462" s="12" t="s">
        <v>2625</v>
      </c>
      <c r="G462" s="12" t="s">
        <v>1876</v>
      </c>
      <c r="H462" s="12" t="s">
        <v>2626</v>
      </c>
      <c r="I462" s="12" t="s">
        <v>2627</v>
      </c>
      <c r="J462" s="13" t="s">
        <v>2628</v>
      </c>
      <c r="K462" s="12"/>
      <c r="L462" s="12" t="s">
        <v>2641</v>
      </c>
      <c r="M462" s="12" t="s">
        <v>2642</v>
      </c>
      <c r="N462" s="12" t="s">
        <v>956</v>
      </c>
      <c r="O462" s="12" t="s">
        <v>102</v>
      </c>
      <c r="P462" s="12" t="s">
        <v>103</v>
      </c>
      <c r="Q462" s="12" t="s">
        <v>104</v>
      </c>
      <c r="R462" s="14" t="n">
        <v>27</v>
      </c>
      <c r="S462" s="14" t="s">
        <v>129</v>
      </c>
      <c r="T462" s="14" t="s">
        <v>106</v>
      </c>
      <c r="U462" s="14" t="n">
        <v>2017</v>
      </c>
      <c r="V462" s="12" t="s">
        <v>157</v>
      </c>
      <c r="W462" s="14" t="s">
        <v>2643</v>
      </c>
      <c r="X462" s="15" t="n">
        <f aca="false">IF(OR($S462="%",$R462=""),"",$R462*INDEX(Cambi!$J$2:$J$5,MATCH($S462,Cambi!$I$2:$I$5,0))/IF($T462="EUR",1,INDEX(Cambi!$D:$D,MATCH($T462&amp;"|"&amp;$U462,Cambi!$C:$C,0))))</f>
        <v>27000</v>
      </c>
      <c r="Y462" s="12" t="s">
        <v>109</v>
      </c>
      <c r="Z462" s="12" t="s">
        <v>109</v>
      </c>
      <c r="AA462" s="12" t="s">
        <v>2632</v>
      </c>
      <c r="AB462" s="16" t="s">
        <v>679</v>
      </c>
      <c r="AC462" s="16" t="s">
        <v>2633</v>
      </c>
      <c r="AD462" s="12" t="s">
        <v>617</v>
      </c>
      <c r="AE462" s="12" t="s">
        <v>2634</v>
      </c>
      <c r="AF462" s="12" t="s">
        <v>2644</v>
      </c>
      <c r="AG462" s="12" t="s">
        <v>115</v>
      </c>
      <c r="AH462" s="12" t="s">
        <v>116</v>
      </c>
      <c r="AI462" s="12" t="s">
        <v>117</v>
      </c>
      <c r="AJ462" s="12" t="s">
        <v>2645</v>
      </c>
      <c r="AK462" s="12" t="s">
        <v>4</v>
      </c>
    </row>
    <row r="463" customFormat="false" ht="15" hidden="false" customHeight="false" outlineLevel="0" collapsed="false">
      <c r="A463" s="11" t="n">
        <v>462</v>
      </c>
      <c r="B463" s="12" t="s">
        <v>2624</v>
      </c>
      <c r="C463" s="12" t="s">
        <v>2125</v>
      </c>
      <c r="D463" s="12" t="s">
        <v>2126</v>
      </c>
      <c r="E463" s="12" t="s">
        <v>759</v>
      </c>
      <c r="F463" s="12" t="s">
        <v>2625</v>
      </c>
      <c r="G463" s="12" t="s">
        <v>1876</v>
      </c>
      <c r="H463" s="12" t="s">
        <v>2626</v>
      </c>
      <c r="I463" s="12" t="s">
        <v>2627</v>
      </c>
      <c r="J463" s="13" t="s">
        <v>2628</v>
      </c>
      <c r="K463" s="12"/>
      <c r="L463" s="12" t="s">
        <v>2646</v>
      </c>
      <c r="M463" s="12" t="s">
        <v>2647</v>
      </c>
      <c r="N463" s="12" t="s">
        <v>352</v>
      </c>
      <c r="O463" s="12" t="s">
        <v>102</v>
      </c>
      <c r="P463" s="12" t="s">
        <v>103</v>
      </c>
      <c r="Q463" s="12" t="s">
        <v>104</v>
      </c>
      <c r="R463" s="14" t="n">
        <v>36.4</v>
      </c>
      <c r="S463" s="14" t="s">
        <v>129</v>
      </c>
      <c r="T463" s="14" t="s">
        <v>106</v>
      </c>
      <c r="U463" s="14" t="n">
        <v>2025</v>
      </c>
      <c r="V463" s="12" t="s">
        <v>107</v>
      </c>
      <c r="W463" s="14" t="s">
        <v>2648</v>
      </c>
      <c r="X463" s="15" t="n">
        <f aca="false">IF(OR($S463="%",$R463=""),"",$R463*INDEX(Cambi!$J$2:$J$5,MATCH($S463,Cambi!$I$2:$I$5,0))/IF($T463="EUR",1,INDEX(Cambi!$D:$D,MATCH($T463&amp;"|"&amp;$U463,Cambi!$C:$C,0))))</f>
        <v>36400</v>
      </c>
      <c r="Y463" s="12" t="s">
        <v>109</v>
      </c>
      <c r="Z463" s="12" t="s">
        <v>109</v>
      </c>
      <c r="AA463" s="12" t="s">
        <v>2632</v>
      </c>
      <c r="AB463" s="16" t="s">
        <v>679</v>
      </c>
      <c r="AC463" s="16" t="s">
        <v>2633</v>
      </c>
      <c r="AD463" s="12" t="s">
        <v>201</v>
      </c>
      <c r="AE463" s="12" t="s">
        <v>2634</v>
      </c>
      <c r="AF463" s="12" t="s">
        <v>2649</v>
      </c>
      <c r="AG463" s="12" t="s">
        <v>115</v>
      </c>
      <c r="AH463" s="12" t="s">
        <v>116</v>
      </c>
      <c r="AI463" s="12" t="s">
        <v>117</v>
      </c>
      <c r="AJ463" s="12" t="s">
        <v>2650</v>
      </c>
      <c r="AK463" s="12" t="s">
        <v>4</v>
      </c>
    </row>
    <row r="464" customFormat="false" ht="15" hidden="false" customHeight="false" outlineLevel="0" collapsed="false">
      <c r="A464" s="11" t="n">
        <v>463</v>
      </c>
      <c r="B464" s="12" t="s">
        <v>2624</v>
      </c>
      <c r="C464" s="12" t="s">
        <v>2125</v>
      </c>
      <c r="D464" s="12" t="s">
        <v>2126</v>
      </c>
      <c r="E464" s="12" t="s">
        <v>759</v>
      </c>
      <c r="F464" s="12" t="s">
        <v>2625</v>
      </c>
      <c r="G464" s="12" t="s">
        <v>1876</v>
      </c>
      <c r="H464" s="12" t="s">
        <v>2626</v>
      </c>
      <c r="I464" s="12" t="s">
        <v>2627</v>
      </c>
      <c r="J464" s="13" t="s">
        <v>2628</v>
      </c>
      <c r="K464" s="12"/>
      <c r="L464" s="12" t="s">
        <v>2651</v>
      </c>
      <c r="M464" s="12" t="s">
        <v>2652</v>
      </c>
      <c r="N464" s="12" t="s">
        <v>956</v>
      </c>
      <c r="O464" s="12" t="s">
        <v>102</v>
      </c>
      <c r="P464" s="12" t="s">
        <v>103</v>
      </c>
      <c r="Q464" s="12" t="s">
        <v>104</v>
      </c>
      <c r="R464" s="14" t="n">
        <v>37</v>
      </c>
      <c r="S464" s="14" t="s">
        <v>129</v>
      </c>
      <c r="T464" s="14" t="s">
        <v>106</v>
      </c>
      <c r="U464" s="14" t="n">
        <v>2025</v>
      </c>
      <c r="V464" s="12" t="s">
        <v>107</v>
      </c>
      <c r="W464" s="14" t="s">
        <v>2653</v>
      </c>
      <c r="X464" s="15" t="n">
        <f aca="false">IF(OR($S464="%",$R464=""),"",$R464*INDEX(Cambi!$J$2:$J$5,MATCH($S464,Cambi!$I$2:$I$5,0))/IF($T464="EUR",1,INDEX(Cambi!$D:$D,MATCH($T464&amp;"|"&amp;$U464,Cambi!$C:$C,0))))</f>
        <v>37000</v>
      </c>
      <c r="Y464" s="12" t="s">
        <v>109</v>
      </c>
      <c r="Z464" s="12" t="s">
        <v>109</v>
      </c>
      <c r="AA464" s="12" t="s">
        <v>2632</v>
      </c>
      <c r="AB464" s="16" t="s">
        <v>679</v>
      </c>
      <c r="AC464" s="16" t="s">
        <v>2633</v>
      </c>
      <c r="AD464" s="12" t="s">
        <v>201</v>
      </c>
      <c r="AE464" s="12" t="s">
        <v>2634</v>
      </c>
      <c r="AF464" s="12" t="s">
        <v>2654</v>
      </c>
      <c r="AG464" s="12" t="s">
        <v>115</v>
      </c>
      <c r="AH464" s="12" t="s">
        <v>116</v>
      </c>
      <c r="AI464" s="12" t="s">
        <v>117</v>
      </c>
      <c r="AJ464" s="12" t="s">
        <v>2655</v>
      </c>
      <c r="AK464" s="12" t="s">
        <v>4</v>
      </c>
    </row>
    <row r="465" customFormat="false" ht="15" hidden="false" customHeight="false" outlineLevel="0" collapsed="false">
      <c r="A465" s="11" t="n">
        <v>464</v>
      </c>
      <c r="B465" s="12" t="s">
        <v>2656</v>
      </c>
      <c r="C465" s="12" t="s">
        <v>2657</v>
      </c>
      <c r="D465" s="12" t="s">
        <v>2658</v>
      </c>
      <c r="E465" s="12" t="s">
        <v>759</v>
      </c>
      <c r="F465" s="12" t="s">
        <v>2659</v>
      </c>
      <c r="G465" s="12" t="s">
        <v>581</v>
      </c>
      <c r="H465" s="12" t="s">
        <v>2660</v>
      </c>
      <c r="I465" s="12" t="s">
        <v>940</v>
      </c>
      <c r="J465" s="13" t="s">
        <v>2661</v>
      </c>
      <c r="K465" s="12" t="s">
        <v>2662</v>
      </c>
      <c r="L465" s="12" t="s">
        <v>2663</v>
      </c>
      <c r="M465" s="12" t="s">
        <v>2664</v>
      </c>
      <c r="N465" s="12" t="s">
        <v>352</v>
      </c>
      <c r="O465" s="12" t="s">
        <v>102</v>
      </c>
      <c r="P465" s="12" t="s">
        <v>103</v>
      </c>
      <c r="Q465" s="12" t="s">
        <v>104</v>
      </c>
      <c r="R465" s="14" t="n">
        <v>265</v>
      </c>
      <c r="S465" s="14" t="s">
        <v>105</v>
      </c>
      <c r="T465" s="14" t="s">
        <v>106</v>
      </c>
      <c r="U465" s="14" t="n">
        <v>2024</v>
      </c>
      <c r="V465" s="12" t="s">
        <v>157</v>
      </c>
      <c r="W465" s="14"/>
      <c r="X465" s="15" t="n">
        <f aca="false">IF(OR($S465="%",$R465=""),"",$R465*INDEX(Cambi!$J$2:$J$5,MATCH($S465,Cambi!$I$2:$I$5,0))/IF($T465="EUR",1,INDEX(Cambi!$D:$D,MATCH($T465&amp;"|"&amp;$U465,Cambi!$C:$C,0))))</f>
        <v>265</v>
      </c>
      <c r="Y465" s="12" t="s">
        <v>109</v>
      </c>
      <c r="Z465" s="12" t="s">
        <v>109</v>
      </c>
      <c r="AA465" s="12" t="s">
        <v>109</v>
      </c>
      <c r="AB465" s="16" t="s">
        <v>110</v>
      </c>
      <c r="AC465" s="16" t="s">
        <v>2665</v>
      </c>
      <c r="AD465" s="12" t="s">
        <v>281</v>
      </c>
      <c r="AE465" s="12" t="s">
        <v>2666</v>
      </c>
      <c r="AF465" s="12" t="s">
        <v>2667</v>
      </c>
      <c r="AG465" s="12" t="s">
        <v>284</v>
      </c>
      <c r="AH465" s="12" t="s">
        <v>116</v>
      </c>
      <c r="AI465" s="12" t="s">
        <v>117</v>
      </c>
      <c r="AJ465" s="12" t="s">
        <v>2668</v>
      </c>
      <c r="AK465" s="12" t="s">
        <v>4</v>
      </c>
    </row>
    <row r="466" customFormat="false" ht="15" hidden="false" customHeight="false" outlineLevel="0" collapsed="false">
      <c r="A466" s="11" t="n">
        <v>465</v>
      </c>
      <c r="B466" s="12" t="s">
        <v>2656</v>
      </c>
      <c r="C466" s="12" t="s">
        <v>2657</v>
      </c>
      <c r="D466" s="12" t="s">
        <v>2658</v>
      </c>
      <c r="E466" s="12" t="s">
        <v>759</v>
      </c>
      <c r="F466" s="12" t="s">
        <v>2659</v>
      </c>
      <c r="G466" s="12" t="s">
        <v>581</v>
      </c>
      <c r="H466" s="12" t="s">
        <v>2660</v>
      </c>
      <c r="I466" s="12" t="s">
        <v>940</v>
      </c>
      <c r="J466" s="13" t="s">
        <v>2661</v>
      </c>
      <c r="K466" s="12" t="s">
        <v>2662</v>
      </c>
      <c r="L466" s="12" t="s">
        <v>2663</v>
      </c>
      <c r="M466" s="12" t="s">
        <v>2669</v>
      </c>
      <c r="N466" s="12" t="s">
        <v>352</v>
      </c>
      <c r="O466" s="12" t="s">
        <v>102</v>
      </c>
      <c r="P466" s="12" t="s">
        <v>103</v>
      </c>
      <c r="Q466" s="12" t="s">
        <v>104</v>
      </c>
      <c r="R466" s="14" t="n">
        <v>508</v>
      </c>
      <c r="S466" s="14" t="s">
        <v>105</v>
      </c>
      <c r="T466" s="14" t="s">
        <v>106</v>
      </c>
      <c r="U466" s="14" t="n">
        <v>2029</v>
      </c>
      <c r="V466" s="12" t="s">
        <v>107</v>
      </c>
      <c r="W466" s="14" t="s">
        <v>2670</v>
      </c>
      <c r="X466" s="15" t="n">
        <f aca="false">IF(OR($S466="%",$R466=""),"",$R466*INDEX(Cambi!$J$2:$J$5,MATCH($S466,Cambi!$I$2:$I$5,0))/IF($T466="EUR",1,INDEX(Cambi!$D:$D,MATCH($T466&amp;"|"&amp;$U466,Cambi!$C:$C,0))))</f>
        <v>508</v>
      </c>
      <c r="Y466" s="12" t="s">
        <v>109</v>
      </c>
      <c r="Z466" s="12" t="s">
        <v>109</v>
      </c>
      <c r="AA466" s="12" t="s">
        <v>109</v>
      </c>
      <c r="AB466" s="16" t="s">
        <v>110</v>
      </c>
      <c r="AC466" s="16" t="s">
        <v>2665</v>
      </c>
      <c r="AD466" s="12" t="s">
        <v>281</v>
      </c>
      <c r="AE466" s="12" t="s">
        <v>2666</v>
      </c>
      <c r="AF466" s="12" t="s">
        <v>2667</v>
      </c>
      <c r="AG466" s="12" t="s">
        <v>284</v>
      </c>
      <c r="AH466" s="12" t="s">
        <v>116</v>
      </c>
      <c r="AI466" s="12" t="s">
        <v>117</v>
      </c>
      <c r="AJ466" s="12" t="s">
        <v>2671</v>
      </c>
      <c r="AK466" s="12" t="s">
        <v>4</v>
      </c>
    </row>
    <row r="467" customFormat="false" ht="15" hidden="false" customHeight="false" outlineLevel="0" collapsed="false">
      <c r="A467" s="11" t="n">
        <v>466</v>
      </c>
      <c r="B467" s="12" t="s">
        <v>2672</v>
      </c>
      <c r="C467" s="12" t="s">
        <v>2657</v>
      </c>
      <c r="D467" s="12" t="s">
        <v>2658</v>
      </c>
      <c r="E467" s="12" t="s">
        <v>759</v>
      </c>
      <c r="F467" s="12" t="s">
        <v>845</v>
      </c>
      <c r="G467" s="12" t="s">
        <v>830</v>
      </c>
      <c r="H467" s="12" t="s">
        <v>2673</v>
      </c>
      <c r="I467" s="12" t="s">
        <v>847</v>
      </c>
      <c r="J467" s="13" t="s">
        <v>2674</v>
      </c>
      <c r="K467" s="12"/>
      <c r="L467" s="12" t="s">
        <v>2675</v>
      </c>
      <c r="M467" s="12" t="s">
        <v>2676</v>
      </c>
      <c r="N467" s="12" t="s">
        <v>352</v>
      </c>
      <c r="O467" s="12" t="s">
        <v>102</v>
      </c>
      <c r="P467" s="12" t="s">
        <v>103</v>
      </c>
      <c r="Q467" s="12" t="s">
        <v>104</v>
      </c>
      <c r="R467" s="14" t="n">
        <v>171</v>
      </c>
      <c r="S467" s="14" t="s">
        <v>105</v>
      </c>
      <c r="T467" s="14" t="s">
        <v>653</v>
      </c>
      <c r="U467" s="14" t="n">
        <v>2025</v>
      </c>
      <c r="V467" s="12" t="s">
        <v>157</v>
      </c>
      <c r="W467" s="14"/>
      <c r="X467" s="15" t="n">
        <f aca="false">IF(OR($S467="%",$R467=""),"",$R467*INDEX(Cambi!$J$2:$J$5,MATCH($S467,Cambi!$I$2:$I$5,0))/IF($T467="EUR",1,INDEX(Cambi!$D:$D,MATCH($T467&amp;"|"&amp;$U467,Cambi!$C:$C,0))))</f>
        <v>151.327433628319</v>
      </c>
      <c r="Y467" s="12" t="s">
        <v>109</v>
      </c>
      <c r="Z467" s="12" t="s">
        <v>109</v>
      </c>
      <c r="AA467" s="12" t="s">
        <v>2677</v>
      </c>
      <c r="AB467" s="16" t="s">
        <v>110</v>
      </c>
      <c r="AC467" s="16" t="s">
        <v>2665</v>
      </c>
      <c r="AD467" s="12" t="s">
        <v>112</v>
      </c>
      <c r="AE467" s="12" t="s">
        <v>282</v>
      </c>
      <c r="AF467" s="12" t="s">
        <v>2678</v>
      </c>
      <c r="AG467" s="12" t="s">
        <v>284</v>
      </c>
      <c r="AH467" s="12" t="s">
        <v>838</v>
      </c>
      <c r="AI467" s="12" t="s">
        <v>117</v>
      </c>
      <c r="AJ467" s="12" t="s">
        <v>859</v>
      </c>
      <c r="AK467" s="12" t="s">
        <v>4</v>
      </c>
    </row>
    <row r="468" customFormat="false" ht="15" hidden="false" customHeight="false" outlineLevel="0" collapsed="false">
      <c r="A468" s="11" t="n">
        <v>467</v>
      </c>
      <c r="B468" s="12" t="s">
        <v>2672</v>
      </c>
      <c r="C468" s="12" t="s">
        <v>2657</v>
      </c>
      <c r="D468" s="12" t="s">
        <v>2658</v>
      </c>
      <c r="E468" s="12" t="s">
        <v>759</v>
      </c>
      <c r="F468" s="12" t="s">
        <v>845</v>
      </c>
      <c r="G468" s="12" t="s">
        <v>830</v>
      </c>
      <c r="H468" s="12" t="s">
        <v>2673</v>
      </c>
      <c r="I468" s="12" t="s">
        <v>847</v>
      </c>
      <c r="J468" s="13" t="s">
        <v>2674</v>
      </c>
      <c r="K468" s="12"/>
      <c r="L468" s="12" t="s">
        <v>2679</v>
      </c>
      <c r="M468" s="12" t="s">
        <v>2680</v>
      </c>
      <c r="N468" s="12" t="s">
        <v>352</v>
      </c>
      <c r="O468" s="12" t="s">
        <v>196</v>
      </c>
      <c r="P468" s="12" t="s">
        <v>856</v>
      </c>
      <c r="Q468" s="12" t="s">
        <v>857</v>
      </c>
      <c r="R468" s="14" t="n">
        <v>71.05</v>
      </c>
      <c r="S468" s="14" t="s">
        <v>197</v>
      </c>
      <c r="T468" s="14"/>
      <c r="U468" s="14" t="n">
        <v>2025</v>
      </c>
      <c r="V468" s="12" t="s">
        <v>157</v>
      </c>
      <c r="W468" s="14"/>
      <c r="X468" s="15" t="str">
        <f aca="false">IF(OR($S468="%",$R468=""),"",$R468*INDEX(Cambi!$J$2:$J$5,MATCH($S468,Cambi!$I$2:$I$5,0))/IF($T468="EUR",1,INDEX(Cambi!$D:$D,MATCH($T468&amp;"|"&amp;$U468,Cambi!$C:$C,0))))</f>
        <v/>
      </c>
      <c r="Y468" s="12" t="s">
        <v>109</v>
      </c>
      <c r="Z468" s="12" t="s">
        <v>109</v>
      </c>
      <c r="AA468" s="12" t="s">
        <v>2677</v>
      </c>
      <c r="AB468" s="16" t="s">
        <v>110</v>
      </c>
      <c r="AC468" s="16" t="s">
        <v>2665</v>
      </c>
      <c r="AD468" s="12" t="s">
        <v>112</v>
      </c>
      <c r="AE468" s="12" t="s">
        <v>282</v>
      </c>
      <c r="AF468" s="12" t="s">
        <v>2681</v>
      </c>
      <c r="AG468" s="12" t="s">
        <v>284</v>
      </c>
      <c r="AH468" s="12" t="s">
        <v>838</v>
      </c>
      <c r="AI468" s="12" t="s">
        <v>117</v>
      </c>
      <c r="AJ468" s="12" t="s">
        <v>266</v>
      </c>
      <c r="AK468" s="12" t="s">
        <v>4</v>
      </c>
    </row>
    <row r="469" customFormat="false" ht="15" hidden="false" customHeight="false" outlineLevel="0" collapsed="false">
      <c r="A469" s="11" t="n">
        <v>468</v>
      </c>
      <c r="B469" s="12" t="s">
        <v>2672</v>
      </c>
      <c r="C469" s="12" t="s">
        <v>2657</v>
      </c>
      <c r="D469" s="12" t="s">
        <v>2658</v>
      </c>
      <c r="E469" s="12" t="s">
        <v>759</v>
      </c>
      <c r="F469" s="12" t="s">
        <v>845</v>
      </c>
      <c r="G469" s="12" t="s">
        <v>830</v>
      </c>
      <c r="H469" s="12" t="s">
        <v>2673</v>
      </c>
      <c r="I469" s="12" t="s">
        <v>847</v>
      </c>
      <c r="J469" s="13" t="s">
        <v>2674</v>
      </c>
      <c r="K469" s="12"/>
      <c r="L469" s="12" t="s">
        <v>2682</v>
      </c>
      <c r="M469" s="12" t="s">
        <v>2683</v>
      </c>
      <c r="N469" s="12" t="s">
        <v>352</v>
      </c>
      <c r="O469" s="12" t="s">
        <v>196</v>
      </c>
      <c r="P469" s="12" t="s">
        <v>214</v>
      </c>
      <c r="Q469" s="12" t="s">
        <v>1464</v>
      </c>
      <c r="R469" s="14" t="n">
        <v>24.25</v>
      </c>
      <c r="S469" s="14" t="s">
        <v>197</v>
      </c>
      <c r="T469" s="14"/>
      <c r="U469" s="14" t="n">
        <v>2025</v>
      </c>
      <c r="V469" s="12" t="s">
        <v>157</v>
      </c>
      <c r="W469" s="14"/>
      <c r="X469" s="15" t="str">
        <f aca="false">IF(OR($S469="%",$R469=""),"",$R469*INDEX(Cambi!$J$2:$J$5,MATCH($S469,Cambi!$I$2:$I$5,0))/IF($T469="EUR",1,INDEX(Cambi!$D:$D,MATCH($T469&amp;"|"&amp;$U469,Cambi!$C:$C,0))))</f>
        <v/>
      </c>
      <c r="Y469" s="12" t="s">
        <v>109</v>
      </c>
      <c r="Z469" s="12" t="s">
        <v>109</v>
      </c>
      <c r="AA469" s="12" t="s">
        <v>2677</v>
      </c>
      <c r="AB469" s="16" t="s">
        <v>110</v>
      </c>
      <c r="AC469" s="16" t="s">
        <v>2665</v>
      </c>
      <c r="AD469" s="12" t="s">
        <v>112</v>
      </c>
      <c r="AE469" s="12" t="s">
        <v>282</v>
      </c>
      <c r="AF469" s="12" t="s">
        <v>2684</v>
      </c>
      <c r="AG469" s="12" t="s">
        <v>284</v>
      </c>
      <c r="AH469" s="12" t="s">
        <v>838</v>
      </c>
      <c r="AI469" s="12" t="s">
        <v>117</v>
      </c>
      <c r="AJ469" s="12" t="s">
        <v>266</v>
      </c>
      <c r="AK469" s="12" t="s">
        <v>4</v>
      </c>
    </row>
    <row r="470" customFormat="false" ht="15" hidden="false" customHeight="false" outlineLevel="0" collapsed="false">
      <c r="A470" s="11" t="n">
        <v>469</v>
      </c>
      <c r="B470" s="12" t="s">
        <v>2672</v>
      </c>
      <c r="C470" s="12" t="s">
        <v>2657</v>
      </c>
      <c r="D470" s="12" t="s">
        <v>2658</v>
      </c>
      <c r="E470" s="12" t="s">
        <v>759</v>
      </c>
      <c r="F470" s="12" t="s">
        <v>845</v>
      </c>
      <c r="G470" s="12" t="s">
        <v>830</v>
      </c>
      <c r="H470" s="12" t="s">
        <v>2673</v>
      </c>
      <c r="I470" s="12" t="s">
        <v>847</v>
      </c>
      <c r="J470" s="13" t="s">
        <v>2674</v>
      </c>
      <c r="K470" s="12"/>
      <c r="L470" s="12" t="s">
        <v>2685</v>
      </c>
      <c r="M470" s="12" t="s">
        <v>2686</v>
      </c>
      <c r="N470" s="12" t="s">
        <v>352</v>
      </c>
      <c r="O470" s="12" t="s">
        <v>196</v>
      </c>
      <c r="P470" s="12" t="s">
        <v>155</v>
      </c>
      <c r="Q470" s="12" t="s">
        <v>1027</v>
      </c>
      <c r="R470" s="14" t="n">
        <v>62.65</v>
      </c>
      <c r="S470" s="14" t="s">
        <v>197</v>
      </c>
      <c r="T470" s="14"/>
      <c r="U470" s="14" t="n">
        <v>2025</v>
      </c>
      <c r="V470" s="12" t="s">
        <v>157</v>
      </c>
      <c r="W470" s="14"/>
      <c r="X470" s="15" t="str">
        <f aca="false">IF(OR($S470="%",$R470=""),"",$R470*INDEX(Cambi!$J$2:$J$5,MATCH($S470,Cambi!$I$2:$I$5,0))/IF($T470="EUR",1,INDEX(Cambi!$D:$D,MATCH($T470&amp;"|"&amp;$U470,Cambi!$C:$C,0))))</f>
        <v/>
      </c>
      <c r="Y470" s="12" t="s">
        <v>109</v>
      </c>
      <c r="Z470" s="12" t="s">
        <v>109</v>
      </c>
      <c r="AA470" s="12" t="s">
        <v>2677</v>
      </c>
      <c r="AB470" s="16" t="s">
        <v>110</v>
      </c>
      <c r="AC470" s="16" t="s">
        <v>2665</v>
      </c>
      <c r="AD470" s="12" t="s">
        <v>112</v>
      </c>
      <c r="AE470" s="12" t="s">
        <v>282</v>
      </c>
      <c r="AF470" s="12" t="s">
        <v>2687</v>
      </c>
      <c r="AG470" s="12" t="s">
        <v>284</v>
      </c>
      <c r="AH470" s="12" t="s">
        <v>838</v>
      </c>
      <c r="AI470" s="12" t="s">
        <v>117</v>
      </c>
      <c r="AJ470" s="12" t="s">
        <v>266</v>
      </c>
      <c r="AK470" s="12" t="s">
        <v>4</v>
      </c>
    </row>
    <row r="471" customFormat="false" ht="15" hidden="false" customHeight="false" outlineLevel="0" collapsed="false">
      <c r="A471" s="11" t="n">
        <v>470</v>
      </c>
      <c r="B471" s="12" t="s">
        <v>2672</v>
      </c>
      <c r="C471" s="12" t="s">
        <v>2657</v>
      </c>
      <c r="D471" s="12" t="s">
        <v>2658</v>
      </c>
      <c r="E471" s="12" t="s">
        <v>759</v>
      </c>
      <c r="F471" s="12" t="s">
        <v>845</v>
      </c>
      <c r="G471" s="12" t="s">
        <v>830</v>
      </c>
      <c r="H471" s="12" t="s">
        <v>2673</v>
      </c>
      <c r="I471" s="12" t="s">
        <v>847</v>
      </c>
      <c r="J471" s="13" t="s">
        <v>2674</v>
      </c>
      <c r="K471" s="12"/>
      <c r="L471" s="12" t="s">
        <v>2675</v>
      </c>
      <c r="M471" s="12" t="s">
        <v>2688</v>
      </c>
      <c r="N471" s="12" t="s">
        <v>352</v>
      </c>
      <c r="O471" s="12" t="s">
        <v>102</v>
      </c>
      <c r="P471" s="12" t="s">
        <v>103</v>
      </c>
      <c r="Q471" s="12" t="s">
        <v>104</v>
      </c>
      <c r="R471" s="14" t="n">
        <v>185.3</v>
      </c>
      <c r="S471" s="14" t="s">
        <v>105</v>
      </c>
      <c r="T471" s="14" t="s">
        <v>653</v>
      </c>
      <c r="U471" s="14" t="n">
        <v>2026</v>
      </c>
      <c r="V471" s="12" t="s">
        <v>198</v>
      </c>
      <c r="W471" s="14"/>
      <c r="X471" s="15" t="n">
        <f aca="false">IF(OR($S471="%",$R471=""),"",$R471*INDEX(Cambi!$J$2:$J$5,MATCH($S471,Cambi!$I$2:$I$5,0))/IF($T471="EUR",1,INDEX(Cambi!$D:$D,MATCH($T471&amp;"|"&amp;$U471,Cambi!$C:$C,0))))</f>
        <v>163.982300884956</v>
      </c>
      <c r="Y471" s="12" t="s">
        <v>109</v>
      </c>
      <c r="Z471" s="12" t="s">
        <v>109</v>
      </c>
      <c r="AA471" s="12" t="s">
        <v>2677</v>
      </c>
      <c r="AB471" s="16" t="s">
        <v>110</v>
      </c>
      <c r="AC471" s="16" t="s">
        <v>2665</v>
      </c>
      <c r="AD471" s="12" t="s">
        <v>112</v>
      </c>
      <c r="AE471" s="12" t="s">
        <v>282</v>
      </c>
      <c r="AF471" s="12" t="s">
        <v>2689</v>
      </c>
      <c r="AG471" s="12" t="s">
        <v>284</v>
      </c>
      <c r="AH471" s="12" t="s">
        <v>838</v>
      </c>
      <c r="AI471" s="12" t="s">
        <v>117</v>
      </c>
      <c r="AJ471" s="12" t="s">
        <v>266</v>
      </c>
      <c r="AK471" s="12" t="s">
        <v>4</v>
      </c>
    </row>
    <row r="472" customFormat="false" ht="15" hidden="false" customHeight="false" outlineLevel="0" collapsed="false">
      <c r="A472" s="11" t="n">
        <v>471</v>
      </c>
      <c r="B472" s="12" t="s">
        <v>2672</v>
      </c>
      <c r="C472" s="12" t="s">
        <v>2657</v>
      </c>
      <c r="D472" s="12" t="s">
        <v>2658</v>
      </c>
      <c r="E472" s="12" t="s">
        <v>759</v>
      </c>
      <c r="F472" s="12" t="s">
        <v>845</v>
      </c>
      <c r="G472" s="12" t="s">
        <v>830</v>
      </c>
      <c r="H472" s="12" t="s">
        <v>2673</v>
      </c>
      <c r="I472" s="12" t="s">
        <v>847</v>
      </c>
      <c r="J472" s="13" t="s">
        <v>2674</v>
      </c>
      <c r="K472" s="12"/>
      <c r="L472" s="12" t="s">
        <v>2675</v>
      </c>
      <c r="M472" s="12" t="s">
        <v>2690</v>
      </c>
      <c r="N472" s="12" t="s">
        <v>352</v>
      </c>
      <c r="O472" s="12" t="s">
        <v>102</v>
      </c>
      <c r="P472" s="12" t="s">
        <v>103</v>
      </c>
      <c r="Q472" s="12" t="s">
        <v>104</v>
      </c>
      <c r="R472" s="14" t="n">
        <v>276.83</v>
      </c>
      <c r="S472" s="14" t="s">
        <v>105</v>
      </c>
      <c r="T472" s="14" t="s">
        <v>653</v>
      </c>
      <c r="U472" s="14" t="n">
        <v>2031</v>
      </c>
      <c r="V472" s="12" t="s">
        <v>107</v>
      </c>
      <c r="W472" s="14" t="s">
        <v>2691</v>
      </c>
      <c r="X472" s="15" t="n">
        <f aca="false">IF(OR($S472="%",$R472=""),"",$R472*INDEX(Cambi!$J$2:$J$5,MATCH($S472,Cambi!$I$2:$I$5,0))/IF($T472="EUR",1,INDEX(Cambi!$D:$D,MATCH($T472&amp;"|"&amp;$U472,Cambi!$C:$C,0))))</f>
        <v>244.982300884956</v>
      </c>
      <c r="Y472" s="12" t="s">
        <v>109</v>
      </c>
      <c r="Z472" s="12" t="s">
        <v>109</v>
      </c>
      <c r="AA472" s="12" t="s">
        <v>2677</v>
      </c>
      <c r="AB472" s="16" t="s">
        <v>110</v>
      </c>
      <c r="AC472" s="16" t="s">
        <v>2665</v>
      </c>
      <c r="AD472" s="12" t="s">
        <v>112</v>
      </c>
      <c r="AE472" s="12" t="s">
        <v>282</v>
      </c>
      <c r="AF472" s="12" t="s">
        <v>2692</v>
      </c>
      <c r="AG472" s="12" t="s">
        <v>284</v>
      </c>
      <c r="AH472" s="12" t="s">
        <v>838</v>
      </c>
      <c r="AI472" s="12" t="s">
        <v>117</v>
      </c>
      <c r="AJ472" s="12" t="s">
        <v>266</v>
      </c>
      <c r="AK472" s="12" t="s">
        <v>4</v>
      </c>
    </row>
    <row r="473" customFormat="false" ht="15" hidden="false" customHeight="false" outlineLevel="0" collapsed="false">
      <c r="A473" s="11" t="n">
        <v>472</v>
      </c>
      <c r="B473" s="12" t="s">
        <v>2693</v>
      </c>
      <c r="C473" s="12" t="s">
        <v>2657</v>
      </c>
      <c r="D473" s="12" t="s">
        <v>2658</v>
      </c>
      <c r="E473" s="12" t="s">
        <v>759</v>
      </c>
      <c r="F473" s="12" t="s">
        <v>2694</v>
      </c>
      <c r="G473" s="12" t="s">
        <v>1055</v>
      </c>
      <c r="H473" s="12" t="s">
        <v>2695</v>
      </c>
      <c r="I473" s="12" t="s">
        <v>1188</v>
      </c>
      <c r="J473" s="13" t="s">
        <v>2696</v>
      </c>
      <c r="K473" s="12" t="s">
        <v>2697</v>
      </c>
      <c r="L473" s="12" t="s">
        <v>2698</v>
      </c>
      <c r="M473" s="12" t="s">
        <v>2699</v>
      </c>
      <c r="N473" s="12" t="s">
        <v>352</v>
      </c>
      <c r="O473" s="12" t="s">
        <v>102</v>
      </c>
      <c r="P473" s="12" t="s">
        <v>103</v>
      </c>
      <c r="Q473" s="12" t="s">
        <v>104</v>
      </c>
      <c r="R473" s="14" t="n">
        <v>508</v>
      </c>
      <c r="S473" s="14" t="s">
        <v>105</v>
      </c>
      <c r="T473" s="14" t="s">
        <v>106</v>
      </c>
      <c r="U473" s="14" t="n">
        <v>2028</v>
      </c>
      <c r="V473" s="12" t="s">
        <v>107</v>
      </c>
      <c r="W473" s="14" t="s">
        <v>2700</v>
      </c>
      <c r="X473" s="15" t="n">
        <f aca="false">IF(OR($S473="%",$R473=""),"",$R473*INDEX(Cambi!$J$2:$J$5,MATCH($S473,Cambi!$I$2:$I$5,0))/IF($T473="EUR",1,INDEX(Cambi!$D:$D,MATCH($T473&amp;"|"&amp;$U473,Cambi!$C:$C,0))))</f>
        <v>508</v>
      </c>
      <c r="Y473" s="12" t="s">
        <v>109</v>
      </c>
      <c r="Z473" s="12" t="s">
        <v>109</v>
      </c>
      <c r="AA473" s="12" t="s">
        <v>109</v>
      </c>
      <c r="AB473" s="16" t="s">
        <v>110</v>
      </c>
      <c r="AC473" s="16" t="s">
        <v>2665</v>
      </c>
      <c r="AD473" s="12" t="s">
        <v>281</v>
      </c>
      <c r="AE473" s="12" t="s">
        <v>282</v>
      </c>
      <c r="AF473" s="12" t="s">
        <v>2701</v>
      </c>
      <c r="AG473" s="12" t="s">
        <v>284</v>
      </c>
      <c r="AH473" s="12" t="s">
        <v>499</v>
      </c>
      <c r="AI473" s="12" t="s">
        <v>285</v>
      </c>
      <c r="AJ473" s="12" t="s">
        <v>2702</v>
      </c>
      <c r="AK473" s="12" t="s">
        <v>4</v>
      </c>
    </row>
    <row r="474" customFormat="false" ht="15" hidden="false" customHeight="false" outlineLevel="0" collapsed="false">
      <c r="A474" s="11" t="n">
        <v>473</v>
      </c>
      <c r="B474" s="12" t="s">
        <v>2703</v>
      </c>
      <c r="C474" s="12" t="s">
        <v>2657</v>
      </c>
      <c r="D474" s="12" t="s">
        <v>2658</v>
      </c>
      <c r="E474" s="12" t="s">
        <v>759</v>
      </c>
      <c r="F474" s="12" t="s">
        <v>2704</v>
      </c>
      <c r="G474" s="12" t="s">
        <v>1055</v>
      </c>
      <c r="H474" s="12" t="s">
        <v>2705</v>
      </c>
      <c r="I474" s="12" t="s">
        <v>2706</v>
      </c>
      <c r="J474" s="13" t="s">
        <v>2707</v>
      </c>
      <c r="K474" s="12" t="s">
        <v>2708</v>
      </c>
      <c r="L474" s="12" t="s">
        <v>2709</v>
      </c>
      <c r="M474" s="12" t="s">
        <v>2710</v>
      </c>
      <c r="N474" s="12" t="s">
        <v>352</v>
      </c>
      <c r="O474" s="12" t="s">
        <v>102</v>
      </c>
      <c r="P474" s="12" t="s">
        <v>103</v>
      </c>
      <c r="Q474" s="12" t="s">
        <v>104</v>
      </c>
      <c r="R474" s="14" t="n">
        <v>300</v>
      </c>
      <c r="S474" s="14" t="s">
        <v>105</v>
      </c>
      <c r="T474" s="14" t="s">
        <v>106</v>
      </c>
      <c r="U474" s="14" t="n">
        <v>2025</v>
      </c>
      <c r="V474" s="12" t="s">
        <v>198</v>
      </c>
      <c r="W474" s="14"/>
      <c r="X474" s="15" t="n">
        <f aca="false">IF(OR($S474="%",$R474=""),"",$R474*INDEX(Cambi!$J$2:$J$5,MATCH($S474,Cambi!$I$2:$I$5,0))/IF($T474="EUR",1,INDEX(Cambi!$D:$D,MATCH($T474&amp;"|"&amp;$U474,Cambi!$C:$C,0))))</f>
        <v>300</v>
      </c>
      <c r="Y474" s="12" t="s">
        <v>109</v>
      </c>
      <c r="Z474" s="12" t="s">
        <v>109</v>
      </c>
      <c r="AA474" s="12" t="s">
        <v>109</v>
      </c>
      <c r="AB474" s="16" t="s">
        <v>110</v>
      </c>
      <c r="AC474" s="16" t="s">
        <v>2665</v>
      </c>
      <c r="AD474" s="12" t="s">
        <v>112</v>
      </c>
      <c r="AE474" s="12" t="s">
        <v>2711</v>
      </c>
      <c r="AF474" s="12" t="s">
        <v>2712</v>
      </c>
      <c r="AG474" s="12" t="s">
        <v>284</v>
      </c>
      <c r="AH474" s="12" t="s">
        <v>499</v>
      </c>
      <c r="AI474" s="12" t="s">
        <v>285</v>
      </c>
      <c r="AJ474" s="12" t="s">
        <v>2713</v>
      </c>
      <c r="AK474" s="12" t="s">
        <v>4</v>
      </c>
    </row>
    <row r="475" customFormat="false" ht="15" hidden="false" customHeight="false" outlineLevel="0" collapsed="false">
      <c r="A475" s="11" t="n">
        <v>474</v>
      </c>
      <c r="B475" s="12" t="s">
        <v>625</v>
      </c>
      <c r="C475" s="12" t="s">
        <v>2657</v>
      </c>
      <c r="D475" s="12" t="s">
        <v>2658</v>
      </c>
      <c r="E475" s="12" t="s">
        <v>759</v>
      </c>
      <c r="F475" s="12" t="s">
        <v>626</v>
      </c>
      <c r="G475" s="12" t="s">
        <v>95</v>
      </c>
      <c r="H475" s="12" t="s">
        <v>627</v>
      </c>
      <c r="I475" s="12" t="s">
        <v>628</v>
      </c>
      <c r="J475" s="13" t="s">
        <v>629</v>
      </c>
      <c r="K475" s="12" t="s">
        <v>630</v>
      </c>
      <c r="L475" s="12" t="s">
        <v>1110</v>
      </c>
      <c r="M475" s="12" t="s">
        <v>1111</v>
      </c>
      <c r="N475" s="12" t="s">
        <v>101</v>
      </c>
      <c r="O475" s="12" t="s">
        <v>102</v>
      </c>
      <c r="P475" s="12" t="s">
        <v>103</v>
      </c>
      <c r="Q475" s="12" t="s">
        <v>104</v>
      </c>
      <c r="R475" s="14" t="n">
        <v>204</v>
      </c>
      <c r="S475" s="14" t="s">
        <v>105</v>
      </c>
      <c r="T475" s="14" t="s">
        <v>106</v>
      </c>
      <c r="U475" s="14" t="n">
        <v>2026</v>
      </c>
      <c r="V475" s="12" t="s">
        <v>107</v>
      </c>
      <c r="W475" s="14"/>
      <c r="X475" s="15" t="n">
        <f aca="false">IF(OR($S475="%",$R475=""),"",$R475*INDEX(Cambi!$J$2:$J$5,MATCH($S475,Cambi!$I$2:$I$5,0))/IF($T475="EUR",1,INDEX(Cambi!$D:$D,MATCH($T475&amp;"|"&amp;$U475,Cambi!$C:$C,0))))</f>
        <v>204</v>
      </c>
      <c r="Y475" s="12" t="s">
        <v>130</v>
      </c>
      <c r="Z475" s="12" t="s">
        <v>109</v>
      </c>
      <c r="AA475" s="12" t="s">
        <v>633</v>
      </c>
      <c r="AB475" s="16" t="s">
        <v>110</v>
      </c>
      <c r="AC475" s="16" t="s">
        <v>634</v>
      </c>
      <c r="AD475" s="12" t="s">
        <v>281</v>
      </c>
      <c r="AE475" s="12" t="s">
        <v>635</v>
      </c>
      <c r="AF475" s="12" t="s">
        <v>2714</v>
      </c>
      <c r="AG475" s="12" t="s">
        <v>115</v>
      </c>
      <c r="AH475" s="12" t="s">
        <v>116</v>
      </c>
      <c r="AI475" s="12" t="s">
        <v>285</v>
      </c>
      <c r="AJ475" s="12" t="s">
        <v>1113</v>
      </c>
      <c r="AK475" s="12" t="s">
        <v>4</v>
      </c>
    </row>
    <row r="476" customFormat="false" ht="15" hidden="false" customHeight="false" outlineLevel="0" collapsed="false">
      <c r="A476" s="11" t="n">
        <v>475</v>
      </c>
      <c r="B476" s="12" t="s">
        <v>2715</v>
      </c>
      <c r="C476" s="12" t="s">
        <v>2716</v>
      </c>
      <c r="D476" s="12" t="s">
        <v>2717</v>
      </c>
      <c r="E476" s="12" t="s">
        <v>759</v>
      </c>
      <c r="F476" s="12" t="s">
        <v>2718</v>
      </c>
      <c r="G476" s="12" t="s">
        <v>345</v>
      </c>
      <c r="H476" s="12" t="s">
        <v>2719</v>
      </c>
      <c r="I476" s="12" t="s">
        <v>1716</v>
      </c>
      <c r="J476" s="13" t="s">
        <v>2720</v>
      </c>
      <c r="K476" s="12"/>
      <c r="L476" s="12" t="s">
        <v>2721</v>
      </c>
      <c r="M476" s="12" t="s">
        <v>2722</v>
      </c>
      <c r="N476" s="12" t="s">
        <v>956</v>
      </c>
      <c r="O476" s="12" t="s">
        <v>102</v>
      </c>
      <c r="P476" s="12" t="s">
        <v>103</v>
      </c>
      <c r="Q476" s="12" t="s">
        <v>104</v>
      </c>
      <c r="R476" s="14" t="n">
        <v>2.1</v>
      </c>
      <c r="S476" s="14" t="s">
        <v>129</v>
      </c>
      <c r="T476" s="14" t="s">
        <v>106</v>
      </c>
      <c r="U476" s="14" t="n">
        <v>2021</v>
      </c>
      <c r="V476" s="12" t="s">
        <v>157</v>
      </c>
      <c r="W476" s="14"/>
      <c r="X476" s="15" t="n">
        <f aca="false">IF(OR($S476="%",$R476=""),"",$R476*INDEX(Cambi!$J$2:$J$5,MATCH($S476,Cambi!$I$2:$I$5,0))/IF($T476="EUR",1,INDEX(Cambi!$D:$D,MATCH($T476&amp;"|"&amp;$U476,Cambi!$C:$C,0))))</f>
        <v>2100</v>
      </c>
      <c r="Y476" s="12" t="s">
        <v>109</v>
      </c>
      <c r="Z476" s="12" t="s">
        <v>285</v>
      </c>
      <c r="AA476" s="12" t="s">
        <v>2723</v>
      </c>
      <c r="AB476" s="12" t="s">
        <v>679</v>
      </c>
      <c r="AC476" s="12" t="s">
        <v>395</v>
      </c>
      <c r="AD476" s="12" t="s">
        <v>166</v>
      </c>
      <c r="AE476" s="12" t="s">
        <v>2724</v>
      </c>
      <c r="AF476" s="12" t="s">
        <v>2725</v>
      </c>
      <c r="AG476" s="12" t="s">
        <v>115</v>
      </c>
      <c r="AH476" s="12" t="s">
        <v>116</v>
      </c>
      <c r="AI476" s="12" t="s">
        <v>117</v>
      </c>
      <c r="AJ476" s="12" t="s">
        <v>2726</v>
      </c>
      <c r="AK476" s="12" t="s">
        <v>4</v>
      </c>
    </row>
    <row r="477" customFormat="false" ht="15" hidden="false" customHeight="false" outlineLevel="0" collapsed="false">
      <c r="A477" s="11" t="n">
        <v>476</v>
      </c>
      <c r="B477" s="12" t="s">
        <v>2715</v>
      </c>
      <c r="C477" s="12" t="s">
        <v>2716</v>
      </c>
      <c r="D477" s="12" t="s">
        <v>2717</v>
      </c>
      <c r="E477" s="12" t="s">
        <v>759</v>
      </c>
      <c r="F477" s="12" t="s">
        <v>2718</v>
      </c>
      <c r="G477" s="12" t="s">
        <v>345</v>
      </c>
      <c r="H477" s="12" t="s">
        <v>2719</v>
      </c>
      <c r="I477" s="12" t="s">
        <v>1716</v>
      </c>
      <c r="J477" s="13" t="s">
        <v>2720</v>
      </c>
      <c r="K477" s="12"/>
      <c r="L477" s="12" t="s">
        <v>2727</v>
      </c>
      <c r="M477" s="12" t="s">
        <v>2728</v>
      </c>
      <c r="N477" s="12" t="s">
        <v>956</v>
      </c>
      <c r="O477" s="12" t="s">
        <v>102</v>
      </c>
      <c r="P477" s="12" t="s">
        <v>103</v>
      </c>
      <c r="Q477" s="12" t="s">
        <v>104</v>
      </c>
      <c r="R477" s="14" t="n">
        <v>1.1</v>
      </c>
      <c r="S477" s="14" t="s">
        <v>129</v>
      </c>
      <c r="T477" s="14" t="s">
        <v>106</v>
      </c>
      <c r="U477" s="14" t="n">
        <v>2021</v>
      </c>
      <c r="V477" s="12" t="s">
        <v>157</v>
      </c>
      <c r="W477" s="14"/>
      <c r="X477" s="15" t="n">
        <f aca="false">IF(OR($S477="%",$R477=""),"",$R477*INDEX(Cambi!$J$2:$J$5,MATCH($S477,Cambi!$I$2:$I$5,0))/IF($T477="EUR",1,INDEX(Cambi!$D:$D,MATCH($T477&amp;"|"&amp;$U477,Cambi!$C:$C,0))))</f>
        <v>1100</v>
      </c>
      <c r="Y477" s="12" t="s">
        <v>109</v>
      </c>
      <c r="Z477" s="12" t="s">
        <v>285</v>
      </c>
      <c r="AA477" s="12" t="s">
        <v>2723</v>
      </c>
      <c r="AB477" s="12" t="s">
        <v>679</v>
      </c>
      <c r="AC477" s="12" t="s">
        <v>395</v>
      </c>
      <c r="AD477" s="12" t="s">
        <v>166</v>
      </c>
      <c r="AE477" s="12" t="s">
        <v>2724</v>
      </c>
      <c r="AF477" s="12" t="s">
        <v>2729</v>
      </c>
      <c r="AG477" s="12" t="s">
        <v>115</v>
      </c>
      <c r="AH477" s="12" t="s">
        <v>116</v>
      </c>
      <c r="AI477" s="12" t="s">
        <v>117</v>
      </c>
      <c r="AJ477" s="12" t="s">
        <v>2730</v>
      </c>
      <c r="AK477" s="12" t="s">
        <v>4</v>
      </c>
    </row>
    <row r="478" customFormat="false" ht="15" hidden="false" customHeight="false" outlineLevel="0" collapsed="false">
      <c r="A478" s="11" t="n">
        <v>477</v>
      </c>
      <c r="B478" s="12" t="s">
        <v>2715</v>
      </c>
      <c r="C478" s="12" t="s">
        <v>2716</v>
      </c>
      <c r="D478" s="12" t="s">
        <v>2717</v>
      </c>
      <c r="E478" s="12" t="s">
        <v>759</v>
      </c>
      <c r="F478" s="12" t="s">
        <v>2718</v>
      </c>
      <c r="G478" s="12" t="s">
        <v>345</v>
      </c>
      <c r="H478" s="12" t="s">
        <v>2719</v>
      </c>
      <c r="I478" s="12" t="s">
        <v>1716</v>
      </c>
      <c r="J478" s="13" t="s">
        <v>2720</v>
      </c>
      <c r="K478" s="12"/>
      <c r="L478" s="12" t="s">
        <v>2731</v>
      </c>
      <c r="M478" s="12" t="s">
        <v>2732</v>
      </c>
      <c r="N478" s="12" t="s">
        <v>956</v>
      </c>
      <c r="O478" s="12" t="s">
        <v>102</v>
      </c>
      <c r="P478" s="12" t="s">
        <v>103</v>
      </c>
      <c r="Q478" s="12" t="s">
        <v>104</v>
      </c>
      <c r="R478" s="14" t="n">
        <v>2.5</v>
      </c>
      <c r="S478" s="14" t="s">
        <v>129</v>
      </c>
      <c r="T478" s="14" t="s">
        <v>106</v>
      </c>
      <c r="U478" s="14" t="n">
        <v>2030</v>
      </c>
      <c r="V478" s="12" t="s">
        <v>107</v>
      </c>
      <c r="W478" s="14"/>
      <c r="X478" s="15" t="n">
        <f aca="false">IF(OR($S478="%",$R478=""),"",$R478*INDEX(Cambi!$J$2:$J$5,MATCH($S478,Cambi!$I$2:$I$5,0))/IF($T478="EUR",1,INDEX(Cambi!$D:$D,MATCH($T478&amp;"|"&amp;$U478,Cambi!$C:$C,0))))</f>
        <v>2500</v>
      </c>
      <c r="Y478" s="12" t="s">
        <v>109</v>
      </c>
      <c r="Z478" s="12" t="s">
        <v>285</v>
      </c>
      <c r="AA478" s="12" t="s">
        <v>2723</v>
      </c>
      <c r="AB478" s="12" t="s">
        <v>679</v>
      </c>
      <c r="AC478" s="12" t="s">
        <v>395</v>
      </c>
      <c r="AD478" s="12" t="s">
        <v>166</v>
      </c>
      <c r="AE478" s="12" t="s">
        <v>2724</v>
      </c>
      <c r="AF478" s="12" t="s">
        <v>2733</v>
      </c>
      <c r="AG478" s="12" t="s">
        <v>115</v>
      </c>
      <c r="AH478" s="12" t="s">
        <v>116</v>
      </c>
      <c r="AI478" s="12" t="s">
        <v>117</v>
      </c>
      <c r="AJ478" s="12" t="s">
        <v>2734</v>
      </c>
      <c r="AK478" s="12" t="s">
        <v>4</v>
      </c>
    </row>
    <row r="479" customFormat="false" ht="15" hidden="false" customHeight="false" outlineLevel="0" collapsed="false">
      <c r="A479" s="11" t="n">
        <v>478</v>
      </c>
      <c r="B479" s="12" t="s">
        <v>2735</v>
      </c>
      <c r="C479" s="12" t="s">
        <v>2716</v>
      </c>
      <c r="D479" s="12" t="s">
        <v>2717</v>
      </c>
      <c r="E479" s="12" t="s">
        <v>759</v>
      </c>
      <c r="F479" s="12" t="s">
        <v>2736</v>
      </c>
      <c r="G479" s="12" t="s">
        <v>345</v>
      </c>
      <c r="H479" s="12" t="s">
        <v>2737</v>
      </c>
      <c r="I479" s="12" t="s">
        <v>2527</v>
      </c>
      <c r="J479" s="13" t="s">
        <v>2738</v>
      </c>
      <c r="K479" s="12"/>
      <c r="L479" s="12" t="s">
        <v>2739</v>
      </c>
      <c r="M479" s="12" t="s">
        <v>2740</v>
      </c>
      <c r="N479" s="12" t="s">
        <v>956</v>
      </c>
      <c r="O479" s="12" t="s">
        <v>102</v>
      </c>
      <c r="P479" s="12" t="s">
        <v>103</v>
      </c>
      <c r="Q479" s="12" t="s">
        <v>104</v>
      </c>
      <c r="R479" s="14" t="n">
        <v>1.2</v>
      </c>
      <c r="S479" s="14" t="s">
        <v>129</v>
      </c>
      <c r="T479" s="14" t="s">
        <v>106</v>
      </c>
      <c r="U479" s="14" t="n">
        <v>2023</v>
      </c>
      <c r="V479" s="12" t="s">
        <v>157</v>
      </c>
      <c r="W479" s="14" t="s">
        <v>2741</v>
      </c>
      <c r="X479" s="15" t="n">
        <f aca="false">IF(OR($S479="%",$R479=""),"",$R479*INDEX(Cambi!$J$2:$J$5,MATCH($S479,Cambi!$I$2:$I$5,0))/IF($T479="EUR",1,INDEX(Cambi!$D:$D,MATCH($T479&amp;"|"&amp;$U479,Cambi!$C:$C,0))))</f>
        <v>1200</v>
      </c>
      <c r="Y479" s="12" t="s">
        <v>109</v>
      </c>
      <c r="Z479" s="12" t="s">
        <v>285</v>
      </c>
      <c r="AA479" s="12" t="s">
        <v>2742</v>
      </c>
      <c r="AB479" s="12" t="s">
        <v>679</v>
      </c>
      <c r="AC479" s="12" t="s">
        <v>395</v>
      </c>
      <c r="AD479" s="12" t="s">
        <v>166</v>
      </c>
      <c r="AE479" s="12" t="s">
        <v>2743</v>
      </c>
      <c r="AF479" s="12" t="s">
        <v>2744</v>
      </c>
      <c r="AG479" s="12" t="s">
        <v>407</v>
      </c>
      <c r="AH479" s="12" t="s">
        <v>116</v>
      </c>
      <c r="AI479" s="12" t="s">
        <v>117</v>
      </c>
      <c r="AJ479" s="12" t="s">
        <v>2745</v>
      </c>
      <c r="AK479" s="12" t="s">
        <v>4</v>
      </c>
    </row>
    <row r="480" customFormat="false" ht="15" hidden="false" customHeight="false" outlineLevel="0" collapsed="false">
      <c r="A480" s="11" t="n">
        <v>479</v>
      </c>
      <c r="B480" s="12" t="s">
        <v>2735</v>
      </c>
      <c r="C480" s="12" t="s">
        <v>2716</v>
      </c>
      <c r="D480" s="12" t="s">
        <v>2717</v>
      </c>
      <c r="E480" s="12" t="s">
        <v>759</v>
      </c>
      <c r="F480" s="12" t="s">
        <v>2736</v>
      </c>
      <c r="G480" s="12" t="s">
        <v>345</v>
      </c>
      <c r="H480" s="12" t="s">
        <v>2737</v>
      </c>
      <c r="I480" s="12" t="s">
        <v>2527</v>
      </c>
      <c r="J480" s="13" t="s">
        <v>2738</v>
      </c>
      <c r="K480" s="12"/>
      <c r="L480" s="12" t="s">
        <v>2746</v>
      </c>
      <c r="M480" s="12" t="s">
        <v>2747</v>
      </c>
      <c r="N480" s="12" t="s">
        <v>956</v>
      </c>
      <c r="O480" s="12" t="s">
        <v>102</v>
      </c>
      <c r="P480" s="12" t="s">
        <v>103</v>
      </c>
      <c r="Q480" s="12" t="s">
        <v>104</v>
      </c>
      <c r="R480" s="14" t="n">
        <v>2.7</v>
      </c>
      <c r="S480" s="14" t="s">
        <v>129</v>
      </c>
      <c r="T480" s="14" t="s">
        <v>106</v>
      </c>
      <c r="U480" s="14" t="n">
        <v>2023</v>
      </c>
      <c r="V480" s="12" t="s">
        <v>157</v>
      </c>
      <c r="W480" s="14" t="s">
        <v>2748</v>
      </c>
      <c r="X480" s="15" t="n">
        <f aca="false">IF(OR($S480="%",$R480=""),"",$R480*INDEX(Cambi!$J$2:$J$5,MATCH($S480,Cambi!$I$2:$I$5,0))/IF($T480="EUR",1,INDEX(Cambi!$D:$D,MATCH($T480&amp;"|"&amp;$U480,Cambi!$C:$C,0))))</f>
        <v>2700</v>
      </c>
      <c r="Y480" s="12" t="s">
        <v>109</v>
      </c>
      <c r="Z480" s="12" t="s">
        <v>285</v>
      </c>
      <c r="AA480" s="12" t="s">
        <v>2742</v>
      </c>
      <c r="AB480" s="12" t="s">
        <v>679</v>
      </c>
      <c r="AC480" s="12" t="s">
        <v>395</v>
      </c>
      <c r="AD480" s="12" t="s">
        <v>166</v>
      </c>
      <c r="AE480" s="12" t="s">
        <v>2743</v>
      </c>
      <c r="AF480" s="12" t="s">
        <v>2749</v>
      </c>
      <c r="AG480" s="12" t="s">
        <v>407</v>
      </c>
      <c r="AH480" s="12" t="s">
        <v>116</v>
      </c>
      <c r="AI480" s="12" t="s">
        <v>117</v>
      </c>
      <c r="AJ480" s="12" t="s">
        <v>2750</v>
      </c>
      <c r="AK480" s="12" t="s">
        <v>4</v>
      </c>
    </row>
    <row r="481" customFormat="false" ht="15" hidden="false" customHeight="false" outlineLevel="0" collapsed="false">
      <c r="A481" s="11" t="n">
        <v>480</v>
      </c>
      <c r="B481" s="12" t="s">
        <v>2751</v>
      </c>
      <c r="C481" s="12" t="s">
        <v>2716</v>
      </c>
      <c r="D481" s="12" t="s">
        <v>2717</v>
      </c>
      <c r="E481" s="12" t="s">
        <v>759</v>
      </c>
      <c r="F481" s="12" t="s">
        <v>2752</v>
      </c>
      <c r="G481" s="12" t="s">
        <v>771</v>
      </c>
      <c r="H481" s="12" t="s">
        <v>2753</v>
      </c>
      <c r="I481" s="12" t="s">
        <v>2754</v>
      </c>
      <c r="J481" s="13" t="s">
        <v>2755</v>
      </c>
      <c r="K481" s="12"/>
      <c r="L481" s="12" t="s">
        <v>2756</v>
      </c>
      <c r="M481" s="12" t="s">
        <v>2757</v>
      </c>
      <c r="N481" s="12" t="s">
        <v>101</v>
      </c>
      <c r="O481" s="12" t="s">
        <v>102</v>
      </c>
      <c r="P481" s="12" t="s">
        <v>103</v>
      </c>
      <c r="Q481" s="12" t="s">
        <v>104</v>
      </c>
      <c r="R481" s="14" t="n">
        <v>12</v>
      </c>
      <c r="S481" s="14" t="s">
        <v>105</v>
      </c>
      <c r="T481" s="14" t="s">
        <v>106</v>
      </c>
      <c r="U481" s="14" t="n">
        <v>2026</v>
      </c>
      <c r="V481" s="12" t="s">
        <v>198</v>
      </c>
      <c r="W481" s="14" t="s">
        <v>2758</v>
      </c>
      <c r="X481" s="15" t="n">
        <f aca="false">IF(OR($S481="%",$R481=""),"",$R481*INDEX(Cambi!$J$2:$J$5,MATCH($S481,Cambi!$I$2:$I$5,0))/IF($T481="EUR",1,INDEX(Cambi!$D:$D,MATCH($T481&amp;"|"&amp;$U481,Cambi!$C:$C,0))))</f>
        <v>12</v>
      </c>
      <c r="Y481" s="12" t="s">
        <v>108</v>
      </c>
      <c r="Z481" s="12" t="s">
        <v>109</v>
      </c>
      <c r="AA481" s="12" t="s">
        <v>109</v>
      </c>
      <c r="AB481" s="16" t="s">
        <v>394</v>
      </c>
      <c r="AC481" s="16" t="s">
        <v>1438</v>
      </c>
      <c r="AD481" s="12" t="s">
        <v>112</v>
      </c>
      <c r="AE481" s="12" t="s">
        <v>2759</v>
      </c>
      <c r="AF481" s="12" t="s">
        <v>2760</v>
      </c>
      <c r="AG481" s="12" t="s">
        <v>115</v>
      </c>
      <c r="AH481" s="12" t="s">
        <v>116</v>
      </c>
      <c r="AI481" s="12" t="s">
        <v>117</v>
      </c>
      <c r="AJ481" s="12" t="s">
        <v>2761</v>
      </c>
      <c r="AK481" s="12" t="s">
        <v>4</v>
      </c>
    </row>
    <row r="482" customFormat="false" ht="15" hidden="false" customHeight="false" outlineLevel="0" collapsed="false">
      <c r="A482" s="11" t="n">
        <v>481</v>
      </c>
      <c r="B482" s="12" t="s">
        <v>2762</v>
      </c>
      <c r="C482" s="12" t="s">
        <v>2716</v>
      </c>
      <c r="D482" s="12" t="s">
        <v>2717</v>
      </c>
      <c r="E482" s="12" t="s">
        <v>759</v>
      </c>
      <c r="F482" s="12" t="s">
        <v>2752</v>
      </c>
      <c r="G482" s="12" t="s">
        <v>771</v>
      </c>
      <c r="H482" s="12" t="s">
        <v>2763</v>
      </c>
      <c r="I482" s="12" t="s">
        <v>2764</v>
      </c>
      <c r="J482" s="13" t="s">
        <v>2765</v>
      </c>
      <c r="K482" s="12"/>
      <c r="L482" s="12" t="s">
        <v>2766</v>
      </c>
      <c r="M482" s="12" t="s">
        <v>2767</v>
      </c>
      <c r="N482" s="12" t="s">
        <v>101</v>
      </c>
      <c r="O482" s="12" t="s">
        <v>102</v>
      </c>
      <c r="P482" s="12" t="s">
        <v>103</v>
      </c>
      <c r="Q482" s="12" t="s">
        <v>104</v>
      </c>
      <c r="R482" s="14" t="n">
        <v>30</v>
      </c>
      <c r="S482" s="14" t="s">
        <v>105</v>
      </c>
      <c r="T482" s="14" t="s">
        <v>106</v>
      </c>
      <c r="U482" s="14" t="n">
        <v>2030</v>
      </c>
      <c r="V482" s="12" t="s">
        <v>107</v>
      </c>
      <c r="W482" s="14"/>
      <c r="X482" s="15" t="n">
        <f aca="false">IF(OR($S482="%",$R482=""),"",$R482*INDEX(Cambi!$J$2:$J$5,MATCH($S482,Cambi!$I$2:$I$5,0))/IF($T482="EUR",1,INDEX(Cambi!$D:$D,MATCH($T482&amp;"|"&amp;$U482,Cambi!$C:$C,0))))</f>
        <v>30</v>
      </c>
      <c r="Y482" s="12" t="s">
        <v>108</v>
      </c>
      <c r="Z482" s="12" t="s">
        <v>109</v>
      </c>
      <c r="AA482" s="12" t="s">
        <v>109</v>
      </c>
      <c r="AB482" s="16" t="s">
        <v>394</v>
      </c>
      <c r="AC482" s="16" t="s">
        <v>1438</v>
      </c>
      <c r="AD482" s="12" t="s">
        <v>112</v>
      </c>
      <c r="AE482" s="12" t="s">
        <v>2768</v>
      </c>
      <c r="AF482" s="12" t="s">
        <v>2769</v>
      </c>
      <c r="AG482" s="12" t="s">
        <v>115</v>
      </c>
      <c r="AH482" s="12" t="s">
        <v>116</v>
      </c>
      <c r="AI482" s="12" t="s">
        <v>117</v>
      </c>
      <c r="AJ482" s="12" t="s">
        <v>2770</v>
      </c>
      <c r="AK482" s="12" t="s">
        <v>4</v>
      </c>
    </row>
    <row r="483" customFormat="false" ht="15" hidden="false" customHeight="false" outlineLevel="0" collapsed="false">
      <c r="A483" s="11" t="n">
        <v>482</v>
      </c>
      <c r="B483" s="12" t="s">
        <v>2771</v>
      </c>
      <c r="C483" s="12" t="s">
        <v>2716</v>
      </c>
      <c r="D483" s="12" t="s">
        <v>2717</v>
      </c>
      <c r="E483" s="12" t="s">
        <v>759</v>
      </c>
      <c r="F483" s="12" t="s">
        <v>2772</v>
      </c>
      <c r="G483" s="12" t="s">
        <v>771</v>
      </c>
      <c r="H483" s="12" t="s">
        <v>2773</v>
      </c>
      <c r="I483" s="12" t="s">
        <v>808</v>
      </c>
      <c r="J483" s="13" t="s">
        <v>2774</v>
      </c>
      <c r="K483" s="12"/>
      <c r="L483" s="12" t="s">
        <v>2775</v>
      </c>
      <c r="M483" s="12" t="s">
        <v>2776</v>
      </c>
      <c r="N483" s="12" t="s">
        <v>101</v>
      </c>
      <c r="O483" s="12" t="s">
        <v>102</v>
      </c>
      <c r="P483" s="12" t="s">
        <v>103</v>
      </c>
      <c r="Q483" s="12" t="s">
        <v>104</v>
      </c>
      <c r="R483" s="14" t="n">
        <v>5.1</v>
      </c>
      <c r="S483" s="14" t="s">
        <v>105</v>
      </c>
      <c r="T483" s="14" t="s">
        <v>106</v>
      </c>
      <c r="U483" s="14" t="n">
        <v>2021</v>
      </c>
      <c r="V483" s="12" t="s">
        <v>157</v>
      </c>
      <c r="W483" s="14"/>
      <c r="X483" s="15" t="n">
        <f aca="false">IF(OR($S483="%",$R483=""),"",$R483*INDEX(Cambi!$J$2:$J$5,MATCH($S483,Cambi!$I$2:$I$5,0))/IF($T483="EUR",1,INDEX(Cambi!$D:$D,MATCH($T483&amp;"|"&amp;$U483,Cambi!$C:$C,0))))</f>
        <v>5.1</v>
      </c>
      <c r="Y483" s="12" t="s">
        <v>108</v>
      </c>
      <c r="Z483" s="12" t="s">
        <v>109</v>
      </c>
      <c r="AA483" s="12" t="s">
        <v>109</v>
      </c>
      <c r="AB483" s="16" t="s">
        <v>394</v>
      </c>
      <c r="AC483" s="16" t="s">
        <v>1438</v>
      </c>
      <c r="AD483" s="12" t="s">
        <v>112</v>
      </c>
      <c r="AE483" s="12" t="s">
        <v>2777</v>
      </c>
      <c r="AF483" s="12" t="s">
        <v>2778</v>
      </c>
      <c r="AG483" s="12" t="s">
        <v>115</v>
      </c>
      <c r="AH483" s="12" t="s">
        <v>116</v>
      </c>
      <c r="AI483" s="12" t="s">
        <v>117</v>
      </c>
      <c r="AJ483" s="12" t="s">
        <v>2779</v>
      </c>
      <c r="AK483" s="12" t="s">
        <v>4</v>
      </c>
    </row>
    <row r="484" customFormat="false" ht="15" hidden="false" customHeight="false" outlineLevel="0" collapsed="false">
      <c r="A484" s="11" t="n">
        <v>483</v>
      </c>
      <c r="B484" s="12" t="s">
        <v>2771</v>
      </c>
      <c r="C484" s="12" t="s">
        <v>2716</v>
      </c>
      <c r="D484" s="12" t="s">
        <v>2717</v>
      </c>
      <c r="E484" s="12" t="s">
        <v>759</v>
      </c>
      <c r="F484" s="12" t="s">
        <v>2772</v>
      </c>
      <c r="G484" s="12" t="s">
        <v>771</v>
      </c>
      <c r="H484" s="12" t="s">
        <v>2773</v>
      </c>
      <c r="I484" s="12" t="s">
        <v>808</v>
      </c>
      <c r="J484" s="13" t="s">
        <v>2774</v>
      </c>
      <c r="K484" s="12"/>
      <c r="L484" s="12" t="s">
        <v>2775</v>
      </c>
      <c r="M484" s="12" t="s">
        <v>2776</v>
      </c>
      <c r="N484" s="12" t="s">
        <v>101</v>
      </c>
      <c r="O484" s="12" t="s">
        <v>102</v>
      </c>
      <c r="P484" s="12" t="s">
        <v>103</v>
      </c>
      <c r="Q484" s="12" t="s">
        <v>104</v>
      </c>
      <c r="R484" s="14" t="n">
        <v>5.1</v>
      </c>
      <c r="S484" s="14" t="s">
        <v>105</v>
      </c>
      <c r="T484" s="14" t="s">
        <v>106</v>
      </c>
      <c r="U484" s="14" t="n">
        <v>2022</v>
      </c>
      <c r="V484" s="12" t="s">
        <v>157</v>
      </c>
      <c r="W484" s="14"/>
      <c r="X484" s="15" t="n">
        <f aca="false">IF(OR($S484="%",$R484=""),"",$R484*INDEX(Cambi!$J$2:$J$5,MATCH($S484,Cambi!$I$2:$I$5,0))/IF($T484="EUR",1,INDEX(Cambi!$D:$D,MATCH($T484&amp;"|"&amp;$U484,Cambi!$C:$C,0))))</f>
        <v>5.1</v>
      </c>
      <c r="Y484" s="12" t="s">
        <v>108</v>
      </c>
      <c r="Z484" s="12" t="s">
        <v>109</v>
      </c>
      <c r="AA484" s="12" t="s">
        <v>109</v>
      </c>
      <c r="AB484" s="16" t="s">
        <v>394</v>
      </c>
      <c r="AC484" s="16" t="s">
        <v>1438</v>
      </c>
      <c r="AD484" s="12" t="s">
        <v>112</v>
      </c>
      <c r="AE484" s="12" t="s">
        <v>2777</v>
      </c>
      <c r="AF484" s="12" t="s">
        <v>2778</v>
      </c>
      <c r="AG484" s="12" t="s">
        <v>115</v>
      </c>
      <c r="AH484" s="12" t="s">
        <v>116</v>
      </c>
      <c r="AI484" s="12" t="s">
        <v>117</v>
      </c>
      <c r="AJ484" s="12" t="s">
        <v>2779</v>
      </c>
      <c r="AK484" s="12" t="s">
        <v>4</v>
      </c>
    </row>
    <row r="485" customFormat="false" ht="15" hidden="false" customHeight="false" outlineLevel="0" collapsed="false">
      <c r="A485" s="11" t="n">
        <v>484</v>
      </c>
      <c r="B485" s="12" t="s">
        <v>2771</v>
      </c>
      <c r="C485" s="12" t="s">
        <v>2716</v>
      </c>
      <c r="D485" s="12" t="s">
        <v>2717</v>
      </c>
      <c r="E485" s="12" t="s">
        <v>759</v>
      </c>
      <c r="F485" s="12" t="s">
        <v>2772</v>
      </c>
      <c r="G485" s="12" t="s">
        <v>771</v>
      </c>
      <c r="H485" s="12" t="s">
        <v>2773</v>
      </c>
      <c r="I485" s="12" t="s">
        <v>808</v>
      </c>
      <c r="J485" s="13" t="s">
        <v>2774</v>
      </c>
      <c r="K485" s="12"/>
      <c r="L485" s="12" t="s">
        <v>2775</v>
      </c>
      <c r="M485" s="12" t="s">
        <v>2776</v>
      </c>
      <c r="N485" s="12" t="s">
        <v>101</v>
      </c>
      <c r="O485" s="12" t="s">
        <v>102</v>
      </c>
      <c r="P485" s="12" t="s">
        <v>103</v>
      </c>
      <c r="Q485" s="12" t="s">
        <v>104</v>
      </c>
      <c r="R485" s="14" t="n">
        <v>7.45</v>
      </c>
      <c r="S485" s="14" t="s">
        <v>105</v>
      </c>
      <c r="T485" s="14" t="s">
        <v>106</v>
      </c>
      <c r="U485" s="14" t="n">
        <v>2023</v>
      </c>
      <c r="V485" s="12" t="s">
        <v>157</v>
      </c>
      <c r="W485" s="14"/>
      <c r="X485" s="15" t="n">
        <f aca="false">IF(OR($S485="%",$R485=""),"",$R485*INDEX(Cambi!$J$2:$J$5,MATCH($S485,Cambi!$I$2:$I$5,0))/IF($T485="EUR",1,INDEX(Cambi!$D:$D,MATCH($T485&amp;"|"&amp;$U485,Cambi!$C:$C,0))))</f>
        <v>7.45</v>
      </c>
      <c r="Y485" s="12" t="s">
        <v>108</v>
      </c>
      <c r="Z485" s="12" t="s">
        <v>109</v>
      </c>
      <c r="AA485" s="12" t="s">
        <v>109</v>
      </c>
      <c r="AB485" s="16" t="s">
        <v>394</v>
      </c>
      <c r="AC485" s="16" t="s">
        <v>1438</v>
      </c>
      <c r="AD485" s="12" t="s">
        <v>112</v>
      </c>
      <c r="AE485" s="12" t="s">
        <v>2777</v>
      </c>
      <c r="AF485" s="12" t="s">
        <v>2778</v>
      </c>
      <c r="AG485" s="12" t="s">
        <v>115</v>
      </c>
      <c r="AH485" s="12" t="s">
        <v>116</v>
      </c>
      <c r="AI485" s="12" t="s">
        <v>117</v>
      </c>
      <c r="AJ485" s="12" t="s">
        <v>2779</v>
      </c>
      <c r="AK485" s="12" t="s">
        <v>4</v>
      </c>
    </row>
    <row r="486" customFormat="false" ht="15" hidden="false" customHeight="false" outlineLevel="0" collapsed="false">
      <c r="A486" s="11" t="n">
        <v>485</v>
      </c>
      <c r="B486" s="12" t="s">
        <v>2771</v>
      </c>
      <c r="C486" s="12" t="s">
        <v>2716</v>
      </c>
      <c r="D486" s="12" t="s">
        <v>2717</v>
      </c>
      <c r="E486" s="12" t="s">
        <v>759</v>
      </c>
      <c r="F486" s="12" t="s">
        <v>2772</v>
      </c>
      <c r="G486" s="12" t="s">
        <v>771</v>
      </c>
      <c r="H486" s="12" t="s">
        <v>2773</v>
      </c>
      <c r="I486" s="12" t="s">
        <v>808</v>
      </c>
      <c r="J486" s="13" t="s">
        <v>2774</v>
      </c>
      <c r="K486" s="12"/>
      <c r="L486" s="12" t="s">
        <v>2775</v>
      </c>
      <c r="M486" s="12" t="s">
        <v>2776</v>
      </c>
      <c r="N486" s="12" t="s">
        <v>101</v>
      </c>
      <c r="O486" s="12" t="s">
        <v>102</v>
      </c>
      <c r="P486" s="12" t="s">
        <v>103</v>
      </c>
      <c r="Q486" s="12" t="s">
        <v>104</v>
      </c>
      <c r="R486" s="14" t="n">
        <v>10.7</v>
      </c>
      <c r="S486" s="14" t="s">
        <v>105</v>
      </c>
      <c r="T486" s="14" t="s">
        <v>106</v>
      </c>
      <c r="U486" s="14" t="n">
        <v>2024</v>
      </c>
      <c r="V486" s="12" t="s">
        <v>157</v>
      </c>
      <c r="W486" s="14"/>
      <c r="X486" s="15" t="n">
        <f aca="false">IF(OR($S486="%",$R486=""),"",$R486*INDEX(Cambi!$J$2:$J$5,MATCH($S486,Cambi!$I$2:$I$5,0))/IF($T486="EUR",1,INDEX(Cambi!$D:$D,MATCH($T486&amp;"|"&amp;$U486,Cambi!$C:$C,0))))</f>
        <v>10.7</v>
      </c>
      <c r="Y486" s="12" t="s">
        <v>108</v>
      </c>
      <c r="Z486" s="12" t="s">
        <v>109</v>
      </c>
      <c r="AA486" s="12" t="s">
        <v>109</v>
      </c>
      <c r="AB486" s="16" t="s">
        <v>394</v>
      </c>
      <c r="AC486" s="16" t="s">
        <v>1438</v>
      </c>
      <c r="AD486" s="12" t="s">
        <v>112</v>
      </c>
      <c r="AE486" s="12" t="s">
        <v>2777</v>
      </c>
      <c r="AF486" s="12" t="s">
        <v>2778</v>
      </c>
      <c r="AG486" s="12" t="s">
        <v>115</v>
      </c>
      <c r="AH486" s="12" t="s">
        <v>116</v>
      </c>
      <c r="AI486" s="12" t="s">
        <v>117</v>
      </c>
      <c r="AJ486" s="12" t="s">
        <v>2780</v>
      </c>
      <c r="AK486" s="12" t="s">
        <v>4</v>
      </c>
    </row>
    <row r="487" customFormat="false" ht="15" hidden="false" customHeight="false" outlineLevel="0" collapsed="false">
      <c r="A487" s="11" t="n">
        <v>486</v>
      </c>
      <c r="B487" s="12" t="s">
        <v>2781</v>
      </c>
      <c r="C487" s="12" t="s">
        <v>2716</v>
      </c>
      <c r="D487" s="12" t="s">
        <v>2717</v>
      </c>
      <c r="E487" s="12" t="s">
        <v>759</v>
      </c>
      <c r="F487" s="12" t="s">
        <v>2235</v>
      </c>
      <c r="G487" s="12" t="s">
        <v>1876</v>
      </c>
      <c r="H487" s="12" t="s">
        <v>2782</v>
      </c>
      <c r="I487" s="12" t="s">
        <v>2783</v>
      </c>
      <c r="J487" s="13" t="s">
        <v>2784</v>
      </c>
      <c r="K487" s="12" t="s">
        <v>2785</v>
      </c>
      <c r="L487" s="12" t="s">
        <v>2786</v>
      </c>
      <c r="M487" s="12" t="s">
        <v>2787</v>
      </c>
      <c r="N487" s="12" t="s">
        <v>352</v>
      </c>
      <c r="O487" s="12" t="s">
        <v>213</v>
      </c>
      <c r="P487" s="12" t="s">
        <v>103</v>
      </c>
      <c r="Q487" s="12" t="s">
        <v>104</v>
      </c>
      <c r="R487" s="14" t="n">
        <v>13.3</v>
      </c>
      <c r="S487" s="14" t="s">
        <v>197</v>
      </c>
      <c r="T487" s="14"/>
      <c r="U487" s="14" t="n">
        <v>2025</v>
      </c>
      <c r="V487" s="12" t="s">
        <v>107</v>
      </c>
      <c r="W487" s="14"/>
      <c r="X487" s="15" t="str">
        <f aca="false">IF(OR($S487="%",$R487=""),"",$R487*INDEX(Cambi!$J$2:$J$5,MATCH($S487,Cambi!$I$2:$I$5,0))/IF($T487="EUR",1,INDEX(Cambi!$D:$D,MATCH($T487&amp;"|"&amp;$U487,Cambi!$C:$C,0))))</f>
        <v/>
      </c>
      <c r="Y487" s="12" t="s">
        <v>654</v>
      </c>
      <c r="Z487" s="12" t="s">
        <v>285</v>
      </c>
      <c r="AA487" s="12" t="s">
        <v>2788</v>
      </c>
      <c r="AB487" s="16" t="s">
        <v>679</v>
      </c>
      <c r="AC487" s="16" t="s">
        <v>2789</v>
      </c>
      <c r="AD487" s="12" t="s">
        <v>201</v>
      </c>
      <c r="AE487" s="12" t="s">
        <v>2790</v>
      </c>
      <c r="AF487" s="12" t="s">
        <v>2791</v>
      </c>
      <c r="AG487" s="12" t="s">
        <v>498</v>
      </c>
      <c r="AH487" s="12" t="s">
        <v>116</v>
      </c>
      <c r="AI487" s="12" t="s">
        <v>117</v>
      </c>
      <c r="AJ487" s="12" t="s">
        <v>2792</v>
      </c>
      <c r="AK487" s="12" t="s">
        <v>4</v>
      </c>
    </row>
    <row r="488" customFormat="false" ht="15" hidden="false" customHeight="false" outlineLevel="0" collapsed="false">
      <c r="A488" s="11" t="n">
        <v>487</v>
      </c>
      <c r="B488" s="12" t="s">
        <v>2793</v>
      </c>
      <c r="C488" s="12" t="s">
        <v>2716</v>
      </c>
      <c r="D488" s="12" t="s">
        <v>2717</v>
      </c>
      <c r="E488" s="12" t="s">
        <v>759</v>
      </c>
      <c r="F488" s="12" t="s">
        <v>2794</v>
      </c>
      <c r="G488" s="12" t="s">
        <v>771</v>
      </c>
      <c r="H488" s="12" t="s">
        <v>2795</v>
      </c>
      <c r="I488" s="12" t="s">
        <v>808</v>
      </c>
      <c r="J488" s="13" t="s">
        <v>2796</v>
      </c>
      <c r="K488" s="12"/>
      <c r="L488" s="12" t="s">
        <v>2797</v>
      </c>
      <c r="M488" s="12" t="s">
        <v>2798</v>
      </c>
      <c r="N488" s="12" t="s">
        <v>101</v>
      </c>
      <c r="O488" s="12" t="s">
        <v>102</v>
      </c>
      <c r="P488" s="12" t="s">
        <v>103</v>
      </c>
      <c r="Q488" s="12" t="s">
        <v>104</v>
      </c>
      <c r="R488" s="14" t="n">
        <v>10.95</v>
      </c>
      <c r="S488" s="14" t="s">
        <v>105</v>
      </c>
      <c r="T488" s="14" t="s">
        <v>106</v>
      </c>
      <c r="U488" s="14" t="n">
        <v>2023</v>
      </c>
      <c r="V488" s="12" t="s">
        <v>157</v>
      </c>
      <c r="W488" s="14"/>
      <c r="X488" s="15" t="n">
        <f aca="false">IF(OR($S488="%",$R488=""),"",$R488*INDEX(Cambi!$J$2:$J$5,MATCH($S488,Cambi!$I$2:$I$5,0))/IF($T488="EUR",1,INDEX(Cambi!$D:$D,MATCH($T488&amp;"|"&amp;$U488,Cambi!$C:$C,0))))</f>
        <v>10.95</v>
      </c>
      <c r="Y488" s="12" t="s">
        <v>108</v>
      </c>
      <c r="Z488" s="12" t="s">
        <v>109</v>
      </c>
      <c r="AA488" s="12" t="s">
        <v>109</v>
      </c>
      <c r="AB488" s="16" t="s">
        <v>394</v>
      </c>
      <c r="AC488" s="16" t="s">
        <v>1438</v>
      </c>
      <c r="AD488" s="12" t="s">
        <v>112</v>
      </c>
      <c r="AE488" s="12" t="s">
        <v>2799</v>
      </c>
      <c r="AF488" s="12" t="s">
        <v>2800</v>
      </c>
      <c r="AG488" s="12" t="s">
        <v>407</v>
      </c>
      <c r="AH488" s="12" t="s">
        <v>116</v>
      </c>
      <c r="AI488" s="12" t="s">
        <v>117</v>
      </c>
      <c r="AJ488" s="12" t="s">
        <v>2801</v>
      </c>
      <c r="AK488" s="12" t="s">
        <v>4</v>
      </c>
    </row>
    <row r="489" customFormat="false" ht="15" hidden="false" customHeight="false" outlineLevel="0" collapsed="false">
      <c r="A489" s="11" t="n">
        <v>488</v>
      </c>
      <c r="B489" s="12" t="s">
        <v>2793</v>
      </c>
      <c r="C489" s="12" t="s">
        <v>2716</v>
      </c>
      <c r="D489" s="12" t="s">
        <v>2717</v>
      </c>
      <c r="E489" s="12" t="s">
        <v>759</v>
      </c>
      <c r="F489" s="12" t="s">
        <v>2794</v>
      </c>
      <c r="G489" s="12" t="s">
        <v>771</v>
      </c>
      <c r="H489" s="12" t="s">
        <v>2795</v>
      </c>
      <c r="I489" s="12" t="s">
        <v>808</v>
      </c>
      <c r="J489" s="13" t="s">
        <v>2796</v>
      </c>
      <c r="K489" s="12"/>
      <c r="L489" s="12" t="s">
        <v>2802</v>
      </c>
      <c r="M489" s="12" t="s">
        <v>2803</v>
      </c>
      <c r="N489" s="12" t="s">
        <v>101</v>
      </c>
      <c r="O489" s="12" t="s">
        <v>102</v>
      </c>
      <c r="P489" s="12" t="s">
        <v>103</v>
      </c>
      <c r="Q489" s="12" t="s">
        <v>104</v>
      </c>
      <c r="R489" s="14" t="n">
        <v>8.284</v>
      </c>
      <c r="S489" s="14" t="s">
        <v>105</v>
      </c>
      <c r="T489" s="14" t="s">
        <v>106</v>
      </c>
      <c r="U489" s="14" t="n">
        <v>2023</v>
      </c>
      <c r="V489" s="12" t="s">
        <v>157</v>
      </c>
      <c r="W489" s="14"/>
      <c r="X489" s="15" t="n">
        <f aca="false">IF(OR($S489="%",$R489=""),"",$R489*INDEX(Cambi!$J$2:$J$5,MATCH($S489,Cambi!$I$2:$I$5,0))/IF($T489="EUR",1,INDEX(Cambi!$D:$D,MATCH($T489&amp;"|"&amp;$U489,Cambi!$C:$C,0))))</f>
        <v>8.284</v>
      </c>
      <c r="Y489" s="12" t="s">
        <v>108</v>
      </c>
      <c r="Z489" s="12" t="s">
        <v>109</v>
      </c>
      <c r="AA489" s="12" t="s">
        <v>109</v>
      </c>
      <c r="AB489" s="16" t="s">
        <v>394</v>
      </c>
      <c r="AC489" s="16" t="s">
        <v>1438</v>
      </c>
      <c r="AD489" s="12" t="s">
        <v>112</v>
      </c>
      <c r="AE489" s="12" t="s">
        <v>2799</v>
      </c>
      <c r="AF489" s="12" t="s">
        <v>2800</v>
      </c>
      <c r="AG489" s="12" t="s">
        <v>407</v>
      </c>
      <c r="AH489" s="12" t="s">
        <v>116</v>
      </c>
      <c r="AI489" s="12" t="s">
        <v>117</v>
      </c>
      <c r="AJ489" s="12" t="s">
        <v>2804</v>
      </c>
      <c r="AK489" s="12" t="s">
        <v>4</v>
      </c>
    </row>
    <row r="490" customFormat="false" ht="15" hidden="false" customHeight="false" outlineLevel="0" collapsed="false">
      <c r="A490" s="11" t="n">
        <v>489</v>
      </c>
      <c r="B490" s="12" t="s">
        <v>2805</v>
      </c>
      <c r="C490" s="12" t="s">
        <v>2716</v>
      </c>
      <c r="D490" s="12" t="s">
        <v>2717</v>
      </c>
      <c r="E490" s="12" t="s">
        <v>759</v>
      </c>
      <c r="F490" s="12" t="s">
        <v>2794</v>
      </c>
      <c r="G490" s="12" t="s">
        <v>771</v>
      </c>
      <c r="H490" s="12" t="s">
        <v>2806</v>
      </c>
      <c r="I490" s="12" t="s">
        <v>847</v>
      </c>
      <c r="J490" s="13" t="s">
        <v>2807</v>
      </c>
      <c r="K490" s="12"/>
      <c r="L490" s="12" t="s">
        <v>2808</v>
      </c>
      <c r="M490" s="12" t="s">
        <v>2809</v>
      </c>
      <c r="N490" s="12" t="s">
        <v>101</v>
      </c>
      <c r="O490" s="12" t="s">
        <v>102</v>
      </c>
      <c r="P490" s="12" t="s">
        <v>103</v>
      </c>
      <c r="Q490" s="12" t="s">
        <v>104</v>
      </c>
      <c r="R490" s="14" t="n">
        <v>10.7</v>
      </c>
      <c r="S490" s="14" t="s">
        <v>105</v>
      </c>
      <c r="T490" s="14" t="s">
        <v>106</v>
      </c>
      <c r="U490" s="14" t="n">
        <v>2025</v>
      </c>
      <c r="V490" s="12" t="s">
        <v>157</v>
      </c>
      <c r="W490" s="14"/>
      <c r="X490" s="15" t="n">
        <f aca="false">IF(OR($S490="%",$R490=""),"",$R490*INDEX(Cambi!$J$2:$J$5,MATCH($S490,Cambi!$I$2:$I$5,0))/IF($T490="EUR",1,INDEX(Cambi!$D:$D,MATCH($T490&amp;"|"&amp;$U490,Cambi!$C:$C,0))))</f>
        <v>10.7</v>
      </c>
      <c r="Y490" s="12" t="s">
        <v>108</v>
      </c>
      <c r="Z490" s="12" t="s">
        <v>109</v>
      </c>
      <c r="AA490" s="12" t="s">
        <v>109</v>
      </c>
      <c r="AB490" s="16" t="s">
        <v>394</v>
      </c>
      <c r="AC490" s="16" t="s">
        <v>1438</v>
      </c>
      <c r="AD490" s="12" t="s">
        <v>112</v>
      </c>
      <c r="AE490" s="12" t="s">
        <v>2810</v>
      </c>
      <c r="AF490" s="12" t="s">
        <v>2811</v>
      </c>
      <c r="AG490" s="12" t="s">
        <v>407</v>
      </c>
      <c r="AH490" s="12" t="s">
        <v>116</v>
      </c>
      <c r="AI490" s="12" t="s">
        <v>117</v>
      </c>
      <c r="AJ490" s="12" t="s">
        <v>2812</v>
      </c>
      <c r="AK490" s="12" t="s">
        <v>4</v>
      </c>
    </row>
    <row r="491" customFormat="false" ht="15" hidden="false" customHeight="false" outlineLevel="0" collapsed="false">
      <c r="A491" s="11" t="n">
        <v>490</v>
      </c>
      <c r="B491" s="12" t="s">
        <v>2805</v>
      </c>
      <c r="C491" s="12" t="s">
        <v>2716</v>
      </c>
      <c r="D491" s="12" t="s">
        <v>2717</v>
      </c>
      <c r="E491" s="12" t="s">
        <v>759</v>
      </c>
      <c r="F491" s="12" t="s">
        <v>2794</v>
      </c>
      <c r="G491" s="12" t="s">
        <v>771</v>
      </c>
      <c r="H491" s="12" t="s">
        <v>2806</v>
      </c>
      <c r="I491" s="12" t="s">
        <v>847</v>
      </c>
      <c r="J491" s="13" t="s">
        <v>2807</v>
      </c>
      <c r="K491" s="12"/>
      <c r="L491" s="12" t="s">
        <v>2813</v>
      </c>
      <c r="M491" s="12" t="s">
        <v>2814</v>
      </c>
      <c r="N491" s="12" t="s">
        <v>101</v>
      </c>
      <c r="O491" s="12" t="s">
        <v>102</v>
      </c>
      <c r="P491" s="12" t="s">
        <v>103</v>
      </c>
      <c r="Q491" s="12" t="s">
        <v>104</v>
      </c>
      <c r="R491" s="14" t="n">
        <v>6.373</v>
      </c>
      <c r="S491" s="14" t="s">
        <v>105</v>
      </c>
      <c r="T491" s="14" t="s">
        <v>106</v>
      </c>
      <c r="U491" s="14" t="n">
        <v>2025</v>
      </c>
      <c r="V491" s="12" t="s">
        <v>157</v>
      </c>
      <c r="W491" s="14"/>
      <c r="X491" s="15" t="n">
        <f aca="false">IF(OR($S491="%",$R491=""),"",$R491*INDEX(Cambi!$J$2:$J$5,MATCH($S491,Cambi!$I$2:$I$5,0))/IF($T491="EUR",1,INDEX(Cambi!$D:$D,MATCH($T491&amp;"|"&amp;$U491,Cambi!$C:$C,0))))</f>
        <v>6.373</v>
      </c>
      <c r="Y491" s="12" t="s">
        <v>108</v>
      </c>
      <c r="Z491" s="12" t="s">
        <v>109</v>
      </c>
      <c r="AA491" s="12" t="s">
        <v>109</v>
      </c>
      <c r="AB491" s="16" t="s">
        <v>394</v>
      </c>
      <c r="AC491" s="16" t="s">
        <v>1438</v>
      </c>
      <c r="AD491" s="12" t="s">
        <v>112</v>
      </c>
      <c r="AE491" s="12" t="s">
        <v>2810</v>
      </c>
      <c r="AF491" s="12" t="s">
        <v>2811</v>
      </c>
      <c r="AG491" s="12" t="s">
        <v>407</v>
      </c>
      <c r="AH491" s="12" t="s">
        <v>116</v>
      </c>
      <c r="AI491" s="12" t="s">
        <v>117</v>
      </c>
      <c r="AJ491" s="12" t="s">
        <v>2815</v>
      </c>
      <c r="AK491" s="12" t="s">
        <v>4</v>
      </c>
    </row>
    <row r="492" customFormat="false" ht="15" hidden="false" customHeight="false" outlineLevel="0" collapsed="false">
      <c r="A492" s="11" t="n">
        <v>491</v>
      </c>
      <c r="B492" s="12" t="s">
        <v>2816</v>
      </c>
      <c r="C492" s="12" t="s">
        <v>2716</v>
      </c>
      <c r="D492" s="12" t="s">
        <v>2717</v>
      </c>
      <c r="E492" s="12" t="s">
        <v>759</v>
      </c>
      <c r="F492" s="12" t="s">
        <v>2817</v>
      </c>
      <c r="G492" s="12" t="s">
        <v>830</v>
      </c>
      <c r="H492" s="12" t="s">
        <v>2818</v>
      </c>
      <c r="I492" s="12" t="s">
        <v>181</v>
      </c>
      <c r="J492" s="13" t="s">
        <v>2819</v>
      </c>
      <c r="K492" s="12"/>
      <c r="L492" s="12" t="s">
        <v>2820</v>
      </c>
      <c r="M492" s="12" t="s">
        <v>2821</v>
      </c>
      <c r="N492" s="12" t="s">
        <v>352</v>
      </c>
      <c r="O492" s="12" t="s">
        <v>102</v>
      </c>
      <c r="P492" s="12" t="s">
        <v>155</v>
      </c>
      <c r="Q492" s="12" t="s">
        <v>2822</v>
      </c>
      <c r="R492" s="14" t="n">
        <v>186.2</v>
      </c>
      <c r="S492" s="14" t="s">
        <v>105</v>
      </c>
      <c r="T492" s="14" t="s">
        <v>653</v>
      </c>
      <c r="U492" s="14" t="n">
        <v>2024</v>
      </c>
      <c r="V492" s="12" t="s">
        <v>157</v>
      </c>
      <c r="W492" s="14" t="s">
        <v>2823</v>
      </c>
      <c r="X492" s="15" t="n">
        <f aca="false">IF(OR($S492="%",$R492=""),"",$R492*INDEX(Cambi!$J$2:$J$5,MATCH($S492,Cambi!$I$2:$I$5,0))/IF($T492="EUR",1,INDEX(Cambi!$D:$D,MATCH($T492&amp;"|"&amp;$U492,Cambi!$C:$C,0))))</f>
        <v>172.025129342203</v>
      </c>
      <c r="Y492" s="12" t="s">
        <v>109</v>
      </c>
      <c r="Z492" s="12" t="s">
        <v>109</v>
      </c>
      <c r="AA492" s="12" t="s">
        <v>2822</v>
      </c>
      <c r="AB492" s="16" t="s">
        <v>110</v>
      </c>
      <c r="AC492" s="16" t="s">
        <v>836</v>
      </c>
      <c r="AD492" s="12" t="s">
        <v>112</v>
      </c>
      <c r="AE492" s="12" t="s">
        <v>282</v>
      </c>
      <c r="AF492" s="12" t="s">
        <v>2824</v>
      </c>
      <c r="AG492" s="12" t="s">
        <v>284</v>
      </c>
      <c r="AH492" s="12" t="s">
        <v>838</v>
      </c>
      <c r="AI492" s="12" t="s">
        <v>117</v>
      </c>
      <c r="AJ492" s="12" t="s">
        <v>2825</v>
      </c>
      <c r="AK492" s="12" t="s">
        <v>4</v>
      </c>
    </row>
    <row r="493" customFormat="false" ht="15" hidden="false" customHeight="false" outlineLevel="0" collapsed="false">
      <c r="A493" s="11" t="n">
        <v>492</v>
      </c>
      <c r="B493" s="12" t="s">
        <v>2826</v>
      </c>
      <c r="C493" s="12" t="s">
        <v>2716</v>
      </c>
      <c r="D493" s="12" t="s">
        <v>2717</v>
      </c>
      <c r="E493" s="12" t="s">
        <v>759</v>
      </c>
      <c r="F493" s="12" t="s">
        <v>2817</v>
      </c>
      <c r="G493" s="12" t="s">
        <v>830</v>
      </c>
      <c r="H493" s="12" t="s">
        <v>2827</v>
      </c>
      <c r="I493" s="12" t="s">
        <v>847</v>
      </c>
      <c r="J493" s="13" t="s">
        <v>2828</v>
      </c>
      <c r="K493" s="12"/>
      <c r="L493" s="12" t="s">
        <v>2820</v>
      </c>
      <c r="M493" s="12" t="s">
        <v>2829</v>
      </c>
      <c r="N493" s="12" t="s">
        <v>352</v>
      </c>
      <c r="O493" s="12" t="s">
        <v>102</v>
      </c>
      <c r="P493" s="12" t="s">
        <v>155</v>
      </c>
      <c r="Q493" s="12" t="s">
        <v>2822</v>
      </c>
      <c r="R493" s="14" t="n">
        <v>372.2</v>
      </c>
      <c r="S493" s="14" t="s">
        <v>105</v>
      </c>
      <c r="T493" s="14" t="s">
        <v>653</v>
      </c>
      <c r="U493" s="14" t="n">
        <v>2025</v>
      </c>
      <c r="V493" s="12" t="s">
        <v>157</v>
      </c>
      <c r="W493" s="14" t="s">
        <v>2830</v>
      </c>
      <c r="X493" s="15" t="n">
        <f aca="false">IF(OR($S493="%",$R493=""),"",$R493*INDEX(Cambi!$J$2:$J$5,MATCH($S493,Cambi!$I$2:$I$5,0))/IF($T493="EUR",1,INDEX(Cambi!$D:$D,MATCH($T493&amp;"|"&amp;$U493,Cambi!$C:$C,0))))</f>
        <v>329.380530973451</v>
      </c>
      <c r="Y493" s="12" t="s">
        <v>109</v>
      </c>
      <c r="Z493" s="12" t="s">
        <v>109</v>
      </c>
      <c r="AA493" s="12" t="s">
        <v>2822</v>
      </c>
      <c r="AB493" s="16" t="s">
        <v>110</v>
      </c>
      <c r="AC493" s="16" t="s">
        <v>836</v>
      </c>
      <c r="AD493" s="12" t="s">
        <v>112</v>
      </c>
      <c r="AE493" s="12" t="s">
        <v>282</v>
      </c>
      <c r="AF493" s="12" t="s">
        <v>2831</v>
      </c>
      <c r="AG493" s="12" t="s">
        <v>284</v>
      </c>
      <c r="AH493" s="12" t="s">
        <v>838</v>
      </c>
      <c r="AI493" s="12" t="s">
        <v>117</v>
      </c>
      <c r="AJ493" s="12" t="s">
        <v>266</v>
      </c>
      <c r="AK493" s="12" t="s">
        <v>4</v>
      </c>
    </row>
    <row r="494" customFormat="false" ht="15" hidden="false" customHeight="false" outlineLevel="0" collapsed="false">
      <c r="A494" s="11" t="n">
        <v>493</v>
      </c>
      <c r="B494" s="12" t="s">
        <v>2826</v>
      </c>
      <c r="C494" s="12" t="s">
        <v>2716</v>
      </c>
      <c r="D494" s="12" t="s">
        <v>2717</v>
      </c>
      <c r="E494" s="12" t="s">
        <v>759</v>
      </c>
      <c r="F494" s="12" t="s">
        <v>2817</v>
      </c>
      <c r="G494" s="12" t="s">
        <v>830</v>
      </c>
      <c r="H494" s="12" t="s">
        <v>2827</v>
      </c>
      <c r="I494" s="12" t="s">
        <v>847</v>
      </c>
      <c r="J494" s="13" t="s">
        <v>2828</v>
      </c>
      <c r="K494" s="12"/>
      <c r="L494" s="12" t="s">
        <v>2820</v>
      </c>
      <c r="M494" s="12" t="s">
        <v>2829</v>
      </c>
      <c r="N494" s="12" t="s">
        <v>352</v>
      </c>
      <c r="O494" s="12" t="s">
        <v>102</v>
      </c>
      <c r="P494" s="12" t="s">
        <v>155</v>
      </c>
      <c r="Q494" s="12" t="s">
        <v>2822</v>
      </c>
      <c r="R494" s="14" t="n">
        <v>436.3</v>
      </c>
      <c r="S494" s="14" t="s">
        <v>105</v>
      </c>
      <c r="T494" s="14" t="s">
        <v>653</v>
      </c>
      <c r="U494" s="14" t="n">
        <v>2026</v>
      </c>
      <c r="V494" s="12" t="s">
        <v>198</v>
      </c>
      <c r="W494" s="14" t="s">
        <v>2830</v>
      </c>
      <c r="X494" s="15" t="n">
        <f aca="false">IF(OR($S494="%",$R494=""),"",$R494*INDEX(Cambi!$J$2:$J$5,MATCH($S494,Cambi!$I$2:$I$5,0))/IF($T494="EUR",1,INDEX(Cambi!$D:$D,MATCH($T494&amp;"|"&amp;$U494,Cambi!$C:$C,0))))</f>
        <v>386.106194690266</v>
      </c>
      <c r="Y494" s="12" t="s">
        <v>109</v>
      </c>
      <c r="Z494" s="12" t="s">
        <v>109</v>
      </c>
      <c r="AA494" s="12" t="s">
        <v>2822</v>
      </c>
      <c r="AB494" s="16" t="s">
        <v>110</v>
      </c>
      <c r="AC494" s="16" t="s">
        <v>836</v>
      </c>
      <c r="AD494" s="12" t="s">
        <v>112</v>
      </c>
      <c r="AE494" s="12" t="s">
        <v>282</v>
      </c>
      <c r="AF494" s="12" t="s">
        <v>2832</v>
      </c>
      <c r="AG494" s="12" t="s">
        <v>284</v>
      </c>
      <c r="AH494" s="12" t="s">
        <v>838</v>
      </c>
      <c r="AI494" s="12" t="s">
        <v>117</v>
      </c>
      <c r="AJ494" s="12" t="s">
        <v>266</v>
      </c>
      <c r="AK494" s="12" t="s">
        <v>4</v>
      </c>
    </row>
    <row r="495" customFormat="false" ht="15" hidden="false" customHeight="false" outlineLevel="0" collapsed="false">
      <c r="A495" s="11" t="n">
        <v>494</v>
      </c>
      <c r="B495" s="12" t="s">
        <v>2826</v>
      </c>
      <c r="C495" s="12" t="s">
        <v>2716</v>
      </c>
      <c r="D495" s="12" t="s">
        <v>2717</v>
      </c>
      <c r="E495" s="12" t="s">
        <v>759</v>
      </c>
      <c r="F495" s="12" t="s">
        <v>2817</v>
      </c>
      <c r="G495" s="12" t="s">
        <v>830</v>
      </c>
      <c r="H495" s="12" t="s">
        <v>2827</v>
      </c>
      <c r="I495" s="12" t="s">
        <v>847</v>
      </c>
      <c r="J495" s="13" t="s">
        <v>2828</v>
      </c>
      <c r="K495" s="12"/>
      <c r="L495" s="12" t="s">
        <v>2820</v>
      </c>
      <c r="M495" s="12" t="s">
        <v>2829</v>
      </c>
      <c r="N495" s="12" t="s">
        <v>352</v>
      </c>
      <c r="O495" s="12" t="s">
        <v>102</v>
      </c>
      <c r="P495" s="12" t="s">
        <v>155</v>
      </c>
      <c r="Q495" s="12" t="s">
        <v>2822</v>
      </c>
      <c r="R495" s="14" t="n">
        <v>816.4</v>
      </c>
      <c r="S495" s="14" t="s">
        <v>105</v>
      </c>
      <c r="T495" s="14" t="s">
        <v>653</v>
      </c>
      <c r="U495" s="14" t="n">
        <v>2030</v>
      </c>
      <c r="V495" s="12" t="s">
        <v>107</v>
      </c>
      <c r="W495" s="14" t="s">
        <v>2830</v>
      </c>
      <c r="X495" s="15" t="n">
        <f aca="false">IF(OR($S495="%",$R495=""),"",$R495*INDEX(Cambi!$J$2:$J$5,MATCH($S495,Cambi!$I$2:$I$5,0))/IF($T495="EUR",1,INDEX(Cambi!$D:$D,MATCH($T495&amp;"|"&amp;$U495,Cambi!$C:$C,0))))</f>
        <v>722.477876106195</v>
      </c>
      <c r="Y495" s="12" t="s">
        <v>109</v>
      </c>
      <c r="Z495" s="12" t="s">
        <v>109</v>
      </c>
      <c r="AA495" s="12" t="s">
        <v>2822</v>
      </c>
      <c r="AB495" s="16" t="s">
        <v>110</v>
      </c>
      <c r="AC495" s="16" t="s">
        <v>836</v>
      </c>
      <c r="AD495" s="12" t="s">
        <v>112</v>
      </c>
      <c r="AE495" s="12" t="s">
        <v>282</v>
      </c>
      <c r="AF495" s="12" t="s">
        <v>2833</v>
      </c>
      <c r="AG495" s="12" t="s">
        <v>284</v>
      </c>
      <c r="AH495" s="12" t="s">
        <v>838</v>
      </c>
      <c r="AI495" s="12" t="s">
        <v>117</v>
      </c>
      <c r="AJ495" s="12" t="s">
        <v>266</v>
      </c>
      <c r="AK495" s="12" t="s">
        <v>4</v>
      </c>
    </row>
    <row r="496" customFormat="false" ht="15" hidden="false" customHeight="false" outlineLevel="0" collapsed="false">
      <c r="A496" s="11" t="n">
        <v>495</v>
      </c>
      <c r="B496" s="12" t="s">
        <v>2834</v>
      </c>
      <c r="C496" s="12" t="s">
        <v>2716</v>
      </c>
      <c r="D496" s="12" t="s">
        <v>2717</v>
      </c>
      <c r="E496" s="12" t="s">
        <v>759</v>
      </c>
      <c r="F496" s="12" t="s">
        <v>2835</v>
      </c>
      <c r="G496" s="12" t="s">
        <v>1055</v>
      </c>
      <c r="H496" s="12" t="s">
        <v>2836</v>
      </c>
      <c r="I496" s="12" t="s">
        <v>2837</v>
      </c>
      <c r="J496" s="13" t="s">
        <v>2838</v>
      </c>
      <c r="K496" s="12" t="s">
        <v>2839</v>
      </c>
      <c r="L496" s="12" t="s">
        <v>2840</v>
      </c>
      <c r="M496" s="12" t="s">
        <v>2841</v>
      </c>
      <c r="N496" s="12" t="s">
        <v>956</v>
      </c>
      <c r="O496" s="12" t="s">
        <v>102</v>
      </c>
      <c r="P496" s="12" t="s">
        <v>103</v>
      </c>
      <c r="Q496" s="12" t="s">
        <v>104</v>
      </c>
      <c r="R496" s="14" t="n">
        <v>2.7</v>
      </c>
      <c r="S496" s="14" t="s">
        <v>129</v>
      </c>
      <c r="T496" s="14" t="s">
        <v>106</v>
      </c>
      <c r="U496" s="14" t="n">
        <v>2023</v>
      </c>
      <c r="V496" s="12" t="s">
        <v>157</v>
      </c>
      <c r="W496" s="14"/>
      <c r="X496" s="15" t="n">
        <f aca="false">IF(OR($S496="%",$R496=""),"",$R496*INDEX(Cambi!$J$2:$J$5,MATCH($S496,Cambi!$I$2:$I$5,0))/IF($T496="EUR",1,INDEX(Cambi!$D:$D,MATCH($T496&amp;"|"&amp;$U496,Cambi!$C:$C,0))))</f>
        <v>2700</v>
      </c>
      <c r="Y496" s="12" t="s">
        <v>109</v>
      </c>
      <c r="Z496" s="12" t="s">
        <v>285</v>
      </c>
      <c r="AA496" s="12" t="s">
        <v>2723</v>
      </c>
      <c r="AB496" s="16" t="s">
        <v>679</v>
      </c>
      <c r="AC496" s="16" t="s">
        <v>2842</v>
      </c>
      <c r="AD496" s="12" t="s">
        <v>281</v>
      </c>
      <c r="AE496" s="12" t="s">
        <v>2843</v>
      </c>
      <c r="AF496" s="12" t="s">
        <v>2844</v>
      </c>
      <c r="AG496" s="12" t="s">
        <v>498</v>
      </c>
      <c r="AH496" s="12" t="s">
        <v>499</v>
      </c>
      <c r="AI496" s="12" t="s">
        <v>285</v>
      </c>
      <c r="AJ496" s="12" t="s">
        <v>2845</v>
      </c>
      <c r="AK496" s="12" t="s">
        <v>4</v>
      </c>
    </row>
    <row r="497" customFormat="false" ht="15" hidden="false" customHeight="false" outlineLevel="0" collapsed="false">
      <c r="A497" s="11" t="n">
        <v>496</v>
      </c>
      <c r="B497" s="12" t="s">
        <v>2834</v>
      </c>
      <c r="C497" s="12" t="s">
        <v>2716</v>
      </c>
      <c r="D497" s="12" t="s">
        <v>2717</v>
      </c>
      <c r="E497" s="12" t="s">
        <v>759</v>
      </c>
      <c r="F497" s="12" t="s">
        <v>2835</v>
      </c>
      <c r="G497" s="12" t="s">
        <v>1055</v>
      </c>
      <c r="H497" s="12" t="s">
        <v>2836</v>
      </c>
      <c r="I497" s="12" t="s">
        <v>2837</v>
      </c>
      <c r="J497" s="13" t="s">
        <v>2838</v>
      </c>
      <c r="K497" s="12" t="s">
        <v>2839</v>
      </c>
      <c r="L497" s="12" t="s">
        <v>2846</v>
      </c>
      <c r="M497" s="12" t="s">
        <v>2847</v>
      </c>
      <c r="N497" s="12" t="s">
        <v>956</v>
      </c>
      <c r="O497" s="12" t="s">
        <v>102</v>
      </c>
      <c r="P497" s="12" t="s">
        <v>103</v>
      </c>
      <c r="Q497" s="12" t="s">
        <v>104</v>
      </c>
      <c r="R497" s="14" t="n">
        <v>1.2</v>
      </c>
      <c r="S497" s="14" t="s">
        <v>129</v>
      </c>
      <c r="T497" s="14" t="s">
        <v>106</v>
      </c>
      <c r="U497" s="14" t="n">
        <v>2023</v>
      </c>
      <c r="V497" s="12" t="s">
        <v>157</v>
      </c>
      <c r="W497" s="14"/>
      <c r="X497" s="15" t="n">
        <f aca="false">IF(OR($S497="%",$R497=""),"",$R497*INDEX(Cambi!$J$2:$J$5,MATCH($S497,Cambi!$I$2:$I$5,0))/IF($T497="EUR",1,INDEX(Cambi!$D:$D,MATCH($T497&amp;"|"&amp;$U497,Cambi!$C:$C,0))))</f>
        <v>1200</v>
      </c>
      <c r="Y497" s="12" t="s">
        <v>109</v>
      </c>
      <c r="Z497" s="12" t="s">
        <v>285</v>
      </c>
      <c r="AA497" s="12" t="s">
        <v>2723</v>
      </c>
      <c r="AB497" s="16" t="s">
        <v>679</v>
      </c>
      <c r="AC497" s="16" t="s">
        <v>2842</v>
      </c>
      <c r="AD497" s="12" t="s">
        <v>281</v>
      </c>
      <c r="AE497" s="12" t="s">
        <v>2843</v>
      </c>
      <c r="AF497" s="12" t="s">
        <v>2844</v>
      </c>
      <c r="AG497" s="12" t="s">
        <v>498</v>
      </c>
      <c r="AH497" s="12" t="s">
        <v>499</v>
      </c>
      <c r="AI497" s="12" t="s">
        <v>285</v>
      </c>
      <c r="AJ497" s="12" t="s">
        <v>2848</v>
      </c>
      <c r="AK497" s="12" t="s">
        <v>4</v>
      </c>
    </row>
    <row r="498" customFormat="false" ht="15" hidden="false" customHeight="false" outlineLevel="0" collapsed="false">
      <c r="A498" s="11" t="n">
        <v>497</v>
      </c>
      <c r="B498" s="12" t="s">
        <v>2849</v>
      </c>
      <c r="C498" s="12" t="s">
        <v>2850</v>
      </c>
      <c r="D498" s="12" t="s">
        <v>2851</v>
      </c>
      <c r="E498" s="12" t="s">
        <v>759</v>
      </c>
      <c r="F498" s="12" t="s">
        <v>2852</v>
      </c>
      <c r="G498" s="12" t="s">
        <v>771</v>
      </c>
      <c r="H498" s="12" t="s">
        <v>2853</v>
      </c>
      <c r="I498" s="12" t="s">
        <v>808</v>
      </c>
      <c r="J498" s="13" t="s">
        <v>2854</v>
      </c>
      <c r="K498" s="12"/>
      <c r="L498" s="12" t="s">
        <v>2855</v>
      </c>
      <c r="M498" s="12" t="s">
        <v>2856</v>
      </c>
      <c r="N498" s="12" t="s">
        <v>101</v>
      </c>
      <c r="O498" s="12" t="s">
        <v>102</v>
      </c>
      <c r="P498" s="12" t="s">
        <v>103</v>
      </c>
      <c r="Q498" s="12" t="s">
        <v>104</v>
      </c>
      <c r="R498" s="14" t="n">
        <v>72.5925</v>
      </c>
      <c r="S498" s="14" t="s">
        <v>105</v>
      </c>
      <c r="T498" s="14" t="s">
        <v>106</v>
      </c>
      <c r="U498" s="14" t="n">
        <v>2023</v>
      </c>
      <c r="V498" s="12" t="s">
        <v>157</v>
      </c>
      <c r="W498" s="14"/>
      <c r="X498" s="15" t="n">
        <f aca="false">IF(OR($S498="%",$R498=""),"",$R498*INDEX(Cambi!$J$2:$J$5,MATCH($S498,Cambi!$I$2:$I$5,0))/IF($T498="EUR",1,INDEX(Cambi!$D:$D,MATCH($T498&amp;"|"&amp;$U498,Cambi!$C:$C,0))))</f>
        <v>72.5925</v>
      </c>
      <c r="Y498" s="12" t="s">
        <v>108</v>
      </c>
      <c r="Z498" s="12" t="s">
        <v>109</v>
      </c>
      <c r="AA498" s="12" t="s">
        <v>109</v>
      </c>
      <c r="AB498" s="16" t="s">
        <v>394</v>
      </c>
      <c r="AC498" s="16" t="s">
        <v>2857</v>
      </c>
      <c r="AD498" s="12" t="s">
        <v>112</v>
      </c>
      <c r="AE498" s="12" t="s">
        <v>2858</v>
      </c>
      <c r="AF498" s="12" t="s">
        <v>2859</v>
      </c>
      <c r="AG498" s="12" t="s">
        <v>115</v>
      </c>
      <c r="AH498" s="12" t="s">
        <v>116</v>
      </c>
      <c r="AI498" s="12" t="s">
        <v>117</v>
      </c>
      <c r="AJ498" s="12" t="s">
        <v>2860</v>
      </c>
      <c r="AK498" s="12" t="s">
        <v>4</v>
      </c>
    </row>
    <row r="499" customFormat="false" ht="15" hidden="false" customHeight="false" outlineLevel="0" collapsed="false">
      <c r="A499" s="11" t="n">
        <v>498</v>
      </c>
      <c r="B499" s="12" t="s">
        <v>2861</v>
      </c>
      <c r="C499" s="12" t="s">
        <v>2850</v>
      </c>
      <c r="D499" s="12" t="s">
        <v>2851</v>
      </c>
      <c r="E499" s="12" t="s">
        <v>759</v>
      </c>
      <c r="F499" s="12" t="s">
        <v>2852</v>
      </c>
      <c r="G499" s="12" t="s">
        <v>771</v>
      </c>
      <c r="H499" s="12" t="s">
        <v>2862</v>
      </c>
      <c r="I499" s="12" t="s">
        <v>2863</v>
      </c>
      <c r="J499" s="13" t="s">
        <v>2864</v>
      </c>
      <c r="K499" s="12"/>
      <c r="L499" s="12" t="s">
        <v>2865</v>
      </c>
      <c r="M499" s="12" t="s">
        <v>2866</v>
      </c>
      <c r="N499" s="12" t="s">
        <v>101</v>
      </c>
      <c r="O499" s="12" t="s">
        <v>102</v>
      </c>
      <c r="P499" s="12" t="s">
        <v>103</v>
      </c>
      <c r="Q499" s="12" t="s">
        <v>104</v>
      </c>
      <c r="R499" s="14" t="n">
        <v>347</v>
      </c>
      <c r="S499" s="14" t="s">
        <v>105</v>
      </c>
      <c r="T499" s="14" t="s">
        <v>106</v>
      </c>
      <c r="U499" s="14" t="n">
        <v>2026</v>
      </c>
      <c r="V499" s="12" t="s">
        <v>107</v>
      </c>
      <c r="W499" s="14"/>
      <c r="X499" s="15" t="n">
        <f aca="false">IF(OR($S499="%",$R499=""),"",$R499*INDEX(Cambi!$J$2:$J$5,MATCH($S499,Cambi!$I$2:$I$5,0))/IF($T499="EUR",1,INDEX(Cambi!$D:$D,MATCH($T499&amp;"|"&amp;$U499,Cambi!$C:$C,0))))</f>
        <v>347</v>
      </c>
      <c r="Y499" s="12" t="s">
        <v>108</v>
      </c>
      <c r="Z499" s="12" t="s">
        <v>109</v>
      </c>
      <c r="AA499" s="12" t="s">
        <v>109</v>
      </c>
      <c r="AB499" s="16" t="s">
        <v>394</v>
      </c>
      <c r="AC499" s="16" t="s">
        <v>2857</v>
      </c>
      <c r="AD499" s="12" t="s">
        <v>112</v>
      </c>
      <c r="AE499" s="12" t="s">
        <v>2858</v>
      </c>
      <c r="AF499" s="12" t="s">
        <v>2867</v>
      </c>
      <c r="AG499" s="12" t="s">
        <v>115</v>
      </c>
      <c r="AH499" s="12" t="s">
        <v>116</v>
      </c>
      <c r="AI499" s="12" t="s">
        <v>117</v>
      </c>
      <c r="AJ499" s="12" t="s">
        <v>2868</v>
      </c>
      <c r="AK499" s="12" t="s">
        <v>4</v>
      </c>
    </row>
    <row r="500" customFormat="false" ht="15" hidden="false" customHeight="false" outlineLevel="0" collapsed="false">
      <c r="A500" s="11" t="n">
        <v>499</v>
      </c>
      <c r="B500" s="12" t="s">
        <v>2869</v>
      </c>
      <c r="C500" s="12" t="s">
        <v>2850</v>
      </c>
      <c r="D500" s="12" t="s">
        <v>2851</v>
      </c>
      <c r="E500" s="12" t="s">
        <v>759</v>
      </c>
      <c r="F500" s="12" t="s">
        <v>2852</v>
      </c>
      <c r="G500" s="12" t="s">
        <v>771</v>
      </c>
      <c r="H500" s="12" t="s">
        <v>2870</v>
      </c>
      <c r="I500" s="12" t="s">
        <v>808</v>
      </c>
      <c r="J500" s="13" t="s">
        <v>2871</v>
      </c>
      <c r="K500" s="12"/>
      <c r="L500" s="12" t="s">
        <v>2872</v>
      </c>
      <c r="M500" s="12" t="s">
        <v>2873</v>
      </c>
      <c r="N500" s="12" t="s">
        <v>101</v>
      </c>
      <c r="O500" s="12" t="s">
        <v>102</v>
      </c>
      <c r="P500" s="12" t="s">
        <v>103</v>
      </c>
      <c r="Q500" s="12" t="s">
        <v>104</v>
      </c>
      <c r="R500" s="14" t="n">
        <v>66.7</v>
      </c>
      <c r="S500" s="14" t="s">
        <v>105</v>
      </c>
      <c r="T500" s="14" t="s">
        <v>106</v>
      </c>
      <c r="U500" s="14" t="n">
        <v>2023</v>
      </c>
      <c r="V500" s="12" t="s">
        <v>157</v>
      </c>
      <c r="W500" s="14"/>
      <c r="X500" s="15" t="n">
        <f aca="false">IF(OR($S500="%",$R500=""),"",$R500*INDEX(Cambi!$J$2:$J$5,MATCH($S500,Cambi!$I$2:$I$5,0))/IF($T500="EUR",1,INDEX(Cambi!$D:$D,MATCH($T500&amp;"|"&amp;$U500,Cambi!$C:$C,0))))</f>
        <v>66.7</v>
      </c>
      <c r="Y500" s="12" t="s">
        <v>108</v>
      </c>
      <c r="Z500" s="12" t="s">
        <v>109</v>
      </c>
      <c r="AA500" s="12" t="s">
        <v>109</v>
      </c>
      <c r="AB500" s="16" t="s">
        <v>394</v>
      </c>
      <c r="AC500" s="16" t="s">
        <v>2857</v>
      </c>
      <c r="AD500" s="12" t="s">
        <v>112</v>
      </c>
      <c r="AE500" s="12" t="s">
        <v>2858</v>
      </c>
      <c r="AF500" s="12" t="s">
        <v>2874</v>
      </c>
      <c r="AG500" s="12" t="s">
        <v>115</v>
      </c>
      <c r="AH500" s="12" t="s">
        <v>116</v>
      </c>
      <c r="AI500" s="12" t="s">
        <v>117</v>
      </c>
      <c r="AJ500" s="12" t="s">
        <v>2875</v>
      </c>
      <c r="AK500" s="12" t="s">
        <v>4</v>
      </c>
    </row>
    <row r="501" customFormat="false" ht="15" hidden="false" customHeight="false" outlineLevel="0" collapsed="false">
      <c r="A501" s="11" t="n">
        <v>500</v>
      </c>
      <c r="B501" s="12" t="s">
        <v>2869</v>
      </c>
      <c r="C501" s="12" t="s">
        <v>2850</v>
      </c>
      <c r="D501" s="12" t="s">
        <v>2851</v>
      </c>
      <c r="E501" s="12" t="s">
        <v>759</v>
      </c>
      <c r="F501" s="12" t="s">
        <v>2852</v>
      </c>
      <c r="G501" s="12" t="s">
        <v>771</v>
      </c>
      <c r="H501" s="12" t="s">
        <v>2870</v>
      </c>
      <c r="I501" s="12" t="s">
        <v>808</v>
      </c>
      <c r="J501" s="13" t="s">
        <v>2876</v>
      </c>
      <c r="K501" s="12"/>
      <c r="L501" s="12" t="s">
        <v>2877</v>
      </c>
      <c r="M501" s="12" t="s">
        <v>2878</v>
      </c>
      <c r="N501" s="12" t="s">
        <v>101</v>
      </c>
      <c r="O501" s="12" t="s">
        <v>102</v>
      </c>
      <c r="P501" s="12" t="s">
        <v>103</v>
      </c>
      <c r="Q501" s="12" t="s">
        <v>104</v>
      </c>
      <c r="R501" s="14" t="n">
        <v>623</v>
      </c>
      <c r="S501" s="14" t="s">
        <v>105</v>
      </c>
      <c r="T501" s="14" t="s">
        <v>106</v>
      </c>
      <c r="U501" s="14" t="n">
        <v>2026</v>
      </c>
      <c r="V501" s="12" t="s">
        <v>107</v>
      </c>
      <c r="W501" s="14"/>
      <c r="X501" s="15" t="n">
        <f aca="false">IF(OR($S501="%",$R501=""),"",$R501*INDEX(Cambi!$J$2:$J$5,MATCH($S501,Cambi!$I$2:$I$5,0))/IF($T501="EUR",1,INDEX(Cambi!$D:$D,MATCH($T501&amp;"|"&amp;$U501,Cambi!$C:$C,0))))</f>
        <v>623</v>
      </c>
      <c r="Y501" s="12" t="s">
        <v>130</v>
      </c>
      <c r="Z501" s="12" t="s">
        <v>109</v>
      </c>
      <c r="AA501" s="12" t="s">
        <v>109</v>
      </c>
      <c r="AB501" s="16" t="s">
        <v>394</v>
      </c>
      <c r="AC501" s="16" t="s">
        <v>2857</v>
      </c>
      <c r="AD501" s="12" t="s">
        <v>112</v>
      </c>
      <c r="AE501" s="12" t="s">
        <v>2858</v>
      </c>
      <c r="AF501" s="12" t="s">
        <v>2879</v>
      </c>
      <c r="AG501" s="12" t="s">
        <v>115</v>
      </c>
      <c r="AH501" s="12" t="s">
        <v>116</v>
      </c>
      <c r="AI501" s="12" t="s">
        <v>117</v>
      </c>
      <c r="AJ501" s="12" t="s">
        <v>2880</v>
      </c>
      <c r="AK501" s="12" t="s">
        <v>4</v>
      </c>
    </row>
    <row r="502" customFormat="false" ht="15" hidden="false" customHeight="false" outlineLevel="0" collapsed="false">
      <c r="A502" s="11" t="n">
        <v>501</v>
      </c>
      <c r="B502" s="12" t="s">
        <v>2881</v>
      </c>
      <c r="C502" s="12" t="s">
        <v>2850</v>
      </c>
      <c r="D502" s="12" t="s">
        <v>2851</v>
      </c>
      <c r="E502" s="12" t="s">
        <v>759</v>
      </c>
      <c r="F502" s="12" t="s">
        <v>2852</v>
      </c>
      <c r="G502" s="12" t="s">
        <v>771</v>
      </c>
      <c r="H502" s="12" t="s">
        <v>2882</v>
      </c>
      <c r="I502" s="12" t="s">
        <v>808</v>
      </c>
      <c r="J502" s="13" t="s">
        <v>2883</v>
      </c>
      <c r="K502" s="12"/>
      <c r="L502" s="12" t="s">
        <v>2884</v>
      </c>
      <c r="M502" s="12" t="s">
        <v>2885</v>
      </c>
      <c r="N502" s="12" t="s">
        <v>101</v>
      </c>
      <c r="O502" s="12" t="s">
        <v>102</v>
      </c>
      <c r="P502" s="12" t="s">
        <v>103</v>
      </c>
      <c r="Q502" s="12" t="s">
        <v>104</v>
      </c>
      <c r="R502" s="14" t="n">
        <v>2</v>
      </c>
      <c r="S502" s="14" t="s">
        <v>129</v>
      </c>
      <c r="T502" s="14" t="s">
        <v>106</v>
      </c>
      <c r="U502" s="14" t="n">
        <v>2037</v>
      </c>
      <c r="V502" s="12" t="s">
        <v>107</v>
      </c>
      <c r="W502" s="14"/>
      <c r="X502" s="15" t="n">
        <f aca="false">IF(OR($S502="%",$R502=""),"",$R502*INDEX(Cambi!$J$2:$J$5,MATCH($S502,Cambi!$I$2:$I$5,0))/IF($T502="EUR",1,INDEX(Cambi!$D:$D,MATCH($T502&amp;"|"&amp;$U502,Cambi!$C:$C,0))))</f>
        <v>2000</v>
      </c>
      <c r="Y502" s="12" t="s">
        <v>108</v>
      </c>
      <c r="Z502" s="12" t="s">
        <v>109</v>
      </c>
      <c r="AA502" s="12" t="s">
        <v>109</v>
      </c>
      <c r="AB502" s="16" t="s">
        <v>394</v>
      </c>
      <c r="AC502" s="16" t="s">
        <v>2857</v>
      </c>
      <c r="AD502" s="12" t="s">
        <v>112</v>
      </c>
      <c r="AE502" s="12" t="s">
        <v>2858</v>
      </c>
      <c r="AF502" s="12" t="s">
        <v>2886</v>
      </c>
      <c r="AG502" s="12" t="s">
        <v>115</v>
      </c>
      <c r="AH502" s="12" t="s">
        <v>116</v>
      </c>
      <c r="AI502" s="12" t="s">
        <v>117</v>
      </c>
      <c r="AJ502" s="12" t="s">
        <v>2887</v>
      </c>
      <c r="AK502" s="12" t="s">
        <v>4</v>
      </c>
    </row>
    <row r="503" customFormat="false" ht="15" hidden="false" customHeight="false" outlineLevel="0" collapsed="false">
      <c r="A503" s="11" t="n">
        <v>502</v>
      </c>
      <c r="B503" s="12" t="s">
        <v>2888</v>
      </c>
      <c r="C503" s="12" t="s">
        <v>2850</v>
      </c>
      <c r="D503" s="12" t="s">
        <v>2851</v>
      </c>
      <c r="E503" s="12" t="s">
        <v>759</v>
      </c>
      <c r="F503" s="12" t="s">
        <v>2852</v>
      </c>
      <c r="G503" s="12" t="s">
        <v>771</v>
      </c>
      <c r="H503" s="12" t="s">
        <v>2889</v>
      </c>
      <c r="I503" s="12" t="s">
        <v>2890</v>
      </c>
      <c r="J503" s="13" t="s">
        <v>2891</v>
      </c>
      <c r="K503" s="12"/>
      <c r="L503" s="12" t="s">
        <v>2892</v>
      </c>
      <c r="M503" s="12" t="s">
        <v>2893</v>
      </c>
      <c r="N503" s="12" t="s">
        <v>101</v>
      </c>
      <c r="O503" s="12" t="s">
        <v>196</v>
      </c>
      <c r="P503" s="12" t="s">
        <v>103</v>
      </c>
      <c r="Q503" s="12" t="s">
        <v>104</v>
      </c>
      <c r="R503" s="14" t="n">
        <v>1.2</v>
      </c>
      <c r="S503" s="14" t="s">
        <v>197</v>
      </c>
      <c r="T503" s="14"/>
      <c r="U503" s="14" t="n">
        <v>2022</v>
      </c>
      <c r="V503" s="12" t="s">
        <v>107</v>
      </c>
      <c r="W503" s="14"/>
      <c r="X503" s="15" t="str">
        <f aca="false">IF(OR($S503="%",$R503=""),"",$R503*INDEX(Cambi!$J$2:$J$5,MATCH($S503,Cambi!$I$2:$I$5,0))/IF($T503="EUR",1,INDEX(Cambi!$D:$D,MATCH($T503&amp;"|"&amp;$U503,Cambi!$C:$C,0))))</f>
        <v/>
      </c>
      <c r="Y503" s="12" t="s">
        <v>108</v>
      </c>
      <c r="Z503" s="12" t="s">
        <v>109</v>
      </c>
      <c r="AA503" s="12" t="s">
        <v>109</v>
      </c>
      <c r="AB503" s="16" t="s">
        <v>394</v>
      </c>
      <c r="AC503" s="16" t="s">
        <v>2857</v>
      </c>
      <c r="AD503" s="12" t="s">
        <v>112</v>
      </c>
      <c r="AE503" s="12" t="s">
        <v>2858</v>
      </c>
      <c r="AF503" s="12" t="s">
        <v>2894</v>
      </c>
      <c r="AG503" s="12" t="s">
        <v>115</v>
      </c>
      <c r="AH503" s="12" t="s">
        <v>116</v>
      </c>
      <c r="AI503" s="12" t="s">
        <v>285</v>
      </c>
      <c r="AJ503" s="12" t="s">
        <v>2895</v>
      </c>
      <c r="AK503" s="12" t="s">
        <v>4</v>
      </c>
    </row>
    <row r="504" customFormat="false" ht="15" hidden="false" customHeight="false" outlineLevel="0" collapsed="false">
      <c r="A504" s="11" t="n">
        <v>503</v>
      </c>
      <c r="B504" s="12" t="s">
        <v>2896</v>
      </c>
      <c r="C504" s="12" t="s">
        <v>2850</v>
      </c>
      <c r="D504" s="12" t="s">
        <v>2851</v>
      </c>
      <c r="E504" s="12" t="s">
        <v>759</v>
      </c>
      <c r="F504" s="12" t="s">
        <v>2897</v>
      </c>
      <c r="G504" s="12" t="s">
        <v>345</v>
      </c>
      <c r="H504" s="12" t="s">
        <v>2898</v>
      </c>
      <c r="I504" s="12" t="s">
        <v>2899</v>
      </c>
      <c r="J504" s="13" t="s">
        <v>2900</v>
      </c>
      <c r="K504" s="12" t="s">
        <v>2901</v>
      </c>
      <c r="L504" s="12" t="s">
        <v>2902</v>
      </c>
      <c r="M504" s="12" t="s">
        <v>2903</v>
      </c>
      <c r="N504" s="12" t="s">
        <v>352</v>
      </c>
      <c r="O504" s="12" t="s">
        <v>213</v>
      </c>
      <c r="P504" s="12" t="s">
        <v>103</v>
      </c>
      <c r="Q504" s="12" t="s">
        <v>104</v>
      </c>
      <c r="R504" s="14" t="n">
        <v>10.8</v>
      </c>
      <c r="S504" s="14" t="s">
        <v>197</v>
      </c>
      <c r="T504" s="14"/>
      <c r="U504" s="14" t="n">
        <v>2017</v>
      </c>
      <c r="V504" s="12" t="s">
        <v>157</v>
      </c>
      <c r="W504" s="14" t="s">
        <v>2904</v>
      </c>
      <c r="X504" s="15" t="str">
        <f aca="false">IF(OR($S504="%",$R504=""),"",$R504*INDEX(Cambi!$J$2:$J$5,MATCH($S504,Cambi!$I$2:$I$5,0))/IF($T504="EUR",1,INDEX(Cambi!$D:$D,MATCH($T504&amp;"|"&amp;$U504,Cambi!$C:$C,0))))</f>
        <v/>
      </c>
      <c r="Y504" s="12" t="s">
        <v>130</v>
      </c>
      <c r="Z504" s="12" t="s">
        <v>109</v>
      </c>
      <c r="AA504" s="12" t="s">
        <v>2905</v>
      </c>
      <c r="AB504" s="16" t="s">
        <v>679</v>
      </c>
      <c r="AC504" s="16" t="s">
        <v>2906</v>
      </c>
      <c r="AD504" s="12" t="s">
        <v>112</v>
      </c>
      <c r="AE504" s="12" t="s">
        <v>2907</v>
      </c>
      <c r="AF504" s="12" t="s">
        <v>2908</v>
      </c>
      <c r="AG504" s="12" t="s">
        <v>498</v>
      </c>
      <c r="AH504" s="12" t="s">
        <v>116</v>
      </c>
      <c r="AI504" s="12" t="s">
        <v>117</v>
      </c>
      <c r="AJ504" s="12" t="s">
        <v>266</v>
      </c>
      <c r="AK504" s="12" t="s">
        <v>4</v>
      </c>
    </row>
    <row r="505" customFormat="false" ht="15" hidden="false" customHeight="false" outlineLevel="0" collapsed="false">
      <c r="A505" s="11" t="n">
        <v>504</v>
      </c>
      <c r="B505" s="12" t="s">
        <v>2896</v>
      </c>
      <c r="C505" s="12" t="s">
        <v>2850</v>
      </c>
      <c r="D505" s="12" t="s">
        <v>2851</v>
      </c>
      <c r="E505" s="12" t="s">
        <v>759</v>
      </c>
      <c r="F505" s="12" t="s">
        <v>2897</v>
      </c>
      <c r="G505" s="12" t="s">
        <v>345</v>
      </c>
      <c r="H505" s="12" t="s">
        <v>2898</v>
      </c>
      <c r="I505" s="12" t="s">
        <v>2899</v>
      </c>
      <c r="J505" s="13" t="s">
        <v>2900</v>
      </c>
      <c r="K505" s="12" t="s">
        <v>2901</v>
      </c>
      <c r="L505" s="12" t="s">
        <v>2909</v>
      </c>
      <c r="M505" s="12" t="s">
        <v>2910</v>
      </c>
      <c r="N505" s="12" t="s">
        <v>352</v>
      </c>
      <c r="O505" s="12" t="s">
        <v>102</v>
      </c>
      <c r="P505" s="12" t="s">
        <v>103</v>
      </c>
      <c r="Q505" s="12" t="s">
        <v>104</v>
      </c>
      <c r="R505" s="14" t="n">
        <v>0.9</v>
      </c>
      <c r="S505" s="14" t="s">
        <v>129</v>
      </c>
      <c r="T505" s="14" t="s">
        <v>106</v>
      </c>
      <c r="U505" s="14" t="n">
        <v>2017</v>
      </c>
      <c r="V505" s="12" t="s">
        <v>157</v>
      </c>
      <c r="W505" s="14" t="s">
        <v>2911</v>
      </c>
      <c r="X505" s="15" t="n">
        <f aca="false">IF(OR($S505="%",$R505=""),"",$R505*INDEX(Cambi!$J$2:$J$5,MATCH($S505,Cambi!$I$2:$I$5,0))/IF($T505="EUR",1,INDEX(Cambi!$D:$D,MATCH($T505&amp;"|"&amp;$U505,Cambi!$C:$C,0))))</f>
        <v>900</v>
      </c>
      <c r="Y505" s="12" t="s">
        <v>130</v>
      </c>
      <c r="Z505" s="12" t="s">
        <v>109</v>
      </c>
      <c r="AA505" s="12" t="s">
        <v>2905</v>
      </c>
      <c r="AB505" s="16" t="s">
        <v>679</v>
      </c>
      <c r="AC505" s="16" t="s">
        <v>2906</v>
      </c>
      <c r="AD505" s="12" t="s">
        <v>112</v>
      </c>
      <c r="AE505" s="12" t="s">
        <v>2907</v>
      </c>
      <c r="AF505" s="12" t="s">
        <v>2912</v>
      </c>
      <c r="AG505" s="12" t="s">
        <v>498</v>
      </c>
      <c r="AH505" s="12" t="s">
        <v>116</v>
      </c>
      <c r="AI505" s="12" t="s">
        <v>117</v>
      </c>
      <c r="AJ505" s="12" t="s">
        <v>2913</v>
      </c>
      <c r="AK505" s="12" t="s">
        <v>4</v>
      </c>
    </row>
    <row r="506" customFormat="false" ht="15" hidden="false" customHeight="false" outlineLevel="0" collapsed="false">
      <c r="A506" s="11" t="n">
        <v>505</v>
      </c>
      <c r="B506" s="12" t="s">
        <v>2896</v>
      </c>
      <c r="C506" s="12" t="s">
        <v>2850</v>
      </c>
      <c r="D506" s="12" t="s">
        <v>2851</v>
      </c>
      <c r="E506" s="12" t="s">
        <v>759</v>
      </c>
      <c r="F506" s="12" t="s">
        <v>2897</v>
      </c>
      <c r="G506" s="12" t="s">
        <v>345</v>
      </c>
      <c r="H506" s="12" t="s">
        <v>2898</v>
      </c>
      <c r="I506" s="12" t="s">
        <v>2899</v>
      </c>
      <c r="J506" s="13" t="s">
        <v>2900</v>
      </c>
      <c r="K506" s="12" t="s">
        <v>2901</v>
      </c>
      <c r="L506" s="12" t="s">
        <v>2914</v>
      </c>
      <c r="M506" s="12" t="s">
        <v>2915</v>
      </c>
      <c r="N506" s="12" t="s">
        <v>352</v>
      </c>
      <c r="O506" s="12" t="s">
        <v>213</v>
      </c>
      <c r="P506" s="12" t="s">
        <v>103</v>
      </c>
      <c r="Q506" s="12" t="s">
        <v>104</v>
      </c>
      <c r="R506" s="14" t="n">
        <v>12.2</v>
      </c>
      <c r="S506" s="14" t="s">
        <v>197</v>
      </c>
      <c r="T506" s="14"/>
      <c r="U506" s="14" t="n">
        <v>2020</v>
      </c>
      <c r="V506" s="12" t="s">
        <v>107</v>
      </c>
      <c r="W506" s="14" t="s">
        <v>2916</v>
      </c>
      <c r="X506" s="15" t="str">
        <f aca="false">IF(OR($S506="%",$R506=""),"",$R506*INDEX(Cambi!$J$2:$J$5,MATCH($S506,Cambi!$I$2:$I$5,0))/IF($T506="EUR",1,INDEX(Cambi!$D:$D,MATCH($T506&amp;"|"&amp;$U506,Cambi!$C:$C,0))))</f>
        <v/>
      </c>
      <c r="Y506" s="12" t="s">
        <v>130</v>
      </c>
      <c r="Z506" s="12" t="s">
        <v>109</v>
      </c>
      <c r="AA506" s="12" t="s">
        <v>2905</v>
      </c>
      <c r="AB506" s="16" t="s">
        <v>679</v>
      </c>
      <c r="AC506" s="16" t="s">
        <v>2906</v>
      </c>
      <c r="AD506" s="12" t="s">
        <v>112</v>
      </c>
      <c r="AE506" s="12" t="s">
        <v>2907</v>
      </c>
      <c r="AF506" s="12" t="s">
        <v>2912</v>
      </c>
      <c r="AG506" s="12" t="s">
        <v>498</v>
      </c>
      <c r="AH506" s="12" t="s">
        <v>116</v>
      </c>
      <c r="AI506" s="12" t="s">
        <v>117</v>
      </c>
      <c r="AJ506" s="12" t="s">
        <v>2917</v>
      </c>
      <c r="AK506" s="12" t="s">
        <v>4</v>
      </c>
    </row>
    <row r="507" customFormat="false" ht="15" hidden="false" customHeight="false" outlineLevel="0" collapsed="false">
      <c r="A507" s="11" t="n">
        <v>506</v>
      </c>
      <c r="B507" s="12" t="s">
        <v>2918</v>
      </c>
      <c r="C507" s="12" t="s">
        <v>2850</v>
      </c>
      <c r="D507" s="12" t="s">
        <v>2851</v>
      </c>
      <c r="E507" s="12" t="s">
        <v>759</v>
      </c>
      <c r="F507" s="12" t="s">
        <v>2897</v>
      </c>
      <c r="G507" s="12" t="s">
        <v>345</v>
      </c>
      <c r="H507" s="12" t="s">
        <v>2919</v>
      </c>
      <c r="I507" s="12" t="s">
        <v>1667</v>
      </c>
      <c r="J507" s="13" t="s">
        <v>2920</v>
      </c>
      <c r="K507" s="12" t="s">
        <v>2901</v>
      </c>
      <c r="L507" s="12" t="s">
        <v>2921</v>
      </c>
      <c r="M507" s="12" t="s">
        <v>2922</v>
      </c>
      <c r="N507" s="12" t="s">
        <v>352</v>
      </c>
      <c r="O507" s="12" t="s">
        <v>102</v>
      </c>
      <c r="P507" s="12" t="s">
        <v>155</v>
      </c>
      <c r="Q507" s="12" t="s">
        <v>2923</v>
      </c>
      <c r="R507" s="14" t="n">
        <v>383</v>
      </c>
      <c r="S507" s="14" t="s">
        <v>105</v>
      </c>
      <c r="T507" s="14" t="s">
        <v>106</v>
      </c>
      <c r="U507" s="14" t="n">
        <v>2018</v>
      </c>
      <c r="V507" s="12" t="s">
        <v>157</v>
      </c>
      <c r="W507" s="14" t="s">
        <v>2924</v>
      </c>
      <c r="X507" s="15" t="n">
        <f aca="false">IF(OR($S507="%",$R507=""),"",$R507*INDEX(Cambi!$J$2:$J$5,MATCH($S507,Cambi!$I$2:$I$5,0))/IF($T507="EUR",1,INDEX(Cambi!$D:$D,MATCH($T507&amp;"|"&amp;$U507,Cambi!$C:$C,0))))</f>
        <v>383</v>
      </c>
      <c r="Y507" s="12" t="s">
        <v>130</v>
      </c>
      <c r="Z507" s="12" t="s">
        <v>109</v>
      </c>
      <c r="AA507" s="12" t="s">
        <v>2905</v>
      </c>
      <c r="AB507" s="16" t="s">
        <v>679</v>
      </c>
      <c r="AC507" s="16" t="s">
        <v>2906</v>
      </c>
      <c r="AD507" s="12" t="s">
        <v>112</v>
      </c>
      <c r="AE507" s="12" t="s">
        <v>2907</v>
      </c>
      <c r="AF507" s="12" t="s">
        <v>2925</v>
      </c>
      <c r="AG507" s="12" t="s">
        <v>498</v>
      </c>
      <c r="AH507" s="12" t="s">
        <v>116</v>
      </c>
      <c r="AI507" s="12" t="s">
        <v>117</v>
      </c>
      <c r="AJ507" s="12" t="s">
        <v>266</v>
      </c>
      <c r="AK507" s="12" t="s">
        <v>4</v>
      </c>
    </row>
    <row r="508" customFormat="false" ht="15" hidden="false" customHeight="false" outlineLevel="0" collapsed="false">
      <c r="A508" s="11" t="n">
        <v>507</v>
      </c>
      <c r="B508" s="12" t="s">
        <v>2918</v>
      </c>
      <c r="C508" s="12" t="s">
        <v>2850</v>
      </c>
      <c r="D508" s="12" t="s">
        <v>2851</v>
      </c>
      <c r="E508" s="12" t="s">
        <v>759</v>
      </c>
      <c r="F508" s="12" t="s">
        <v>2897</v>
      </c>
      <c r="G508" s="12" t="s">
        <v>345</v>
      </c>
      <c r="H508" s="12" t="s">
        <v>2919</v>
      </c>
      <c r="I508" s="12" t="s">
        <v>1667</v>
      </c>
      <c r="J508" s="13" t="s">
        <v>2920</v>
      </c>
      <c r="K508" s="12" t="s">
        <v>2901</v>
      </c>
      <c r="L508" s="12" t="s">
        <v>2926</v>
      </c>
      <c r="M508" s="12" t="s">
        <v>2927</v>
      </c>
      <c r="N508" s="12" t="s">
        <v>352</v>
      </c>
      <c r="O508" s="12" t="s">
        <v>102</v>
      </c>
      <c r="P508" s="12" t="s">
        <v>103</v>
      </c>
      <c r="Q508" s="12" t="s">
        <v>104</v>
      </c>
      <c r="R508" s="14" t="n">
        <v>1005.8</v>
      </c>
      <c r="S508" s="14" t="s">
        <v>105</v>
      </c>
      <c r="T508" s="14" t="s">
        <v>106</v>
      </c>
      <c r="U508" s="14" t="n">
        <v>2018</v>
      </c>
      <c r="V508" s="12" t="s">
        <v>157</v>
      </c>
      <c r="W508" s="14" t="s">
        <v>2928</v>
      </c>
      <c r="X508" s="15" t="n">
        <f aca="false">IF(OR($S508="%",$R508=""),"",$R508*INDEX(Cambi!$J$2:$J$5,MATCH($S508,Cambi!$I$2:$I$5,0))/IF($T508="EUR",1,INDEX(Cambi!$D:$D,MATCH($T508&amp;"|"&amp;$U508,Cambi!$C:$C,0))))</f>
        <v>1005.8</v>
      </c>
      <c r="Y508" s="12" t="s">
        <v>130</v>
      </c>
      <c r="Z508" s="12" t="s">
        <v>109</v>
      </c>
      <c r="AA508" s="12" t="s">
        <v>2905</v>
      </c>
      <c r="AB508" s="16" t="s">
        <v>679</v>
      </c>
      <c r="AC508" s="16" t="s">
        <v>2906</v>
      </c>
      <c r="AD508" s="12" t="s">
        <v>112</v>
      </c>
      <c r="AE508" s="12" t="s">
        <v>2907</v>
      </c>
      <c r="AF508" s="12" t="s">
        <v>2929</v>
      </c>
      <c r="AG508" s="12" t="s">
        <v>498</v>
      </c>
      <c r="AH508" s="12" t="s">
        <v>116</v>
      </c>
      <c r="AI508" s="12" t="s">
        <v>117</v>
      </c>
      <c r="AJ508" s="12" t="s">
        <v>2930</v>
      </c>
      <c r="AK508" s="12" t="s">
        <v>4</v>
      </c>
    </row>
    <row r="509" customFormat="false" ht="15" hidden="false" customHeight="false" outlineLevel="0" collapsed="false">
      <c r="A509" s="11" t="n">
        <v>508</v>
      </c>
      <c r="B509" s="12" t="s">
        <v>2918</v>
      </c>
      <c r="C509" s="12" t="s">
        <v>2850</v>
      </c>
      <c r="D509" s="12" t="s">
        <v>2851</v>
      </c>
      <c r="E509" s="12" t="s">
        <v>759</v>
      </c>
      <c r="F509" s="12" t="s">
        <v>2897</v>
      </c>
      <c r="G509" s="12" t="s">
        <v>345</v>
      </c>
      <c r="H509" s="12" t="s">
        <v>2919</v>
      </c>
      <c r="I509" s="12" t="s">
        <v>1667</v>
      </c>
      <c r="J509" s="13" t="s">
        <v>2920</v>
      </c>
      <c r="K509" s="12" t="s">
        <v>2901</v>
      </c>
      <c r="L509" s="12" t="s">
        <v>2931</v>
      </c>
      <c r="M509" s="12" t="s">
        <v>2932</v>
      </c>
      <c r="N509" s="12" t="s">
        <v>352</v>
      </c>
      <c r="O509" s="12" t="s">
        <v>102</v>
      </c>
      <c r="P509" s="12" t="s">
        <v>155</v>
      </c>
      <c r="Q509" s="12" t="s">
        <v>2933</v>
      </c>
      <c r="R509" s="14" t="n">
        <v>387</v>
      </c>
      <c r="S509" s="14" t="s">
        <v>105</v>
      </c>
      <c r="T509" s="14" t="s">
        <v>106</v>
      </c>
      <c r="U509" s="14" t="n">
        <v>2018</v>
      </c>
      <c r="V509" s="12" t="s">
        <v>157</v>
      </c>
      <c r="W509" s="14" t="s">
        <v>2934</v>
      </c>
      <c r="X509" s="15" t="n">
        <f aca="false">IF(OR($S509="%",$R509=""),"",$R509*INDEX(Cambi!$J$2:$J$5,MATCH($S509,Cambi!$I$2:$I$5,0))/IF($T509="EUR",1,INDEX(Cambi!$D:$D,MATCH($T509&amp;"|"&amp;$U509,Cambi!$C:$C,0))))</f>
        <v>387</v>
      </c>
      <c r="Y509" s="12" t="s">
        <v>130</v>
      </c>
      <c r="Z509" s="12" t="s">
        <v>109</v>
      </c>
      <c r="AA509" s="12" t="s">
        <v>2905</v>
      </c>
      <c r="AB509" s="16" t="s">
        <v>679</v>
      </c>
      <c r="AC509" s="16" t="s">
        <v>2906</v>
      </c>
      <c r="AD509" s="12" t="s">
        <v>112</v>
      </c>
      <c r="AE509" s="12" t="s">
        <v>2907</v>
      </c>
      <c r="AF509" s="12" t="s">
        <v>2935</v>
      </c>
      <c r="AG509" s="12" t="s">
        <v>498</v>
      </c>
      <c r="AH509" s="12" t="s">
        <v>116</v>
      </c>
      <c r="AI509" s="12" t="s">
        <v>117</v>
      </c>
      <c r="AJ509" s="12" t="s">
        <v>2936</v>
      </c>
      <c r="AK509" s="12" t="s">
        <v>4</v>
      </c>
    </row>
    <row r="510" customFormat="false" ht="15" hidden="false" customHeight="false" outlineLevel="0" collapsed="false">
      <c r="A510" s="11" t="n">
        <v>509</v>
      </c>
      <c r="B510" s="12" t="s">
        <v>2937</v>
      </c>
      <c r="C510" s="12" t="s">
        <v>2850</v>
      </c>
      <c r="D510" s="12" t="s">
        <v>2851</v>
      </c>
      <c r="E510" s="12" t="s">
        <v>759</v>
      </c>
      <c r="F510" s="12" t="s">
        <v>2897</v>
      </c>
      <c r="G510" s="12" t="s">
        <v>345</v>
      </c>
      <c r="H510" s="12" t="s">
        <v>2938</v>
      </c>
      <c r="I510" s="12" t="s">
        <v>773</v>
      </c>
      <c r="J510" s="13" t="s">
        <v>2939</v>
      </c>
      <c r="K510" s="12" t="s">
        <v>2901</v>
      </c>
      <c r="L510" s="12" t="s">
        <v>2940</v>
      </c>
      <c r="M510" s="12" t="s">
        <v>2941</v>
      </c>
      <c r="N510" s="12" t="s">
        <v>352</v>
      </c>
      <c r="O510" s="12" t="s">
        <v>102</v>
      </c>
      <c r="P510" s="12" t="s">
        <v>155</v>
      </c>
      <c r="Q510" s="12" t="s">
        <v>2923</v>
      </c>
      <c r="R510" s="14" t="n">
        <v>423</v>
      </c>
      <c r="S510" s="14" t="s">
        <v>105</v>
      </c>
      <c r="T510" s="14" t="s">
        <v>106</v>
      </c>
      <c r="U510" s="14" t="n">
        <v>2019</v>
      </c>
      <c r="V510" s="12" t="s">
        <v>157</v>
      </c>
      <c r="W510" s="14" t="s">
        <v>2942</v>
      </c>
      <c r="X510" s="15" t="n">
        <f aca="false">IF(OR($S510="%",$R510=""),"",$R510*INDEX(Cambi!$J$2:$J$5,MATCH($S510,Cambi!$I$2:$I$5,0))/IF($T510="EUR",1,INDEX(Cambi!$D:$D,MATCH($T510&amp;"|"&amp;$U510,Cambi!$C:$C,0))))</f>
        <v>423</v>
      </c>
      <c r="Y510" s="12" t="s">
        <v>130</v>
      </c>
      <c r="Z510" s="12" t="s">
        <v>109</v>
      </c>
      <c r="AA510" s="12" t="s">
        <v>2905</v>
      </c>
      <c r="AB510" s="16" t="s">
        <v>679</v>
      </c>
      <c r="AC510" s="16" t="s">
        <v>2906</v>
      </c>
      <c r="AD510" s="12" t="s">
        <v>112</v>
      </c>
      <c r="AE510" s="12" t="s">
        <v>2907</v>
      </c>
      <c r="AF510" s="12" t="s">
        <v>2943</v>
      </c>
      <c r="AG510" s="12" t="s">
        <v>498</v>
      </c>
      <c r="AH510" s="12" t="s">
        <v>116</v>
      </c>
      <c r="AI510" s="12" t="s">
        <v>117</v>
      </c>
      <c r="AJ510" s="12" t="s">
        <v>266</v>
      </c>
      <c r="AK510" s="12" t="s">
        <v>4</v>
      </c>
    </row>
    <row r="511" customFormat="false" ht="15" hidden="false" customHeight="false" outlineLevel="0" collapsed="false">
      <c r="A511" s="11" t="n">
        <v>510</v>
      </c>
      <c r="B511" s="12" t="s">
        <v>2937</v>
      </c>
      <c r="C511" s="12" t="s">
        <v>2850</v>
      </c>
      <c r="D511" s="12" t="s">
        <v>2851</v>
      </c>
      <c r="E511" s="12" t="s">
        <v>759</v>
      </c>
      <c r="F511" s="12" t="s">
        <v>2897</v>
      </c>
      <c r="G511" s="12" t="s">
        <v>345</v>
      </c>
      <c r="H511" s="12" t="s">
        <v>2938</v>
      </c>
      <c r="I511" s="12" t="s">
        <v>773</v>
      </c>
      <c r="J511" s="13" t="s">
        <v>2939</v>
      </c>
      <c r="K511" s="12" t="s">
        <v>2901</v>
      </c>
      <c r="L511" s="12" t="s">
        <v>2926</v>
      </c>
      <c r="M511" s="12" t="s">
        <v>2944</v>
      </c>
      <c r="N511" s="12" t="s">
        <v>352</v>
      </c>
      <c r="O511" s="12" t="s">
        <v>102</v>
      </c>
      <c r="P511" s="12" t="s">
        <v>103</v>
      </c>
      <c r="Q511" s="12" t="s">
        <v>104</v>
      </c>
      <c r="R511" s="14" t="n">
        <v>1136.5</v>
      </c>
      <c r="S511" s="14" t="s">
        <v>105</v>
      </c>
      <c r="T511" s="14" t="s">
        <v>106</v>
      </c>
      <c r="U511" s="14" t="n">
        <v>2019</v>
      </c>
      <c r="V511" s="12" t="s">
        <v>157</v>
      </c>
      <c r="W511" s="14" t="s">
        <v>2945</v>
      </c>
      <c r="X511" s="15" t="n">
        <f aca="false">IF(OR($S511="%",$R511=""),"",$R511*INDEX(Cambi!$J$2:$J$5,MATCH($S511,Cambi!$I$2:$I$5,0))/IF($T511="EUR",1,INDEX(Cambi!$D:$D,MATCH($T511&amp;"|"&amp;$U511,Cambi!$C:$C,0))))</f>
        <v>1136.5</v>
      </c>
      <c r="Y511" s="12" t="s">
        <v>130</v>
      </c>
      <c r="Z511" s="12" t="s">
        <v>109</v>
      </c>
      <c r="AA511" s="12" t="s">
        <v>2905</v>
      </c>
      <c r="AB511" s="16" t="s">
        <v>679</v>
      </c>
      <c r="AC511" s="16" t="s">
        <v>2906</v>
      </c>
      <c r="AD511" s="12" t="s">
        <v>112</v>
      </c>
      <c r="AE511" s="12" t="s">
        <v>2907</v>
      </c>
      <c r="AF511" s="12" t="s">
        <v>2946</v>
      </c>
      <c r="AG511" s="12" t="s">
        <v>498</v>
      </c>
      <c r="AH511" s="12" t="s">
        <v>116</v>
      </c>
      <c r="AI511" s="12" t="s">
        <v>117</v>
      </c>
      <c r="AJ511" s="12" t="s">
        <v>2947</v>
      </c>
      <c r="AK511" s="12" t="s">
        <v>4</v>
      </c>
    </row>
    <row r="512" customFormat="false" ht="15" hidden="false" customHeight="false" outlineLevel="0" collapsed="false">
      <c r="A512" s="11" t="n">
        <v>511</v>
      </c>
      <c r="B512" s="12" t="s">
        <v>2937</v>
      </c>
      <c r="C512" s="12" t="s">
        <v>2850</v>
      </c>
      <c r="D512" s="12" t="s">
        <v>2851</v>
      </c>
      <c r="E512" s="12" t="s">
        <v>759</v>
      </c>
      <c r="F512" s="12" t="s">
        <v>2897</v>
      </c>
      <c r="G512" s="12" t="s">
        <v>345</v>
      </c>
      <c r="H512" s="12" t="s">
        <v>2938</v>
      </c>
      <c r="I512" s="12" t="s">
        <v>773</v>
      </c>
      <c r="J512" s="13" t="s">
        <v>2939</v>
      </c>
      <c r="K512" s="12" t="s">
        <v>2901</v>
      </c>
      <c r="L512" s="12" t="s">
        <v>2931</v>
      </c>
      <c r="M512" s="12" t="s">
        <v>2948</v>
      </c>
      <c r="N512" s="12" t="s">
        <v>352</v>
      </c>
      <c r="O512" s="12" t="s">
        <v>102</v>
      </c>
      <c r="P512" s="12" t="s">
        <v>155</v>
      </c>
      <c r="Q512" s="12" t="s">
        <v>2933</v>
      </c>
      <c r="R512" s="14" t="n">
        <v>444.4</v>
      </c>
      <c r="S512" s="14" t="s">
        <v>105</v>
      </c>
      <c r="T512" s="14" t="s">
        <v>106</v>
      </c>
      <c r="U512" s="14" t="n">
        <v>2019</v>
      </c>
      <c r="V512" s="12" t="s">
        <v>157</v>
      </c>
      <c r="W512" s="14" t="s">
        <v>2949</v>
      </c>
      <c r="X512" s="15" t="n">
        <f aca="false">IF(OR($S512="%",$R512=""),"",$R512*INDEX(Cambi!$J$2:$J$5,MATCH($S512,Cambi!$I$2:$I$5,0))/IF($T512="EUR",1,INDEX(Cambi!$D:$D,MATCH($T512&amp;"|"&amp;$U512,Cambi!$C:$C,0))))</f>
        <v>444.4</v>
      </c>
      <c r="Y512" s="12" t="s">
        <v>130</v>
      </c>
      <c r="Z512" s="12" t="s">
        <v>109</v>
      </c>
      <c r="AA512" s="12" t="s">
        <v>2905</v>
      </c>
      <c r="AB512" s="16" t="s">
        <v>679</v>
      </c>
      <c r="AC512" s="16" t="s">
        <v>2906</v>
      </c>
      <c r="AD512" s="12" t="s">
        <v>112</v>
      </c>
      <c r="AE512" s="12" t="s">
        <v>2907</v>
      </c>
      <c r="AF512" s="12" t="s">
        <v>2950</v>
      </c>
      <c r="AG512" s="12" t="s">
        <v>498</v>
      </c>
      <c r="AH512" s="12" t="s">
        <v>116</v>
      </c>
      <c r="AI512" s="12" t="s">
        <v>117</v>
      </c>
      <c r="AJ512" s="12" t="s">
        <v>266</v>
      </c>
      <c r="AK512" s="12" t="s">
        <v>4</v>
      </c>
    </row>
    <row r="513" customFormat="false" ht="15" hidden="false" customHeight="false" outlineLevel="0" collapsed="false">
      <c r="A513" s="11" t="n">
        <v>512</v>
      </c>
      <c r="B513" s="12" t="s">
        <v>2937</v>
      </c>
      <c r="C513" s="12" t="s">
        <v>2850</v>
      </c>
      <c r="D513" s="12" t="s">
        <v>2851</v>
      </c>
      <c r="E513" s="12" t="s">
        <v>759</v>
      </c>
      <c r="F513" s="12" t="s">
        <v>2897</v>
      </c>
      <c r="G513" s="12" t="s">
        <v>345</v>
      </c>
      <c r="H513" s="12" t="s">
        <v>2938</v>
      </c>
      <c r="I513" s="12" t="s">
        <v>773</v>
      </c>
      <c r="J513" s="13" t="s">
        <v>2939</v>
      </c>
      <c r="K513" s="12" t="s">
        <v>2901</v>
      </c>
      <c r="L513" s="12" t="s">
        <v>2951</v>
      </c>
      <c r="M513" s="12" t="s">
        <v>2952</v>
      </c>
      <c r="N513" s="12" t="s">
        <v>352</v>
      </c>
      <c r="O513" s="12" t="s">
        <v>102</v>
      </c>
      <c r="P513" s="12" t="s">
        <v>155</v>
      </c>
      <c r="Q513" s="12" t="s">
        <v>2953</v>
      </c>
      <c r="R513" s="14" t="n">
        <v>62.6</v>
      </c>
      <c r="S513" s="14" t="s">
        <v>105</v>
      </c>
      <c r="T513" s="14" t="s">
        <v>106</v>
      </c>
      <c r="U513" s="14" t="n">
        <v>2019</v>
      </c>
      <c r="V513" s="12" t="s">
        <v>157</v>
      </c>
      <c r="W513" s="14" t="s">
        <v>2954</v>
      </c>
      <c r="X513" s="15" t="n">
        <f aca="false">IF(OR($S513="%",$R513=""),"",$R513*INDEX(Cambi!$J$2:$J$5,MATCH($S513,Cambi!$I$2:$I$5,0))/IF($T513="EUR",1,INDEX(Cambi!$D:$D,MATCH($T513&amp;"|"&amp;$U513,Cambi!$C:$C,0))))</f>
        <v>62.6</v>
      </c>
      <c r="Y513" s="12" t="s">
        <v>130</v>
      </c>
      <c r="Z513" s="12" t="s">
        <v>109</v>
      </c>
      <c r="AA513" s="12" t="s">
        <v>2905</v>
      </c>
      <c r="AB513" s="16" t="s">
        <v>679</v>
      </c>
      <c r="AC513" s="16" t="s">
        <v>2906</v>
      </c>
      <c r="AD513" s="12" t="s">
        <v>112</v>
      </c>
      <c r="AE513" s="12" t="s">
        <v>2907</v>
      </c>
      <c r="AF513" s="12" t="s">
        <v>2955</v>
      </c>
      <c r="AG513" s="12" t="s">
        <v>498</v>
      </c>
      <c r="AH513" s="12" t="s">
        <v>116</v>
      </c>
      <c r="AI513" s="12" t="s">
        <v>117</v>
      </c>
      <c r="AJ513" s="12" t="s">
        <v>266</v>
      </c>
      <c r="AK513" s="12" t="s">
        <v>4</v>
      </c>
    </row>
    <row r="514" customFormat="false" ht="15" hidden="false" customHeight="false" outlineLevel="0" collapsed="false">
      <c r="A514" s="11" t="n">
        <v>513</v>
      </c>
      <c r="B514" s="12" t="s">
        <v>2937</v>
      </c>
      <c r="C514" s="12" t="s">
        <v>2850</v>
      </c>
      <c r="D514" s="12" t="s">
        <v>2851</v>
      </c>
      <c r="E514" s="12" t="s">
        <v>759</v>
      </c>
      <c r="F514" s="12" t="s">
        <v>2897</v>
      </c>
      <c r="G514" s="12" t="s">
        <v>345</v>
      </c>
      <c r="H514" s="12" t="s">
        <v>2938</v>
      </c>
      <c r="I514" s="12" t="s">
        <v>773</v>
      </c>
      <c r="J514" s="13" t="s">
        <v>2939</v>
      </c>
      <c r="K514" s="12" t="s">
        <v>2901</v>
      </c>
      <c r="L514" s="12" t="s">
        <v>2956</v>
      </c>
      <c r="M514" s="12" t="s">
        <v>2957</v>
      </c>
      <c r="N514" s="12" t="s">
        <v>352</v>
      </c>
      <c r="O514" s="12" t="s">
        <v>213</v>
      </c>
      <c r="P514" s="12" t="s">
        <v>103</v>
      </c>
      <c r="Q514" s="12" t="s">
        <v>104</v>
      </c>
      <c r="R514" s="14" t="n">
        <v>10.5</v>
      </c>
      <c r="S514" s="14" t="s">
        <v>197</v>
      </c>
      <c r="T514" s="14"/>
      <c r="U514" s="14" t="n">
        <v>2022</v>
      </c>
      <c r="V514" s="12" t="s">
        <v>107</v>
      </c>
      <c r="W514" s="14" t="s">
        <v>2958</v>
      </c>
      <c r="X514" s="15" t="str">
        <f aca="false">IF(OR($S514="%",$R514=""),"",$R514*INDEX(Cambi!$J$2:$J$5,MATCH($S514,Cambi!$I$2:$I$5,0))/IF($T514="EUR",1,INDEX(Cambi!$D:$D,MATCH($T514&amp;"|"&amp;$U514,Cambi!$C:$C,0))))</f>
        <v/>
      </c>
      <c r="Y514" s="12" t="s">
        <v>130</v>
      </c>
      <c r="Z514" s="12" t="s">
        <v>109</v>
      </c>
      <c r="AA514" s="12" t="s">
        <v>2905</v>
      </c>
      <c r="AB514" s="16" t="s">
        <v>679</v>
      </c>
      <c r="AC514" s="16" t="s">
        <v>2906</v>
      </c>
      <c r="AD514" s="12" t="s">
        <v>112</v>
      </c>
      <c r="AE514" s="12" t="s">
        <v>2907</v>
      </c>
      <c r="AF514" s="12" t="s">
        <v>2959</v>
      </c>
      <c r="AG514" s="12" t="s">
        <v>498</v>
      </c>
      <c r="AH514" s="12" t="s">
        <v>116</v>
      </c>
      <c r="AI514" s="12" t="s">
        <v>117</v>
      </c>
      <c r="AJ514" s="12" t="s">
        <v>266</v>
      </c>
      <c r="AK514" s="12" t="s">
        <v>4</v>
      </c>
    </row>
    <row r="515" customFormat="false" ht="15" hidden="false" customHeight="false" outlineLevel="0" collapsed="false">
      <c r="A515" s="11" t="n">
        <v>514</v>
      </c>
      <c r="B515" s="12" t="s">
        <v>2960</v>
      </c>
      <c r="C515" s="12" t="s">
        <v>2850</v>
      </c>
      <c r="D515" s="12" t="s">
        <v>2851</v>
      </c>
      <c r="E515" s="12" t="s">
        <v>759</v>
      </c>
      <c r="F515" s="12" t="s">
        <v>2897</v>
      </c>
      <c r="G515" s="12" t="s">
        <v>345</v>
      </c>
      <c r="H515" s="12" t="s">
        <v>2961</v>
      </c>
      <c r="I515" s="12" t="s">
        <v>2962</v>
      </c>
      <c r="J515" s="13" t="s">
        <v>2963</v>
      </c>
      <c r="K515" s="12" t="s">
        <v>2901</v>
      </c>
      <c r="L515" s="12" t="s">
        <v>2926</v>
      </c>
      <c r="M515" s="12" t="s">
        <v>2964</v>
      </c>
      <c r="N515" s="12" t="s">
        <v>352</v>
      </c>
      <c r="O515" s="12" t="s">
        <v>102</v>
      </c>
      <c r="P515" s="12" t="s">
        <v>103</v>
      </c>
      <c r="Q515" s="12" t="s">
        <v>104</v>
      </c>
      <c r="R515" s="14" t="n">
        <v>1238.5</v>
      </c>
      <c r="S515" s="14" t="s">
        <v>105</v>
      </c>
      <c r="T515" s="14" t="s">
        <v>106</v>
      </c>
      <c r="U515" s="14" t="n">
        <v>2020</v>
      </c>
      <c r="V515" s="12" t="s">
        <v>157</v>
      </c>
      <c r="W515" s="14" t="s">
        <v>2965</v>
      </c>
      <c r="X515" s="15" t="n">
        <f aca="false">IF(OR($S515="%",$R515=""),"",$R515*INDEX(Cambi!$J$2:$J$5,MATCH($S515,Cambi!$I$2:$I$5,0))/IF($T515="EUR",1,INDEX(Cambi!$D:$D,MATCH($T515&amp;"|"&amp;$U515,Cambi!$C:$C,0))))</f>
        <v>1238.5</v>
      </c>
      <c r="Y515" s="12" t="s">
        <v>130</v>
      </c>
      <c r="Z515" s="12" t="s">
        <v>109</v>
      </c>
      <c r="AA515" s="12" t="s">
        <v>2905</v>
      </c>
      <c r="AB515" s="16" t="s">
        <v>679</v>
      </c>
      <c r="AC515" s="16" t="s">
        <v>2906</v>
      </c>
      <c r="AD515" s="12" t="s">
        <v>112</v>
      </c>
      <c r="AE515" s="12" t="s">
        <v>2907</v>
      </c>
      <c r="AF515" s="12" t="s">
        <v>2966</v>
      </c>
      <c r="AG515" s="12" t="s">
        <v>498</v>
      </c>
      <c r="AH515" s="12" t="s">
        <v>116</v>
      </c>
      <c r="AI515" s="12" t="s">
        <v>117</v>
      </c>
      <c r="AJ515" s="12" t="s">
        <v>2967</v>
      </c>
      <c r="AK515" s="12" t="s">
        <v>4</v>
      </c>
    </row>
    <row r="516" customFormat="false" ht="15" hidden="false" customHeight="false" outlineLevel="0" collapsed="false">
      <c r="A516" s="11" t="n">
        <v>515</v>
      </c>
      <c r="B516" s="12" t="s">
        <v>2968</v>
      </c>
      <c r="C516" s="12" t="s">
        <v>2850</v>
      </c>
      <c r="D516" s="12" t="s">
        <v>2851</v>
      </c>
      <c r="E516" s="12" t="s">
        <v>759</v>
      </c>
      <c r="F516" s="12" t="s">
        <v>2897</v>
      </c>
      <c r="G516" s="12" t="s">
        <v>345</v>
      </c>
      <c r="H516" s="12" t="s">
        <v>2969</v>
      </c>
      <c r="I516" s="12" t="s">
        <v>2970</v>
      </c>
      <c r="J516" s="13" t="s">
        <v>2971</v>
      </c>
      <c r="K516" s="12" t="s">
        <v>2901</v>
      </c>
      <c r="L516" s="12" t="s">
        <v>2972</v>
      </c>
      <c r="M516" s="12" t="s">
        <v>2973</v>
      </c>
      <c r="N516" s="12" t="s">
        <v>352</v>
      </c>
      <c r="O516" s="12" t="s">
        <v>102</v>
      </c>
      <c r="P516" s="12" t="s">
        <v>103</v>
      </c>
      <c r="Q516" s="12" t="s">
        <v>104</v>
      </c>
      <c r="R516" s="14" t="n">
        <v>1576</v>
      </c>
      <c r="S516" s="14" t="s">
        <v>105</v>
      </c>
      <c r="T516" s="14" t="s">
        <v>106</v>
      </c>
      <c r="U516" s="14" t="n">
        <v>2022</v>
      </c>
      <c r="V516" s="12" t="s">
        <v>198</v>
      </c>
      <c r="W516" s="14" t="s">
        <v>2974</v>
      </c>
      <c r="X516" s="15" t="n">
        <f aca="false">IF(OR($S516="%",$R516=""),"",$R516*INDEX(Cambi!$J$2:$J$5,MATCH($S516,Cambi!$I$2:$I$5,0))/IF($T516="EUR",1,INDEX(Cambi!$D:$D,MATCH($T516&amp;"|"&amp;$U516,Cambi!$C:$C,0))))</f>
        <v>1576</v>
      </c>
      <c r="Y516" s="12" t="s">
        <v>130</v>
      </c>
      <c r="Z516" s="12" t="s">
        <v>109</v>
      </c>
      <c r="AA516" s="12" t="s">
        <v>2905</v>
      </c>
      <c r="AB516" s="16" t="s">
        <v>679</v>
      </c>
      <c r="AC516" s="16" t="s">
        <v>2906</v>
      </c>
      <c r="AD516" s="12" t="s">
        <v>112</v>
      </c>
      <c r="AE516" s="12" t="s">
        <v>2907</v>
      </c>
      <c r="AF516" s="12" t="s">
        <v>2975</v>
      </c>
      <c r="AG516" s="12" t="s">
        <v>498</v>
      </c>
      <c r="AH516" s="12" t="s">
        <v>116</v>
      </c>
      <c r="AI516" s="12" t="s">
        <v>117</v>
      </c>
      <c r="AJ516" s="12" t="s">
        <v>2976</v>
      </c>
      <c r="AK516" s="12" t="s">
        <v>4</v>
      </c>
    </row>
    <row r="517" customFormat="false" ht="15" hidden="false" customHeight="false" outlineLevel="0" collapsed="false">
      <c r="A517" s="11" t="n">
        <v>516</v>
      </c>
      <c r="B517" s="12" t="s">
        <v>2968</v>
      </c>
      <c r="C517" s="12" t="s">
        <v>2850</v>
      </c>
      <c r="D517" s="12" t="s">
        <v>2851</v>
      </c>
      <c r="E517" s="12" t="s">
        <v>759</v>
      </c>
      <c r="F517" s="12" t="s">
        <v>2897</v>
      </c>
      <c r="G517" s="12" t="s">
        <v>345</v>
      </c>
      <c r="H517" s="12" t="s">
        <v>2969</v>
      </c>
      <c r="I517" s="12" t="s">
        <v>2970</v>
      </c>
      <c r="J517" s="13" t="s">
        <v>2971</v>
      </c>
      <c r="K517" s="12" t="s">
        <v>2901</v>
      </c>
      <c r="L517" s="12" t="s">
        <v>2977</v>
      </c>
      <c r="M517" s="12" t="s">
        <v>2978</v>
      </c>
      <c r="N517" s="12" t="s">
        <v>352</v>
      </c>
      <c r="O517" s="12" t="s">
        <v>102</v>
      </c>
      <c r="P517" s="12" t="s">
        <v>214</v>
      </c>
      <c r="Q517" s="12" t="s">
        <v>418</v>
      </c>
      <c r="R517" s="14" t="n">
        <v>324</v>
      </c>
      <c r="S517" s="14" t="s">
        <v>105</v>
      </c>
      <c r="T517" s="14" t="s">
        <v>106</v>
      </c>
      <c r="U517" s="14" t="n">
        <v>2022</v>
      </c>
      <c r="V517" s="12" t="s">
        <v>198</v>
      </c>
      <c r="W517" s="14" t="s">
        <v>2979</v>
      </c>
      <c r="X517" s="15" t="n">
        <f aca="false">IF(OR($S517="%",$R517=""),"",$R517*INDEX(Cambi!$J$2:$J$5,MATCH($S517,Cambi!$I$2:$I$5,0))/IF($T517="EUR",1,INDEX(Cambi!$D:$D,MATCH($T517&amp;"|"&amp;$U517,Cambi!$C:$C,0))))</f>
        <v>324</v>
      </c>
      <c r="Y517" s="12" t="s">
        <v>130</v>
      </c>
      <c r="Z517" s="12" t="s">
        <v>109</v>
      </c>
      <c r="AA517" s="12" t="s">
        <v>2905</v>
      </c>
      <c r="AB517" s="16" t="s">
        <v>679</v>
      </c>
      <c r="AC517" s="16" t="s">
        <v>2906</v>
      </c>
      <c r="AD517" s="12" t="s">
        <v>112</v>
      </c>
      <c r="AE517" s="12" t="s">
        <v>2907</v>
      </c>
      <c r="AF517" s="12" t="s">
        <v>2980</v>
      </c>
      <c r="AG517" s="12" t="s">
        <v>498</v>
      </c>
      <c r="AH517" s="12" t="s">
        <v>116</v>
      </c>
      <c r="AI517" s="12" t="s">
        <v>117</v>
      </c>
      <c r="AJ517" s="12" t="s">
        <v>266</v>
      </c>
      <c r="AK517" s="12" t="s">
        <v>4</v>
      </c>
    </row>
    <row r="518" customFormat="false" ht="15" hidden="false" customHeight="false" outlineLevel="0" collapsed="false">
      <c r="A518" s="11" t="n">
        <v>517</v>
      </c>
      <c r="B518" s="12" t="s">
        <v>2968</v>
      </c>
      <c r="C518" s="12" t="s">
        <v>2850</v>
      </c>
      <c r="D518" s="12" t="s">
        <v>2851</v>
      </c>
      <c r="E518" s="12" t="s">
        <v>759</v>
      </c>
      <c r="F518" s="12" t="s">
        <v>2897</v>
      </c>
      <c r="G518" s="12" t="s">
        <v>345</v>
      </c>
      <c r="H518" s="12" t="s">
        <v>2969</v>
      </c>
      <c r="I518" s="12" t="s">
        <v>2970</v>
      </c>
      <c r="J518" s="13" t="s">
        <v>2971</v>
      </c>
      <c r="K518" s="12" t="s">
        <v>2901</v>
      </c>
      <c r="L518" s="12" t="s">
        <v>2981</v>
      </c>
      <c r="M518" s="12" t="s">
        <v>2982</v>
      </c>
      <c r="N518" s="12" t="s">
        <v>352</v>
      </c>
      <c r="O518" s="12" t="s">
        <v>213</v>
      </c>
      <c r="P518" s="12" t="s">
        <v>103</v>
      </c>
      <c r="Q518" s="12" t="s">
        <v>104</v>
      </c>
      <c r="R518" s="14" t="n">
        <v>14</v>
      </c>
      <c r="S518" s="14" t="s">
        <v>197</v>
      </c>
      <c r="T518" s="14"/>
      <c r="U518" s="14" t="n">
        <v>2025</v>
      </c>
      <c r="V518" s="12" t="s">
        <v>107</v>
      </c>
      <c r="W518" s="14" t="s">
        <v>2983</v>
      </c>
      <c r="X518" s="15" t="str">
        <f aca="false">IF(OR($S518="%",$R518=""),"",$R518*INDEX(Cambi!$J$2:$J$5,MATCH($S518,Cambi!$I$2:$I$5,0))/IF($T518="EUR",1,INDEX(Cambi!$D:$D,MATCH($T518&amp;"|"&amp;$U518,Cambi!$C:$C,0))))</f>
        <v/>
      </c>
      <c r="Y518" s="12" t="s">
        <v>130</v>
      </c>
      <c r="Z518" s="12" t="s">
        <v>109</v>
      </c>
      <c r="AA518" s="12" t="s">
        <v>2905</v>
      </c>
      <c r="AB518" s="16" t="s">
        <v>679</v>
      </c>
      <c r="AC518" s="16" t="s">
        <v>2906</v>
      </c>
      <c r="AD518" s="12" t="s">
        <v>112</v>
      </c>
      <c r="AE518" s="12" t="s">
        <v>2907</v>
      </c>
      <c r="AF518" s="12" t="s">
        <v>2984</v>
      </c>
      <c r="AG518" s="12" t="s">
        <v>498</v>
      </c>
      <c r="AH518" s="12" t="s">
        <v>116</v>
      </c>
      <c r="AI518" s="12" t="s">
        <v>117</v>
      </c>
      <c r="AJ518" s="12" t="s">
        <v>266</v>
      </c>
      <c r="AK518" s="12" t="s">
        <v>4</v>
      </c>
    </row>
    <row r="519" customFormat="false" ht="15" hidden="false" customHeight="false" outlineLevel="0" collapsed="false">
      <c r="A519" s="11" t="n">
        <v>518</v>
      </c>
      <c r="B519" s="12" t="s">
        <v>2985</v>
      </c>
      <c r="C519" s="12" t="s">
        <v>2850</v>
      </c>
      <c r="D519" s="12" t="s">
        <v>2851</v>
      </c>
      <c r="E519" s="12" t="s">
        <v>759</v>
      </c>
      <c r="F519" s="12" t="s">
        <v>2897</v>
      </c>
      <c r="G519" s="12" t="s">
        <v>345</v>
      </c>
      <c r="H519" s="12" t="s">
        <v>2986</v>
      </c>
      <c r="I519" s="12" t="s">
        <v>583</v>
      </c>
      <c r="J519" s="13" t="s">
        <v>2987</v>
      </c>
      <c r="K519" s="12" t="s">
        <v>2901</v>
      </c>
      <c r="L519" s="12" t="s">
        <v>2988</v>
      </c>
      <c r="M519" s="12" t="s">
        <v>2989</v>
      </c>
      <c r="N519" s="12" t="s">
        <v>352</v>
      </c>
      <c r="O519" s="12" t="s">
        <v>102</v>
      </c>
      <c r="P519" s="12" t="s">
        <v>214</v>
      </c>
      <c r="Q519" s="12" t="s">
        <v>2990</v>
      </c>
      <c r="R519" s="14" t="n">
        <v>91.7</v>
      </c>
      <c r="S519" s="14" t="s">
        <v>105</v>
      </c>
      <c r="T519" s="14" t="s">
        <v>106</v>
      </c>
      <c r="U519" s="14" t="n">
        <v>2022</v>
      </c>
      <c r="V519" s="12" t="s">
        <v>157</v>
      </c>
      <c r="W519" s="14"/>
      <c r="X519" s="15" t="n">
        <f aca="false">IF(OR($S519="%",$R519=""),"",$R519*INDEX(Cambi!$J$2:$J$5,MATCH($S519,Cambi!$I$2:$I$5,0))/IF($T519="EUR",1,INDEX(Cambi!$D:$D,MATCH($T519&amp;"|"&amp;$U519,Cambi!$C:$C,0))))</f>
        <v>91.7</v>
      </c>
      <c r="Y519" s="12" t="s">
        <v>130</v>
      </c>
      <c r="Z519" s="12" t="s">
        <v>109</v>
      </c>
      <c r="AA519" s="12" t="s">
        <v>2905</v>
      </c>
      <c r="AB519" s="16" t="s">
        <v>679</v>
      </c>
      <c r="AC519" s="16" t="s">
        <v>2906</v>
      </c>
      <c r="AD519" s="12" t="s">
        <v>112</v>
      </c>
      <c r="AE519" s="12" t="s">
        <v>2907</v>
      </c>
      <c r="AF519" s="12" t="s">
        <v>2991</v>
      </c>
      <c r="AG519" s="12" t="s">
        <v>498</v>
      </c>
      <c r="AH519" s="12" t="s">
        <v>116</v>
      </c>
      <c r="AI519" s="12" t="s">
        <v>117</v>
      </c>
      <c r="AJ519" s="12" t="s">
        <v>266</v>
      </c>
      <c r="AK519" s="12" t="s">
        <v>4</v>
      </c>
    </row>
    <row r="520" customFormat="false" ht="15" hidden="false" customHeight="false" outlineLevel="0" collapsed="false">
      <c r="A520" s="11" t="n">
        <v>519</v>
      </c>
      <c r="B520" s="12" t="s">
        <v>2985</v>
      </c>
      <c r="C520" s="12" t="s">
        <v>2850</v>
      </c>
      <c r="D520" s="12" t="s">
        <v>2851</v>
      </c>
      <c r="E520" s="12" t="s">
        <v>759</v>
      </c>
      <c r="F520" s="12" t="s">
        <v>2897</v>
      </c>
      <c r="G520" s="12" t="s">
        <v>345</v>
      </c>
      <c r="H520" s="12" t="s">
        <v>2986</v>
      </c>
      <c r="I520" s="12" t="s">
        <v>583</v>
      </c>
      <c r="J520" s="13" t="s">
        <v>2987</v>
      </c>
      <c r="K520" s="12" t="s">
        <v>2901</v>
      </c>
      <c r="L520" s="12" t="s">
        <v>2988</v>
      </c>
      <c r="M520" s="12" t="s">
        <v>2992</v>
      </c>
      <c r="N520" s="12" t="s">
        <v>352</v>
      </c>
      <c r="O520" s="12" t="s">
        <v>102</v>
      </c>
      <c r="P520" s="12" t="s">
        <v>214</v>
      </c>
      <c r="Q520" s="12" t="s">
        <v>418</v>
      </c>
      <c r="R520" s="14" t="n">
        <v>347.3</v>
      </c>
      <c r="S520" s="14" t="s">
        <v>105</v>
      </c>
      <c r="T520" s="14" t="s">
        <v>106</v>
      </c>
      <c r="U520" s="14" t="n">
        <v>2022</v>
      </c>
      <c r="V520" s="12" t="s">
        <v>157</v>
      </c>
      <c r="W520" s="14"/>
      <c r="X520" s="15" t="n">
        <f aca="false">IF(OR($S520="%",$R520=""),"",$R520*INDEX(Cambi!$J$2:$J$5,MATCH($S520,Cambi!$I$2:$I$5,0))/IF($T520="EUR",1,INDEX(Cambi!$D:$D,MATCH($T520&amp;"|"&amp;$U520,Cambi!$C:$C,0))))</f>
        <v>347.3</v>
      </c>
      <c r="Y520" s="12" t="s">
        <v>130</v>
      </c>
      <c r="Z520" s="12" t="s">
        <v>109</v>
      </c>
      <c r="AA520" s="12" t="s">
        <v>2905</v>
      </c>
      <c r="AB520" s="16" t="s">
        <v>679</v>
      </c>
      <c r="AC520" s="16" t="s">
        <v>2906</v>
      </c>
      <c r="AD520" s="12" t="s">
        <v>112</v>
      </c>
      <c r="AE520" s="12" t="s">
        <v>2907</v>
      </c>
      <c r="AF520" s="12" t="s">
        <v>2993</v>
      </c>
      <c r="AG520" s="12" t="s">
        <v>498</v>
      </c>
      <c r="AH520" s="12" t="s">
        <v>116</v>
      </c>
      <c r="AI520" s="12" t="s">
        <v>117</v>
      </c>
      <c r="AJ520" s="12" t="s">
        <v>2994</v>
      </c>
      <c r="AK520" s="12" t="s">
        <v>4</v>
      </c>
    </row>
    <row r="521" customFormat="false" ht="15" hidden="false" customHeight="false" outlineLevel="0" collapsed="false">
      <c r="A521" s="11" t="n">
        <v>520</v>
      </c>
      <c r="B521" s="12" t="s">
        <v>2985</v>
      </c>
      <c r="C521" s="12" t="s">
        <v>2850</v>
      </c>
      <c r="D521" s="12" t="s">
        <v>2851</v>
      </c>
      <c r="E521" s="12" t="s">
        <v>759</v>
      </c>
      <c r="F521" s="12" t="s">
        <v>2897</v>
      </c>
      <c r="G521" s="12" t="s">
        <v>345</v>
      </c>
      <c r="H521" s="12" t="s">
        <v>2986</v>
      </c>
      <c r="I521" s="12" t="s">
        <v>583</v>
      </c>
      <c r="J521" s="13" t="s">
        <v>2987</v>
      </c>
      <c r="K521" s="12" t="s">
        <v>2901</v>
      </c>
      <c r="L521" s="12" t="s">
        <v>2988</v>
      </c>
      <c r="M521" s="12" t="s">
        <v>2995</v>
      </c>
      <c r="N521" s="12" t="s">
        <v>352</v>
      </c>
      <c r="O521" s="12" t="s">
        <v>102</v>
      </c>
      <c r="P521" s="12" t="s">
        <v>214</v>
      </c>
      <c r="Q521" s="12" t="s">
        <v>2996</v>
      </c>
      <c r="R521" s="14" t="n">
        <v>85.5</v>
      </c>
      <c r="S521" s="14" t="s">
        <v>105</v>
      </c>
      <c r="T521" s="14" t="s">
        <v>106</v>
      </c>
      <c r="U521" s="14" t="n">
        <v>2022</v>
      </c>
      <c r="V521" s="12" t="s">
        <v>157</v>
      </c>
      <c r="W521" s="14"/>
      <c r="X521" s="15" t="n">
        <f aca="false">IF(OR($S521="%",$R521=""),"",$R521*INDEX(Cambi!$J$2:$J$5,MATCH($S521,Cambi!$I$2:$I$5,0))/IF($T521="EUR",1,INDEX(Cambi!$D:$D,MATCH($T521&amp;"|"&amp;$U521,Cambi!$C:$C,0))))</f>
        <v>85.5</v>
      </c>
      <c r="Y521" s="12" t="s">
        <v>130</v>
      </c>
      <c r="Z521" s="12" t="s">
        <v>109</v>
      </c>
      <c r="AA521" s="12" t="s">
        <v>2905</v>
      </c>
      <c r="AB521" s="16" t="s">
        <v>679</v>
      </c>
      <c r="AC521" s="16" t="s">
        <v>2906</v>
      </c>
      <c r="AD521" s="12" t="s">
        <v>112</v>
      </c>
      <c r="AE521" s="12" t="s">
        <v>2907</v>
      </c>
      <c r="AF521" s="12" t="s">
        <v>2997</v>
      </c>
      <c r="AG521" s="12" t="s">
        <v>498</v>
      </c>
      <c r="AH521" s="12" t="s">
        <v>116</v>
      </c>
      <c r="AI521" s="12" t="s">
        <v>117</v>
      </c>
      <c r="AJ521" s="12" t="s">
        <v>266</v>
      </c>
      <c r="AK521" s="12" t="s">
        <v>4</v>
      </c>
    </row>
    <row r="522" customFormat="false" ht="15" hidden="false" customHeight="false" outlineLevel="0" collapsed="false">
      <c r="A522" s="11" t="n">
        <v>521</v>
      </c>
      <c r="B522" s="12" t="s">
        <v>2985</v>
      </c>
      <c r="C522" s="12" t="s">
        <v>2850</v>
      </c>
      <c r="D522" s="12" t="s">
        <v>2851</v>
      </c>
      <c r="E522" s="12" t="s">
        <v>759</v>
      </c>
      <c r="F522" s="12" t="s">
        <v>2897</v>
      </c>
      <c r="G522" s="12" t="s">
        <v>345</v>
      </c>
      <c r="H522" s="12" t="s">
        <v>2986</v>
      </c>
      <c r="I522" s="12" t="s">
        <v>583</v>
      </c>
      <c r="J522" s="13" t="s">
        <v>2987</v>
      </c>
      <c r="K522" s="12" t="s">
        <v>2901</v>
      </c>
      <c r="L522" s="12" t="s">
        <v>2988</v>
      </c>
      <c r="M522" s="12" t="s">
        <v>2998</v>
      </c>
      <c r="N522" s="12" t="s">
        <v>352</v>
      </c>
      <c r="O522" s="12" t="s">
        <v>102</v>
      </c>
      <c r="P522" s="12" t="s">
        <v>214</v>
      </c>
      <c r="Q522" s="12" t="s">
        <v>2999</v>
      </c>
      <c r="R522" s="14" t="n">
        <v>308.2</v>
      </c>
      <c r="S522" s="14" t="s">
        <v>105</v>
      </c>
      <c r="T522" s="14" t="s">
        <v>106</v>
      </c>
      <c r="U522" s="14" t="n">
        <v>2022</v>
      </c>
      <c r="V522" s="12" t="s">
        <v>157</v>
      </c>
      <c r="W522" s="14"/>
      <c r="X522" s="15" t="n">
        <f aca="false">IF(OR($S522="%",$R522=""),"",$R522*INDEX(Cambi!$J$2:$J$5,MATCH($S522,Cambi!$I$2:$I$5,0))/IF($T522="EUR",1,INDEX(Cambi!$D:$D,MATCH($T522&amp;"|"&amp;$U522,Cambi!$C:$C,0))))</f>
        <v>308.2</v>
      </c>
      <c r="Y522" s="12" t="s">
        <v>130</v>
      </c>
      <c r="Z522" s="12" t="s">
        <v>109</v>
      </c>
      <c r="AA522" s="12" t="s">
        <v>2905</v>
      </c>
      <c r="AB522" s="16" t="s">
        <v>679</v>
      </c>
      <c r="AC522" s="16" t="s">
        <v>2906</v>
      </c>
      <c r="AD522" s="12" t="s">
        <v>112</v>
      </c>
      <c r="AE522" s="12" t="s">
        <v>2907</v>
      </c>
      <c r="AF522" s="12" t="s">
        <v>3000</v>
      </c>
      <c r="AG522" s="12" t="s">
        <v>498</v>
      </c>
      <c r="AH522" s="12" t="s">
        <v>116</v>
      </c>
      <c r="AI522" s="12" t="s">
        <v>117</v>
      </c>
      <c r="AJ522" s="12" t="s">
        <v>266</v>
      </c>
      <c r="AK522" s="12" t="s">
        <v>4</v>
      </c>
    </row>
    <row r="523" customFormat="false" ht="15" hidden="false" customHeight="false" outlineLevel="0" collapsed="false">
      <c r="A523" s="11" t="n">
        <v>522</v>
      </c>
      <c r="B523" s="12" t="s">
        <v>2985</v>
      </c>
      <c r="C523" s="12" t="s">
        <v>2850</v>
      </c>
      <c r="D523" s="12" t="s">
        <v>2851</v>
      </c>
      <c r="E523" s="12" t="s">
        <v>759</v>
      </c>
      <c r="F523" s="12" t="s">
        <v>2897</v>
      </c>
      <c r="G523" s="12" t="s">
        <v>345</v>
      </c>
      <c r="H523" s="12" t="s">
        <v>2986</v>
      </c>
      <c r="I523" s="12" t="s">
        <v>583</v>
      </c>
      <c r="J523" s="13" t="s">
        <v>2987</v>
      </c>
      <c r="K523" s="12" t="s">
        <v>2901</v>
      </c>
      <c r="L523" s="12" t="s">
        <v>2988</v>
      </c>
      <c r="M523" s="12" t="s">
        <v>3001</v>
      </c>
      <c r="N523" s="12" t="s">
        <v>352</v>
      </c>
      <c r="O523" s="12" t="s">
        <v>102</v>
      </c>
      <c r="P523" s="12" t="s">
        <v>214</v>
      </c>
      <c r="Q523" s="12" t="s">
        <v>3002</v>
      </c>
      <c r="R523" s="14" t="n">
        <v>137.7</v>
      </c>
      <c r="S523" s="14" t="s">
        <v>105</v>
      </c>
      <c r="T523" s="14" t="s">
        <v>106</v>
      </c>
      <c r="U523" s="14" t="n">
        <v>2022</v>
      </c>
      <c r="V523" s="12" t="s">
        <v>157</v>
      </c>
      <c r="W523" s="14"/>
      <c r="X523" s="15" t="n">
        <f aca="false">IF(OR($S523="%",$R523=""),"",$R523*INDEX(Cambi!$J$2:$J$5,MATCH($S523,Cambi!$I$2:$I$5,0))/IF($T523="EUR",1,INDEX(Cambi!$D:$D,MATCH($T523&amp;"|"&amp;$U523,Cambi!$C:$C,0))))</f>
        <v>137.7</v>
      </c>
      <c r="Y523" s="12" t="s">
        <v>130</v>
      </c>
      <c r="Z523" s="12" t="s">
        <v>109</v>
      </c>
      <c r="AA523" s="12" t="s">
        <v>2905</v>
      </c>
      <c r="AB523" s="16" t="s">
        <v>679</v>
      </c>
      <c r="AC523" s="16" t="s">
        <v>2906</v>
      </c>
      <c r="AD523" s="12" t="s">
        <v>112</v>
      </c>
      <c r="AE523" s="12" t="s">
        <v>2907</v>
      </c>
      <c r="AF523" s="12" t="s">
        <v>2997</v>
      </c>
      <c r="AG523" s="12" t="s">
        <v>498</v>
      </c>
      <c r="AH523" s="12" t="s">
        <v>116</v>
      </c>
      <c r="AI523" s="12" t="s">
        <v>117</v>
      </c>
      <c r="AJ523" s="12" t="s">
        <v>266</v>
      </c>
      <c r="AK523" s="12" t="s">
        <v>4</v>
      </c>
    </row>
    <row r="524" customFormat="false" ht="15" hidden="false" customHeight="false" outlineLevel="0" collapsed="false">
      <c r="A524" s="11" t="n">
        <v>523</v>
      </c>
      <c r="B524" s="12" t="s">
        <v>2985</v>
      </c>
      <c r="C524" s="12" t="s">
        <v>2850</v>
      </c>
      <c r="D524" s="12" t="s">
        <v>2851</v>
      </c>
      <c r="E524" s="12" t="s">
        <v>759</v>
      </c>
      <c r="F524" s="12" t="s">
        <v>2897</v>
      </c>
      <c r="G524" s="12" t="s">
        <v>345</v>
      </c>
      <c r="H524" s="12" t="s">
        <v>2986</v>
      </c>
      <c r="I524" s="12" t="s">
        <v>583</v>
      </c>
      <c r="J524" s="13" t="s">
        <v>2987</v>
      </c>
      <c r="K524" s="12" t="s">
        <v>2901</v>
      </c>
      <c r="L524" s="12" t="s">
        <v>2988</v>
      </c>
      <c r="M524" s="12" t="s">
        <v>3003</v>
      </c>
      <c r="N524" s="12" t="s">
        <v>352</v>
      </c>
      <c r="O524" s="12" t="s">
        <v>102</v>
      </c>
      <c r="P524" s="12" t="s">
        <v>214</v>
      </c>
      <c r="Q524" s="12" t="s">
        <v>462</v>
      </c>
      <c r="R524" s="14" t="n">
        <v>53.2</v>
      </c>
      <c r="S524" s="14" t="s">
        <v>105</v>
      </c>
      <c r="T524" s="14" t="s">
        <v>106</v>
      </c>
      <c r="U524" s="14" t="n">
        <v>2022</v>
      </c>
      <c r="V524" s="12" t="s">
        <v>157</v>
      </c>
      <c r="W524" s="14"/>
      <c r="X524" s="15" t="n">
        <f aca="false">IF(OR($S524="%",$R524=""),"",$R524*INDEX(Cambi!$J$2:$J$5,MATCH($S524,Cambi!$I$2:$I$5,0))/IF($T524="EUR",1,INDEX(Cambi!$D:$D,MATCH($T524&amp;"|"&amp;$U524,Cambi!$C:$C,0))))</f>
        <v>53.2</v>
      </c>
      <c r="Y524" s="12" t="s">
        <v>130</v>
      </c>
      <c r="Z524" s="12" t="s">
        <v>109</v>
      </c>
      <c r="AA524" s="12" t="s">
        <v>2905</v>
      </c>
      <c r="AB524" s="16" t="s">
        <v>679</v>
      </c>
      <c r="AC524" s="16" t="s">
        <v>2906</v>
      </c>
      <c r="AD524" s="12" t="s">
        <v>112</v>
      </c>
      <c r="AE524" s="12" t="s">
        <v>2907</v>
      </c>
      <c r="AF524" s="12" t="s">
        <v>3004</v>
      </c>
      <c r="AG524" s="12" t="s">
        <v>498</v>
      </c>
      <c r="AH524" s="12" t="s">
        <v>116</v>
      </c>
      <c r="AI524" s="12" t="s">
        <v>117</v>
      </c>
      <c r="AJ524" s="12" t="s">
        <v>266</v>
      </c>
      <c r="AK524" s="12" t="s">
        <v>4</v>
      </c>
    </row>
    <row r="525" customFormat="false" ht="15" hidden="false" customHeight="false" outlineLevel="0" collapsed="false">
      <c r="A525" s="11" t="n">
        <v>524</v>
      </c>
      <c r="B525" s="12" t="s">
        <v>2985</v>
      </c>
      <c r="C525" s="12" t="s">
        <v>2850</v>
      </c>
      <c r="D525" s="12" t="s">
        <v>2851</v>
      </c>
      <c r="E525" s="12" t="s">
        <v>759</v>
      </c>
      <c r="F525" s="12" t="s">
        <v>2897</v>
      </c>
      <c r="G525" s="12" t="s">
        <v>345</v>
      </c>
      <c r="H525" s="12" t="s">
        <v>2986</v>
      </c>
      <c r="I525" s="12" t="s">
        <v>583</v>
      </c>
      <c r="J525" s="13" t="s">
        <v>2987</v>
      </c>
      <c r="K525" s="12" t="s">
        <v>2901</v>
      </c>
      <c r="L525" s="12" t="s">
        <v>2988</v>
      </c>
      <c r="M525" s="12" t="s">
        <v>3005</v>
      </c>
      <c r="N525" s="12" t="s">
        <v>352</v>
      </c>
      <c r="O525" s="12" t="s">
        <v>102</v>
      </c>
      <c r="P525" s="12" t="s">
        <v>214</v>
      </c>
      <c r="Q525" s="12" t="s">
        <v>3006</v>
      </c>
      <c r="R525" s="14" t="n">
        <v>71.3</v>
      </c>
      <c r="S525" s="14" t="s">
        <v>105</v>
      </c>
      <c r="T525" s="14" t="s">
        <v>106</v>
      </c>
      <c r="U525" s="14" t="n">
        <v>2022</v>
      </c>
      <c r="V525" s="12" t="s">
        <v>157</v>
      </c>
      <c r="W525" s="14"/>
      <c r="X525" s="15" t="n">
        <f aca="false">IF(OR($S525="%",$R525=""),"",$R525*INDEX(Cambi!$J$2:$J$5,MATCH($S525,Cambi!$I$2:$I$5,0))/IF($T525="EUR",1,INDEX(Cambi!$D:$D,MATCH($T525&amp;"|"&amp;$U525,Cambi!$C:$C,0))))</f>
        <v>71.3</v>
      </c>
      <c r="Y525" s="12" t="s">
        <v>130</v>
      </c>
      <c r="Z525" s="12" t="s">
        <v>109</v>
      </c>
      <c r="AA525" s="12" t="s">
        <v>2905</v>
      </c>
      <c r="AB525" s="16" t="s">
        <v>679</v>
      </c>
      <c r="AC525" s="16" t="s">
        <v>2906</v>
      </c>
      <c r="AD525" s="12" t="s">
        <v>112</v>
      </c>
      <c r="AE525" s="12" t="s">
        <v>2907</v>
      </c>
      <c r="AF525" s="12" t="s">
        <v>3007</v>
      </c>
      <c r="AG525" s="12" t="s">
        <v>498</v>
      </c>
      <c r="AH525" s="12" t="s">
        <v>116</v>
      </c>
      <c r="AI525" s="12" t="s">
        <v>117</v>
      </c>
      <c r="AJ525" s="12" t="s">
        <v>266</v>
      </c>
      <c r="AK525" s="12" t="s">
        <v>4</v>
      </c>
    </row>
    <row r="526" customFormat="false" ht="15" hidden="false" customHeight="false" outlineLevel="0" collapsed="false">
      <c r="A526" s="11" t="n">
        <v>525</v>
      </c>
      <c r="B526" s="12" t="s">
        <v>2985</v>
      </c>
      <c r="C526" s="12" t="s">
        <v>2850</v>
      </c>
      <c r="D526" s="12" t="s">
        <v>2851</v>
      </c>
      <c r="E526" s="12" t="s">
        <v>759</v>
      </c>
      <c r="F526" s="12" t="s">
        <v>2897</v>
      </c>
      <c r="G526" s="12" t="s">
        <v>345</v>
      </c>
      <c r="H526" s="12" t="s">
        <v>2986</v>
      </c>
      <c r="I526" s="12" t="s">
        <v>583</v>
      </c>
      <c r="J526" s="13" t="s">
        <v>2987</v>
      </c>
      <c r="K526" s="12" t="s">
        <v>2901</v>
      </c>
      <c r="L526" s="12" t="s">
        <v>3008</v>
      </c>
      <c r="M526" s="12" t="s">
        <v>3009</v>
      </c>
      <c r="N526" s="12" t="s">
        <v>352</v>
      </c>
      <c r="O526" s="12" t="s">
        <v>102</v>
      </c>
      <c r="P526" s="12" t="s">
        <v>103</v>
      </c>
      <c r="Q526" s="12" t="s">
        <v>104</v>
      </c>
      <c r="R526" s="14" t="n">
        <v>1590</v>
      </c>
      <c r="S526" s="14" t="s">
        <v>105</v>
      </c>
      <c r="T526" s="14" t="s">
        <v>106</v>
      </c>
      <c r="U526" s="14" t="n">
        <v>2022</v>
      </c>
      <c r="V526" s="12" t="s">
        <v>157</v>
      </c>
      <c r="W526" s="14"/>
      <c r="X526" s="15" t="n">
        <f aca="false">IF(OR($S526="%",$R526=""),"",$R526*INDEX(Cambi!$J$2:$J$5,MATCH($S526,Cambi!$I$2:$I$5,0))/IF($T526="EUR",1,INDEX(Cambi!$D:$D,MATCH($T526&amp;"|"&amp;$U526,Cambi!$C:$C,0))))</f>
        <v>1590</v>
      </c>
      <c r="Y526" s="12" t="s">
        <v>130</v>
      </c>
      <c r="Z526" s="12" t="s">
        <v>109</v>
      </c>
      <c r="AA526" s="12" t="s">
        <v>2905</v>
      </c>
      <c r="AB526" s="16" t="s">
        <v>679</v>
      </c>
      <c r="AC526" s="16" t="s">
        <v>2906</v>
      </c>
      <c r="AD526" s="12" t="s">
        <v>112</v>
      </c>
      <c r="AE526" s="12" t="s">
        <v>2907</v>
      </c>
      <c r="AF526" s="12" t="s">
        <v>3010</v>
      </c>
      <c r="AG526" s="12" t="s">
        <v>498</v>
      </c>
      <c r="AH526" s="12" t="s">
        <v>116</v>
      </c>
      <c r="AI526" s="12" t="s">
        <v>117</v>
      </c>
      <c r="AJ526" s="12" t="s">
        <v>3011</v>
      </c>
      <c r="AK526" s="12" t="s">
        <v>4</v>
      </c>
    </row>
    <row r="527" customFormat="false" ht="15" hidden="false" customHeight="false" outlineLevel="0" collapsed="false">
      <c r="A527" s="11" t="n">
        <v>526</v>
      </c>
      <c r="B527" s="12" t="s">
        <v>2985</v>
      </c>
      <c r="C527" s="12" t="s">
        <v>2850</v>
      </c>
      <c r="D527" s="12" t="s">
        <v>2851</v>
      </c>
      <c r="E527" s="12" t="s">
        <v>759</v>
      </c>
      <c r="F527" s="12" t="s">
        <v>2897</v>
      </c>
      <c r="G527" s="12" t="s">
        <v>345</v>
      </c>
      <c r="H527" s="12" t="s">
        <v>2986</v>
      </c>
      <c r="I527" s="12" t="s">
        <v>583</v>
      </c>
      <c r="J527" s="13" t="s">
        <v>2987</v>
      </c>
      <c r="K527" s="12" t="s">
        <v>2901</v>
      </c>
      <c r="L527" s="12" t="s">
        <v>3012</v>
      </c>
      <c r="M527" s="12" t="s">
        <v>3013</v>
      </c>
      <c r="N527" s="12" t="s">
        <v>352</v>
      </c>
      <c r="O527" s="12" t="s">
        <v>102</v>
      </c>
      <c r="P527" s="12" t="s">
        <v>214</v>
      </c>
      <c r="Q527" s="12" t="s">
        <v>418</v>
      </c>
      <c r="R527" s="14" t="n">
        <v>393.2</v>
      </c>
      <c r="S527" s="14" t="s">
        <v>105</v>
      </c>
      <c r="T527" s="14" t="s">
        <v>106</v>
      </c>
      <c r="U527" s="14" t="n">
        <v>2023</v>
      </c>
      <c r="V527" s="12" t="s">
        <v>198</v>
      </c>
      <c r="W527" s="14"/>
      <c r="X527" s="15" t="n">
        <f aca="false">IF(OR($S527="%",$R527=""),"",$R527*INDEX(Cambi!$J$2:$J$5,MATCH($S527,Cambi!$I$2:$I$5,0))/IF($T527="EUR",1,INDEX(Cambi!$D:$D,MATCH($T527&amp;"|"&amp;$U527,Cambi!$C:$C,0))))</f>
        <v>393.2</v>
      </c>
      <c r="Y527" s="12" t="s">
        <v>130</v>
      </c>
      <c r="Z527" s="12" t="s">
        <v>109</v>
      </c>
      <c r="AA527" s="12" t="s">
        <v>2905</v>
      </c>
      <c r="AB527" s="16" t="s">
        <v>679</v>
      </c>
      <c r="AC527" s="16" t="s">
        <v>2906</v>
      </c>
      <c r="AD527" s="12" t="s">
        <v>112</v>
      </c>
      <c r="AE527" s="12" t="s">
        <v>2907</v>
      </c>
      <c r="AF527" s="12" t="s">
        <v>3014</v>
      </c>
      <c r="AG527" s="12" t="s">
        <v>498</v>
      </c>
      <c r="AH527" s="12" t="s">
        <v>116</v>
      </c>
      <c r="AI527" s="12" t="s">
        <v>117</v>
      </c>
      <c r="AJ527" s="12" t="s">
        <v>3015</v>
      </c>
      <c r="AK527" s="12" t="s">
        <v>4</v>
      </c>
    </row>
    <row r="528" customFormat="false" ht="15" hidden="false" customHeight="false" outlineLevel="0" collapsed="false">
      <c r="A528" s="11" t="n">
        <v>527</v>
      </c>
      <c r="B528" s="12" t="s">
        <v>2985</v>
      </c>
      <c r="C528" s="12" t="s">
        <v>2850</v>
      </c>
      <c r="D528" s="12" t="s">
        <v>2851</v>
      </c>
      <c r="E528" s="12" t="s">
        <v>759</v>
      </c>
      <c r="F528" s="12" t="s">
        <v>2897</v>
      </c>
      <c r="G528" s="12" t="s">
        <v>345</v>
      </c>
      <c r="H528" s="12" t="s">
        <v>2986</v>
      </c>
      <c r="I528" s="12" t="s">
        <v>583</v>
      </c>
      <c r="J528" s="13" t="s">
        <v>2987</v>
      </c>
      <c r="K528" s="12" t="s">
        <v>2901</v>
      </c>
      <c r="L528" s="12" t="s">
        <v>3012</v>
      </c>
      <c r="M528" s="12" t="s">
        <v>3016</v>
      </c>
      <c r="N528" s="12" t="s">
        <v>352</v>
      </c>
      <c r="O528" s="12" t="s">
        <v>102</v>
      </c>
      <c r="P528" s="12" t="s">
        <v>214</v>
      </c>
      <c r="Q528" s="12" t="s">
        <v>2996</v>
      </c>
      <c r="R528" s="14" t="n">
        <v>103.8</v>
      </c>
      <c r="S528" s="14" t="s">
        <v>105</v>
      </c>
      <c r="T528" s="14" t="s">
        <v>106</v>
      </c>
      <c r="U528" s="14" t="n">
        <v>2023</v>
      </c>
      <c r="V528" s="12" t="s">
        <v>198</v>
      </c>
      <c r="W528" s="14"/>
      <c r="X528" s="15" t="n">
        <f aca="false">IF(OR($S528="%",$R528=""),"",$R528*INDEX(Cambi!$J$2:$J$5,MATCH($S528,Cambi!$I$2:$I$5,0))/IF($T528="EUR",1,INDEX(Cambi!$D:$D,MATCH($T528&amp;"|"&amp;$U528,Cambi!$C:$C,0))))</f>
        <v>103.8</v>
      </c>
      <c r="Y528" s="12" t="s">
        <v>130</v>
      </c>
      <c r="Z528" s="12" t="s">
        <v>109</v>
      </c>
      <c r="AA528" s="12" t="s">
        <v>2905</v>
      </c>
      <c r="AB528" s="16" t="s">
        <v>679</v>
      </c>
      <c r="AC528" s="16" t="s">
        <v>2906</v>
      </c>
      <c r="AD528" s="12" t="s">
        <v>112</v>
      </c>
      <c r="AE528" s="12" t="s">
        <v>2907</v>
      </c>
      <c r="AF528" s="12" t="s">
        <v>3017</v>
      </c>
      <c r="AG528" s="12" t="s">
        <v>498</v>
      </c>
      <c r="AH528" s="12" t="s">
        <v>116</v>
      </c>
      <c r="AI528" s="12" t="s">
        <v>117</v>
      </c>
      <c r="AJ528" s="12" t="s">
        <v>266</v>
      </c>
      <c r="AK528" s="12" t="s">
        <v>4</v>
      </c>
    </row>
    <row r="529" customFormat="false" ht="15" hidden="false" customHeight="false" outlineLevel="0" collapsed="false">
      <c r="A529" s="11" t="n">
        <v>528</v>
      </c>
      <c r="B529" s="12" t="s">
        <v>2985</v>
      </c>
      <c r="C529" s="12" t="s">
        <v>2850</v>
      </c>
      <c r="D529" s="12" t="s">
        <v>2851</v>
      </c>
      <c r="E529" s="12" t="s">
        <v>759</v>
      </c>
      <c r="F529" s="12" t="s">
        <v>2897</v>
      </c>
      <c r="G529" s="12" t="s">
        <v>345</v>
      </c>
      <c r="H529" s="12" t="s">
        <v>2986</v>
      </c>
      <c r="I529" s="12" t="s">
        <v>583</v>
      </c>
      <c r="J529" s="13" t="s">
        <v>2987</v>
      </c>
      <c r="K529" s="12" t="s">
        <v>2901</v>
      </c>
      <c r="L529" s="12" t="s">
        <v>3012</v>
      </c>
      <c r="M529" s="12" t="s">
        <v>3018</v>
      </c>
      <c r="N529" s="12" t="s">
        <v>352</v>
      </c>
      <c r="O529" s="12" t="s">
        <v>102</v>
      </c>
      <c r="P529" s="12" t="s">
        <v>214</v>
      </c>
      <c r="Q529" s="12" t="s">
        <v>3002</v>
      </c>
      <c r="R529" s="14" t="n">
        <v>164.3</v>
      </c>
      <c r="S529" s="14" t="s">
        <v>105</v>
      </c>
      <c r="T529" s="14" t="s">
        <v>106</v>
      </c>
      <c r="U529" s="14" t="n">
        <v>2023</v>
      </c>
      <c r="V529" s="12" t="s">
        <v>198</v>
      </c>
      <c r="W529" s="14"/>
      <c r="X529" s="15" t="n">
        <f aca="false">IF(OR($S529="%",$R529=""),"",$R529*INDEX(Cambi!$J$2:$J$5,MATCH($S529,Cambi!$I$2:$I$5,0))/IF($T529="EUR",1,INDEX(Cambi!$D:$D,MATCH($T529&amp;"|"&amp;$U529,Cambi!$C:$C,0))))</f>
        <v>164.3</v>
      </c>
      <c r="Y529" s="12" t="s">
        <v>130</v>
      </c>
      <c r="Z529" s="12" t="s">
        <v>109</v>
      </c>
      <c r="AA529" s="12" t="s">
        <v>2905</v>
      </c>
      <c r="AB529" s="16" t="s">
        <v>679</v>
      </c>
      <c r="AC529" s="16" t="s">
        <v>2906</v>
      </c>
      <c r="AD529" s="12" t="s">
        <v>112</v>
      </c>
      <c r="AE529" s="12" t="s">
        <v>2907</v>
      </c>
      <c r="AF529" s="12" t="s">
        <v>3017</v>
      </c>
      <c r="AG529" s="12" t="s">
        <v>498</v>
      </c>
      <c r="AH529" s="12" t="s">
        <v>116</v>
      </c>
      <c r="AI529" s="12" t="s">
        <v>117</v>
      </c>
      <c r="AJ529" s="12" t="s">
        <v>266</v>
      </c>
      <c r="AK529" s="12" t="s">
        <v>4</v>
      </c>
    </row>
    <row r="530" customFormat="false" ht="15" hidden="false" customHeight="false" outlineLevel="0" collapsed="false">
      <c r="A530" s="11" t="n">
        <v>529</v>
      </c>
      <c r="B530" s="12" t="s">
        <v>2985</v>
      </c>
      <c r="C530" s="12" t="s">
        <v>2850</v>
      </c>
      <c r="D530" s="12" t="s">
        <v>2851</v>
      </c>
      <c r="E530" s="12" t="s">
        <v>759</v>
      </c>
      <c r="F530" s="12" t="s">
        <v>2897</v>
      </c>
      <c r="G530" s="12" t="s">
        <v>345</v>
      </c>
      <c r="H530" s="12" t="s">
        <v>2986</v>
      </c>
      <c r="I530" s="12" t="s">
        <v>583</v>
      </c>
      <c r="J530" s="13" t="s">
        <v>2987</v>
      </c>
      <c r="K530" s="12" t="s">
        <v>2901</v>
      </c>
      <c r="L530" s="12" t="s">
        <v>3019</v>
      </c>
      <c r="M530" s="12" t="s">
        <v>3020</v>
      </c>
      <c r="N530" s="12" t="s">
        <v>352</v>
      </c>
      <c r="O530" s="12" t="s">
        <v>102</v>
      </c>
      <c r="P530" s="12" t="s">
        <v>103</v>
      </c>
      <c r="Q530" s="12" t="s">
        <v>104</v>
      </c>
      <c r="R530" s="14" t="n">
        <v>1825.5</v>
      </c>
      <c r="S530" s="14" t="s">
        <v>105</v>
      </c>
      <c r="T530" s="14" t="s">
        <v>106</v>
      </c>
      <c r="U530" s="14" t="n">
        <v>2023</v>
      </c>
      <c r="V530" s="12" t="s">
        <v>198</v>
      </c>
      <c r="W530" s="14" t="s">
        <v>3021</v>
      </c>
      <c r="X530" s="15" t="n">
        <f aca="false">IF(OR($S530="%",$R530=""),"",$R530*INDEX(Cambi!$J$2:$J$5,MATCH($S530,Cambi!$I$2:$I$5,0))/IF($T530="EUR",1,INDEX(Cambi!$D:$D,MATCH($T530&amp;"|"&amp;$U530,Cambi!$C:$C,0))))</f>
        <v>1825.5</v>
      </c>
      <c r="Y530" s="12" t="s">
        <v>130</v>
      </c>
      <c r="Z530" s="12" t="s">
        <v>109</v>
      </c>
      <c r="AA530" s="12" t="s">
        <v>2905</v>
      </c>
      <c r="AB530" s="16" t="s">
        <v>679</v>
      </c>
      <c r="AC530" s="16" t="s">
        <v>2906</v>
      </c>
      <c r="AD530" s="12" t="s">
        <v>112</v>
      </c>
      <c r="AE530" s="12" t="s">
        <v>2907</v>
      </c>
      <c r="AF530" s="12" t="s">
        <v>3022</v>
      </c>
      <c r="AG530" s="12" t="s">
        <v>498</v>
      </c>
      <c r="AH530" s="12" t="s">
        <v>116</v>
      </c>
      <c r="AI530" s="12" t="s">
        <v>117</v>
      </c>
      <c r="AJ530" s="12" t="s">
        <v>3023</v>
      </c>
      <c r="AK530" s="12" t="s">
        <v>4</v>
      </c>
    </row>
    <row r="531" customFormat="false" ht="15" hidden="false" customHeight="false" outlineLevel="0" collapsed="false">
      <c r="A531" s="11" t="n">
        <v>530</v>
      </c>
      <c r="B531" s="12" t="s">
        <v>3024</v>
      </c>
      <c r="C531" s="12" t="s">
        <v>2850</v>
      </c>
      <c r="D531" s="12" t="s">
        <v>2851</v>
      </c>
      <c r="E531" s="12" t="s">
        <v>759</v>
      </c>
      <c r="F531" s="12" t="s">
        <v>2897</v>
      </c>
      <c r="G531" s="12" t="s">
        <v>345</v>
      </c>
      <c r="H531" s="12" t="s">
        <v>3025</v>
      </c>
      <c r="I531" s="12" t="s">
        <v>3026</v>
      </c>
      <c r="J531" s="13" t="s">
        <v>3027</v>
      </c>
      <c r="K531" s="12" t="s">
        <v>2901</v>
      </c>
      <c r="L531" s="12" t="s">
        <v>3028</v>
      </c>
      <c r="M531" s="12" t="s">
        <v>3029</v>
      </c>
      <c r="N531" s="12" t="s">
        <v>352</v>
      </c>
      <c r="O531" s="12" t="s">
        <v>102</v>
      </c>
      <c r="P531" s="12" t="s">
        <v>103</v>
      </c>
      <c r="Q531" s="12" t="s">
        <v>104</v>
      </c>
      <c r="R531" s="14" t="n">
        <v>1394.8</v>
      </c>
      <c r="S531" s="14" t="s">
        <v>105</v>
      </c>
      <c r="T531" s="14" t="s">
        <v>106</v>
      </c>
      <c r="U531" s="14" t="n">
        <v>2021</v>
      </c>
      <c r="V531" s="12" t="s">
        <v>157</v>
      </c>
      <c r="W531" s="14"/>
      <c r="X531" s="15" t="n">
        <f aca="false">IF(OR($S531="%",$R531=""),"",$R531*INDEX(Cambi!$J$2:$J$5,MATCH($S531,Cambi!$I$2:$I$5,0))/IF($T531="EUR",1,INDEX(Cambi!$D:$D,MATCH($T531&amp;"|"&amp;$U531,Cambi!$C:$C,0))))</f>
        <v>1394.8</v>
      </c>
      <c r="Y531" s="12" t="s">
        <v>130</v>
      </c>
      <c r="Z531" s="12" t="s">
        <v>109</v>
      </c>
      <c r="AA531" s="12" t="s">
        <v>2905</v>
      </c>
      <c r="AB531" s="16" t="s">
        <v>679</v>
      </c>
      <c r="AC531" s="16" t="s">
        <v>2906</v>
      </c>
      <c r="AD531" s="12" t="s">
        <v>112</v>
      </c>
      <c r="AE531" s="12" t="s">
        <v>2907</v>
      </c>
      <c r="AF531" s="12" t="s">
        <v>3030</v>
      </c>
      <c r="AG531" s="12" t="s">
        <v>498</v>
      </c>
      <c r="AH531" s="12" t="s">
        <v>116</v>
      </c>
      <c r="AI531" s="12" t="s">
        <v>117</v>
      </c>
      <c r="AJ531" s="12" t="s">
        <v>3031</v>
      </c>
      <c r="AK531" s="12" t="s">
        <v>4</v>
      </c>
    </row>
    <row r="532" customFormat="false" ht="15" hidden="false" customHeight="false" outlineLevel="0" collapsed="false">
      <c r="A532" s="11" t="n">
        <v>531</v>
      </c>
      <c r="B532" s="12" t="s">
        <v>3024</v>
      </c>
      <c r="C532" s="12" t="s">
        <v>2850</v>
      </c>
      <c r="D532" s="12" t="s">
        <v>2851</v>
      </c>
      <c r="E532" s="12" t="s">
        <v>759</v>
      </c>
      <c r="F532" s="12" t="s">
        <v>2897</v>
      </c>
      <c r="G532" s="12" t="s">
        <v>345</v>
      </c>
      <c r="H532" s="12" t="s">
        <v>3025</v>
      </c>
      <c r="I532" s="12" t="s">
        <v>3026</v>
      </c>
      <c r="J532" s="13" t="s">
        <v>3027</v>
      </c>
      <c r="K532" s="12" t="s">
        <v>2901</v>
      </c>
      <c r="L532" s="12" t="s">
        <v>3032</v>
      </c>
      <c r="M532" s="12" t="s">
        <v>3033</v>
      </c>
      <c r="N532" s="12" t="s">
        <v>352</v>
      </c>
      <c r="O532" s="12" t="s">
        <v>102</v>
      </c>
      <c r="P532" s="12" t="s">
        <v>103</v>
      </c>
      <c r="Q532" s="12" t="s">
        <v>104</v>
      </c>
      <c r="R532" s="14" t="n">
        <v>1787.9</v>
      </c>
      <c r="S532" s="14" t="s">
        <v>105</v>
      </c>
      <c r="T532" s="14" t="s">
        <v>106</v>
      </c>
      <c r="U532" s="14" t="n">
        <v>2023</v>
      </c>
      <c r="V532" s="12" t="s">
        <v>157</v>
      </c>
      <c r="W532" s="14" t="s">
        <v>3034</v>
      </c>
      <c r="X532" s="15" t="n">
        <f aca="false">IF(OR($S532="%",$R532=""),"",$R532*INDEX(Cambi!$J$2:$J$5,MATCH($S532,Cambi!$I$2:$I$5,0))/IF($T532="EUR",1,INDEX(Cambi!$D:$D,MATCH($T532&amp;"|"&amp;$U532,Cambi!$C:$C,0))))</f>
        <v>1787.9</v>
      </c>
      <c r="Y532" s="12" t="s">
        <v>130</v>
      </c>
      <c r="Z532" s="12" t="s">
        <v>109</v>
      </c>
      <c r="AA532" s="12" t="s">
        <v>2905</v>
      </c>
      <c r="AB532" s="16" t="s">
        <v>679</v>
      </c>
      <c r="AC532" s="16" t="s">
        <v>2906</v>
      </c>
      <c r="AD532" s="12" t="s">
        <v>112</v>
      </c>
      <c r="AE532" s="12" t="s">
        <v>2907</v>
      </c>
      <c r="AF532" s="12" t="s">
        <v>3035</v>
      </c>
      <c r="AG532" s="12" t="s">
        <v>498</v>
      </c>
      <c r="AH532" s="12" t="s">
        <v>116</v>
      </c>
      <c r="AI532" s="12" t="s">
        <v>117</v>
      </c>
      <c r="AJ532" s="12" t="s">
        <v>3036</v>
      </c>
      <c r="AK532" s="12" t="s">
        <v>4</v>
      </c>
    </row>
    <row r="533" customFormat="false" ht="15" hidden="false" customHeight="false" outlineLevel="0" collapsed="false">
      <c r="A533" s="11" t="n">
        <v>532</v>
      </c>
      <c r="B533" s="12" t="s">
        <v>3024</v>
      </c>
      <c r="C533" s="12" t="s">
        <v>2850</v>
      </c>
      <c r="D533" s="12" t="s">
        <v>2851</v>
      </c>
      <c r="E533" s="12" t="s">
        <v>759</v>
      </c>
      <c r="F533" s="12" t="s">
        <v>2897</v>
      </c>
      <c r="G533" s="12" t="s">
        <v>345</v>
      </c>
      <c r="H533" s="12" t="s">
        <v>3025</v>
      </c>
      <c r="I533" s="12" t="s">
        <v>3026</v>
      </c>
      <c r="J533" s="13" t="s">
        <v>3027</v>
      </c>
      <c r="K533" s="12" t="s">
        <v>2901</v>
      </c>
      <c r="L533" s="12" t="s">
        <v>3037</v>
      </c>
      <c r="M533" s="12" t="s">
        <v>3038</v>
      </c>
      <c r="N533" s="12" t="s">
        <v>352</v>
      </c>
      <c r="O533" s="12" t="s">
        <v>102</v>
      </c>
      <c r="P533" s="12" t="s">
        <v>155</v>
      </c>
      <c r="Q533" s="12" t="s">
        <v>3039</v>
      </c>
      <c r="R533" s="14" t="n">
        <v>670.3</v>
      </c>
      <c r="S533" s="14" t="s">
        <v>105</v>
      </c>
      <c r="T533" s="14" t="s">
        <v>106</v>
      </c>
      <c r="U533" s="14" t="n">
        <v>2023</v>
      </c>
      <c r="V533" s="12" t="s">
        <v>157</v>
      </c>
      <c r="W533" s="14"/>
      <c r="X533" s="15" t="n">
        <f aca="false">IF(OR($S533="%",$R533=""),"",$R533*INDEX(Cambi!$J$2:$J$5,MATCH($S533,Cambi!$I$2:$I$5,0))/IF($T533="EUR",1,INDEX(Cambi!$D:$D,MATCH($T533&amp;"|"&amp;$U533,Cambi!$C:$C,0))))</f>
        <v>670.3</v>
      </c>
      <c r="Y533" s="12" t="s">
        <v>130</v>
      </c>
      <c r="Z533" s="12" t="s">
        <v>109</v>
      </c>
      <c r="AA533" s="12" t="s">
        <v>2905</v>
      </c>
      <c r="AB533" s="16" t="s">
        <v>679</v>
      </c>
      <c r="AC533" s="16" t="s">
        <v>2906</v>
      </c>
      <c r="AD533" s="12" t="s">
        <v>112</v>
      </c>
      <c r="AE533" s="12" t="s">
        <v>2907</v>
      </c>
      <c r="AF533" s="12" t="s">
        <v>3040</v>
      </c>
      <c r="AG533" s="12" t="s">
        <v>498</v>
      </c>
      <c r="AH533" s="12" t="s">
        <v>116</v>
      </c>
      <c r="AI533" s="12" t="s">
        <v>117</v>
      </c>
      <c r="AJ533" s="12" t="s">
        <v>266</v>
      </c>
      <c r="AK533" s="12" t="s">
        <v>4</v>
      </c>
    </row>
    <row r="534" customFormat="false" ht="15" hidden="false" customHeight="false" outlineLevel="0" collapsed="false">
      <c r="A534" s="11" t="n">
        <v>533</v>
      </c>
      <c r="B534" s="12" t="s">
        <v>3024</v>
      </c>
      <c r="C534" s="12" t="s">
        <v>2850</v>
      </c>
      <c r="D534" s="12" t="s">
        <v>2851</v>
      </c>
      <c r="E534" s="12" t="s">
        <v>759</v>
      </c>
      <c r="F534" s="12" t="s">
        <v>2897</v>
      </c>
      <c r="G534" s="12" t="s">
        <v>345</v>
      </c>
      <c r="H534" s="12" t="s">
        <v>3025</v>
      </c>
      <c r="I534" s="12" t="s">
        <v>3026</v>
      </c>
      <c r="J534" s="13" t="s">
        <v>3027</v>
      </c>
      <c r="K534" s="12" t="s">
        <v>2901</v>
      </c>
      <c r="L534" s="12" t="s">
        <v>3037</v>
      </c>
      <c r="M534" s="12" t="s">
        <v>3041</v>
      </c>
      <c r="N534" s="12" t="s">
        <v>352</v>
      </c>
      <c r="O534" s="12" t="s">
        <v>102</v>
      </c>
      <c r="P534" s="12" t="s">
        <v>155</v>
      </c>
      <c r="Q534" s="12" t="s">
        <v>2953</v>
      </c>
      <c r="R534" s="14" t="n">
        <v>96.6</v>
      </c>
      <c r="S534" s="14" t="s">
        <v>105</v>
      </c>
      <c r="T534" s="14" t="s">
        <v>106</v>
      </c>
      <c r="U534" s="14" t="n">
        <v>2023</v>
      </c>
      <c r="V534" s="12" t="s">
        <v>157</v>
      </c>
      <c r="W534" s="14"/>
      <c r="X534" s="15" t="n">
        <f aca="false">IF(OR($S534="%",$R534=""),"",$R534*INDEX(Cambi!$J$2:$J$5,MATCH($S534,Cambi!$I$2:$I$5,0))/IF($T534="EUR",1,INDEX(Cambi!$D:$D,MATCH($T534&amp;"|"&amp;$U534,Cambi!$C:$C,0))))</f>
        <v>96.6</v>
      </c>
      <c r="Y534" s="12" t="s">
        <v>130</v>
      </c>
      <c r="Z534" s="12" t="s">
        <v>109</v>
      </c>
      <c r="AA534" s="12" t="s">
        <v>2905</v>
      </c>
      <c r="AB534" s="16" t="s">
        <v>679</v>
      </c>
      <c r="AC534" s="16" t="s">
        <v>2906</v>
      </c>
      <c r="AD534" s="12" t="s">
        <v>112</v>
      </c>
      <c r="AE534" s="12" t="s">
        <v>2907</v>
      </c>
      <c r="AF534" s="12" t="s">
        <v>3042</v>
      </c>
      <c r="AG534" s="12" t="s">
        <v>498</v>
      </c>
      <c r="AH534" s="12" t="s">
        <v>116</v>
      </c>
      <c r="AI534" s="12" t="s">
        <v>117</v>
      </c>
      <c r="AJ534" s="12" t="s">
        <v>266</v>
      </c>
      <c r="AK534" s="12" t="s">
        <v>4</v>
      </c>
    </row>
    <row r="535" customFormat="false" ht="15" hidden="false" customHeight="false" outlineLevel="0" collapsed="false">
      <c r="A535" s="11" t="n">
        <v>534</v>
      </c>
      <c r="B535" s="12" t="s">
        <v>3024</v>
      </c>
      <c r="C535" s="12" t="s">
        <v>2850</v>
      </c>
      <c r="D535" s="12" t="s">
        <v>2851</v>
      </c>
      <c r="E535" s="12" t="s">
        <v>759</v>
      </c>
      <c r="F535" s="12" t="s">
        <v>2897</v>
      </c>
      <c r="G535" s="12" t="s">
        <v>345</v>
      </c>
      <c r="H535" s="12" t="s">
        <v>3025</v>
      </c>
      <c r="I535" s="12" t="s">
        <v>3026</v>
      </c>
      <c r="J535" s="13" t="s">
        <v>3027</v>
      </c>
      <c r="K535" s="12" t="s">
        <v>2901</v>
      </c>
      <c r="L535" s="12" t="s">
        <v>3037</v>
      </c>
      <c r="M535" s="12" t="s">
        <v>3043</v>
      </c>
      <c r="N535" s="12" t="s">
        <v>352</v>
      </c>
      <c r="O535" s="12" t="s">
        <v>102</v>
      </c>
      <c r="P535" s="12" t="s">
        <v>155</v>
      </c>
      <c r="Q535" s="12" t="s">
        <v>3044</v>
      </c>
      <c r="R535" s="14" t="n">
        <v>116</v>
      </c>
      <c r="S535" s="14" t="s">
        <v>105</v>
      </c>
      <c r="T535" s="14" t="s">
        <v>106</v>
      </c>
      <c r="U535" s="14" t="n">
        <v>2023</v>
      </c>
      <c r="V535" s="12" t="s">
        <v>157</v>
      </c>
      <c r="W535" s="14"/>
      <c r="X535" s="15" t="n">
        <f aca="false">IF(OR($S535="%",$R535=""),"",$R535*INDEX(Cambi!$J$2:$J$5,MATCH($S535,Cambi!$I$2:$I$5,0))/IF($T535="EUR",1,INDEX(Cambi!$D:$D,MATCH($T535&amp;"|"&amp;$U535,Cambi!$C:$C,0))))</f>
        <v>116</v>
      </c>
      <c r="Y535" s="12" t="s">
        <v>130</v>
      </c>
      <c r="Z535" s="12" t="s">
        <v>109</v>
      </c>
      <c r="AA535" s="12" t="s">
        <v>2905</v>
      </c>
      <c r="AB535" s="16" t="s">
        <v>679</v>
      </c>
      <c r="AC535" s="16" t="s">
        <v>2906</v>
      </c>
      <c r="AD535" s="12" t="s">
        <v>112</v>
      </c>
      <c r="AE535" s="12" t="s">
        <v>2907</v>
      </c>
      <c r="AF535" s="12" t="s">
        <v>3045</v>
      </c>
      <c r="AG535" s="12" t="s">
        <v>498</v>
      </c>
      <c r="AH535" s="12" t="s">
        <v>116</v>
      </c>
      <c r="AI535" s="12" t="s">
        <v>117</v>
      </c>
      <c r="AJ535" s="12" t="s">
        <v>266</v>
      </c>
      <c r="AK535" s="12" t="s">
        <v>4</v>
      </c>
    </row>
    <row r="536" customFormat="false" ht="15" hidden="false" customHeight="false" outlineLevel="0" collapsed="false">
      <c r="A536" s="11" t="n">
        <v>535</v>
      </c>
      <c r="B536" s="12" t="s">
        <v>3024</v>
      </c>
      <c r="C536" s="12" t="s">
        <v>2850</v>
      </c>
      <c r="D536" s="12" t="s">
        <v>2851</v>
      </c>
      <c r="E536" s="12" t="s">
        <v>759</v>
      </c>
      <c r="F536" s="12" t="s">
        <v>2897</v>
      </c>
      <c r="G536" s="12" t="s">
        <v>345</v>
      </c>
      <c r="H536" s="12" t="s">
        <v>3025</v>
      </c>
      <c r="I536" s="12" t="s">
        <v>3026</v>
      </c>
      <c r="J536" s="13" t="s">
        <v>3027</v>
      </c>
      <c r="K536" s="12" t="s">
        <v>2901</v>
      </c>
      <c r="L536" s="12" t="s">
        <v>3037</v>
      </c>
      <c r="M536" s="12" t="s">
        <v>3046</v>
      </c>
      <c r="N536" s="12" t="s">
        <v>352</v>
      </c>
      <c r="O536" s="12" t="s">
        <v>102</v>
      </c>
      <c r="P536" s="12" t="s">
        <v>155</v>
      </c>
      <c r="Q536" s="12" t="s">
        <v>3047</v>
      </c>
      <c r="R536" s="14" t="n">
        <v>152.2</v>
      </c>
      <c r="S536" s="14" t="s">
        <v>105</v>
      </c>
      <c r="T536" s="14" t="s">
        <v>106</v>
      </c>
      <c r="U536" s="14" t="n">
        <v>2023</v>
      </c>
      <c r="V536" s="12" t="s">
        <v>157</v>
      </c>
      <c r="W536" s="14"/>
      <c r="X536" s="15" t="n">
        <f aca="false">IF(OR($S536="%",$R536=""),"",$R536*INDEX(Cambi!$J$2:$J$5,MATCH($S536,Cambi!$I$2:$I$5,0))/IF($T536="EUR",1,INDEX(Cambi!$D:$D,MATCH($T536&amp;"|"&amp;$U536,Cambi!$C:$C,0))))</f>
        <v>152.2</v>
      </c>
      <c r="Y536" s="12" t="s">
        <v>130</v>
      </c>
      <c r="Z536" s="12" t="s">
        <v>109</v>
      </c>
      <c r="AA536" s="12" t="s">
        <v>2905</v>
      </c>
      <c r="AB536" s="16" t="s">
        <v>679</v>
      </c>
      <c r="AC536" s="16" t="s">
        <v>2906</v>
      </c>
      <c r="AD536" s="12" t="s">
        <v>112</v>
      </c>
      <c r="AE536" s="12" t="s">
        <v>2907</v>
      </c>
      <c r="AF536" s="12" t="s">
        <v>3048</v>
      </c>
      <c r="AG536" s="12" t="s">
        <v>498</v>
      </c>
      <c r="AH536" s="12" t="s">
        <v>116</v>
      </c>
      <c r="AI536" s="12" t="s">
        <v>117</v>
      </c>
      <c r="AJ536" s="12" t="s">
        <v>3049</v>
      </c>
      <c r="AK536" s="12" t="s">
        <v>4</v>
      </c>
    </row>
    <row r="537" customFormat="false" ht="15" hidden="false" customHeight="false" outlineLevel="0" collapsed="false">
      <c r="A537" s="11" t="n">
        <v>536</v>
      </c>
      <c r="B537" s="12" t="s">
        <v>3024</v>
      </c>
      <c r="C537" s="12" t="s">
        <v>2850</v>
      </c>
      <c r="D537" s="12" t="s">
        <v>2851</v>
      </c>
      <c r="E537" s="12" t="s">
        <v>759</v>
      </c>
      <c r="F537" s="12" t="s">
        <v>2897</v>
      </c>
      <c r="G537" s="12" t="s">
        <v>345</v>
      </c>
      <c r="H537" s="12" t="s">
        <v>3025</v>
      </c>
      <c r="I537" s="12" t="s">
        <v>3026</v>
      </c>
      <c r="J537" s="13" t="s">
        <v>3027</v>
      </c>
      <c r="K537" s="12" t="s">
        <v>2901</v>
      </c>
      <c r="L537" s="12" t="s">
        <v>3037</v>
      </c>
      <c r="M537" s="12" t="s">
        <v>3050</v>
      </c>
      <c r="N537" s="12" t="s">
        <v>352</v>
      </c>
      <c r="O537" s="12" t="s">
        <v>102</v>
      </c>
      <c r="P537" s="12" t="s">
        <v>155</v>
      </c>
      <c r="Q537" s="12" t="s">
        <v>3051</v>
      </c>
      <c r="R537" s="14" t="n">
        <v>752.8</v>
      </c>
      <c r="S537" s="14" t="s">
        <v>105</v>
      </c>
      <c r="T537" s="14" t="s">
        <v>106</v>
      </c>
      <c r="U537" s="14" t="n">
        <v>2023</v>
      </c>
      <c r="V537" s="12" t="s">
        <v>157</v>
      </c>
      <c r="W537" s="14"/>
      <c r="X537" s="15" t="n">
        <f aca="false">IF(OR($S537="%",$R537=""),"",$R537*INDEX(Cambi!$J$2:$J$5,MATCH($S537,Cambi!$I$2:$I$5,0))/IF($T537="EUR",1,INDEX(Cambi!$D:$D,MATCH($T537&amp;"|"&amp;$U537,Cambi!$C:$C,0))))</f>
        <v>752.8</v>
      </c>
      <c r="Y537" s="12" t="s">
        <v>130</v>
      </c>
      <c r="Z537" s="12" t="s">
        <v>109</v>
      </c>
      <c r="AA537" s="12" t="s">
        <v>2905</v>
      </c>
      <c r="AB537" s="16" t="s">
        <v>679</v>
      </c>
      <c r="AC537" s="16" t="s">
        <v>2906</v>
      </c>
      <c r="AD537" s="12" t="s">
        <v>112</v>
      </c>
      <c r="AE537" s="12" t="s">
        <v>2907</v>
      </c>
      <c r="AF537" s="12" t="s">
        <v>3052</v>
      </c>
      <c r="AG537" s="12" t="s">
        <v>498</v>
      </c>
      <c r="AH537" s="12" t="s">
        <v>116</v>
      </c>
      <c r="AI537" s="12" t="s">
        <v>117</v>
      </c>
      <c r="AJ537" s="12" t="s">
        <v>266</v>
      </c>
      <c r="AK537" s="12" t="s">
        <v>4</v>
      </c>
    </row>
    <row r="538" customFormat="false" ht="15" hidden="false" customHeight="false" outlineLevel="0" collapsed="false">
      <c r="A538" s="11" t="n">
        <v>537</v>
      </c>
      <c r="B538" s="12" t="s">
        <v>3024</v>
      </c>
      <c r="C538" s="12" t="s">
        <v>2850</v>
      </c>
      <c r="D538" s="12" t="s">
        <v>2851</v>
      </c>
      <c r="E538" s="12" t="s">
        <v>759</v>
      </c>
      <c r="F538" s="12" t="s">
        <v>2897</v>
      </c>
      <c r="G538" s="12" t="s">
        <v>345</v>
      </c>
      <c r="H538" s="12" t="s">
        <v>3025</v>
      </c>
      <c r="I538" s="12" t="s">
        <v>3026</v>
      </c>
      <c r="J538" s="13" t="s">
        <v>3027</v>
      </c>
      <c r="K538" s="12" t="s">
        <v>2901</v>
      </c>
      <c r="L538" s="12" t="s">
        <v>3053</v>
      </c>
      <c r="M538" s="12" t="s">
        <v>3054</v>
      </c>
      <c r="N538" s="12" t="s">
        <v>352</v>
      </c>
      <c r="O538" s="12" t="s">
        <v>102</v>
      </c>
      <c r="P538" s="12" t="s">
        <v>214</v>
      </c>
      <c r="Q538" s="12" t="s">
        <v>3055</v>
      </c>
      <c r="R538" s="14" t="n">
        <v>297.2</v>
      </c>
      <c r="S538" s="14" t="s">
        <v>105</v>
      </c>
      <c r="T538" s="14" t="s">
        <v>106</v>
      </c>
      <c r="U538" s="14" t="n">
        <v>2023</v>
      </c>
      <c r="V538" s="12" t="s">
        <v>157</v>
      </c>
      <c r="W538" s="14" t="s">
        <v>3056</v>
      </c>
      <c r="X538" s="15" t="n">
        <f aca="false">IF(OR($S538="%",$R538=""),"",$R538*INDEX(Cambi!$J$2:$J$5,MATCH($S538,Cambi!$I$2:$I$5,0))/IF($T538="EUR",1,INDEX(Cambi!$D:$D,MATCH($T538&amp;"|"&amp;$U538,Cambi!$C:$C,0))))</f>
        <v>297.2</v>
      </c>
      <c r="Y538" s="12" t="s">
        <v>130</v>
      </c>
      <c r="Z538" s="12" t="s">
        <v>109</v>
      </c>
      <c r="AA538" s="12" t="s">
        <v>2905</v>
      </c>
      <c r="AB538" s="16" t="s">
        <v>679</v>
      </c>
      <c r="AC538" s="16" t="s">
        <v>2906</v>
      </c>
      <c r="AD538" s="12" t="s">
        <v>112</v>
      </c>
      <c r="AE538" s="12" t="s">
        <v>2907</v>
      </c>
      <c r="AF538" s="12" t="s">
        <v>3057</v>
      </c>
      <c r="AG538" s="12" t="s">
        <v>498</v>
      </c>
      <c r="AH538" s="12" t="s">
        <v>116</v>
      </c>
      <c r="AI538" s="12" t="s">
        <v>117</v>
      </c>
      <c r="AJ538" s="12" t="s">
        <v>266</v>
      </c>
      <c r="AK538" s="12" t="s">
        <v>4</v>
      </c>
    </row>
    <row r="539" customFormat="false" ht="15" hidden="false" customHeight="false" outlineLevel="0" collapsed="false">
      <c r="A539" s="11" t="n">
        <v>538</v>
      </c>
      <c r="B539" s="12" t="s">
        <v>3024</v>
      </c>
      <c r="C539" s="12" t="s">
        <v>2850</v>
      </c>
      <c r="D539" s="12" t="s">
        <v>2851</v>
      </c>
      <c r="E539" s="12" t="s">
        <v>759</v>
      </c>
      <c r="F539" s="12" t="s">
        <v>2897</v>
      </c>
      <c r="G539" s="12" t="s">
        <v>345</v>
      </c>
      <c r="H539" s="12" t="s">
        <v>3025</v>
      </c>
      <c r="I539" s="12" t="s">
        <v>3026</v>
      </c>
      <c r="J539" s="13" t="s">
        <v>3027</v>
      </c>
      <c r="K539" s="12" t="s">
        <v>2901</v>
      </c>
      <c r="L539" s="12" t="s">
        <v>3058</v>
      </c>
      <c r="M539" s="12" t="s">
        <v>3059</v>
      </c>
      <c r="N539" s="12" t="s">
        <v>352</v>
      </c>
      <c r="O539" s="12" t="s">
        <v>102</v>
      </c>
      <c r="P539" s="12" t="s">
        <v>214</v>
      </c>
      <c r="Q539" s="12" t="s">
        <v>418</v>
      </c>
      <c r="R539" s="14" t="n">
        <v>388.1</v>
      </c>
      <c r="S539" s="14" t="s">
        <v>105</v>
      </c>
      <c r="T539" s="14" t="s">
        <v>106</v>
      </c>
      <c r="U539" s="14" t="n">
        <v>2023</v>
      </c>
      <c r="V539" s="12" t="s">
        <v>157</v>
      </c>
      <c r="W539" s="14" t="s">
        <v>3060</v>
      </c>
      <c r="X539" s="15" t="n">
        <f aca="false">IF(OR($S539="%",$R539=""),"",$R539*INDEX(Cambi!$J$2:$J$5,MATCH($S539,Cambi!$I$2:$I$5,0))/IF($T539="EUR",1,INDEX(Cambi!$D:$D,MATCH($T539&amp;"|"&amp;$U539,Cambi!$C:$C,0))))</f>
        <v>388.1</v>
      </c>
      <c r="Y539" s="12" t="s">
        <v>130</v>
      </c>
      <c r="Z539" s="12" t="s">
        <v>109</v>
      </c>
      <c r="AA539" s="12" t="s">
        <v>2905</v>
      </c>
      <c r="AB539" s="16" t="s">
        <v>679</v>
      </c>
      <c r="AC539" s="16" t="s">
        <v>2906</v>
      </c>
      <c r="AD539" s="12" t="s">
        <v>112</v>
      </c>
      <c r="AE539" s="12" t="s">
        <v>2907</v>
      </c>
      <c r="AF539" s="12" t="s">
        <v>3061</v>
      </c>
      <c r="AG539" s="12" t="s">
        <v>498</v>
      </c>
      <c r="AH539" s="12" t="s">
        <v>116</v>
      </c>
      <c r="AI539" s="12" t="s">
        <v>117</v>
      </c>
      <c r="AJ539" s="12" t="s">
        <v>266</v>
      </c>
      <c r="AK539" s="12" t="s">
        <v>4</v>
      </c>
    </row>
    <row r="540" customFormat="false" ht="15" hidden="false" customHeight="false" outlineLevel="0" collapsed="false">
      <c r="A540" s="11" t="n">
        <v>539</v>
      </c>
      <c r="B540" s="12" t="s">
        <v>3024</v>
      </c>
      <c r="C540" s="12" t="s">
        <v>2850</v>
      </c>
      <c r="D540" s="12" t="s">
        <v>2851</v>
      </c>
      <c r="E540" s="12" t="s">
        <v>759</v>
      </c>
      <c r="F540" s="12" t="s">
        <v>2897</v>
      </c>
      <c r="G540" s="12" t="s">
        <v>345</v>
      </c>
      <c r="H540" s="12" t="s">
        <v>3025</v>
      </c>
      <c r="I540" s="12" t="s">
        <v>3026</v>
      </c>
      <c r="J540" s="13" t="s">
        <v>3027</v>
      </c>
      <c r="K540" s="12" t="s">
        <v>2901</v>
      </c>
      <c r="L540" s="12" t="s">
        <v>3062</v>
      </c>
      <c r="M540" s="12" t="s">
        <v>3063</v>
      </c>
      <c r="N540" s="12" t="s">
        <v>352</v>
      </c>
      <c r="O540" s="12" t="s">
        <v>102</v>
      </c>
      <c r="P540" s="12" t="s">
        <v>103</v>
      </c>
      <c r="Q540" s="12" t="s">
        <v>104</v>
      </c>
      <c r="R540" s="14" t="n">
        <v>2013.2</v>
      </c>
      <c r="S540" s="14" t="s">
        <v>105</v>
      </c>
      <c r="T540" s="14" t="s">
        <v>106</v>
      </c>
      <c r="U540" s="14" t="n">
        <v>2024</v>
      </c>
      <c r="V540" s="12" t="s">
        <v>198</v>
      </c>
      <c r="W540" s="14" t="s">
        <v>3064</v>
      </c>
      <c r="X540" s="15" t="n">
        <f aca="false">IF(OR($S540="%",$R540=""),"",$R540*INDEX(Cambi!$J$2:$J$5,MATCH($S540,Cambi!$I$2:$I$5,0))/IF($T540="EUR",1,INDEX(Cambi!$D:$D,MATCH($T540&amp;"|"&amp;$U540,Cambi!$C:$C,0))))</f>
        <v>2013.2</v>
      </c>
      <c r="Y540" s="12" t="s">
        <v>130</v>
      </c>
      <c r="Z540" s="12" t="s">
        <v>109</v>
      </c>
      <c r="AA540" s="12" t="s">
        <v>2905</v>
      </c>
      <c r="AB540" s="16" t="s">
        <v>679</v>
      </c>
      <c r="AC540" s="16" t="s">
        <v>2906</v>
      </c>
      <c r="AD540" s="12" t="s">
        <v>112</v>
      </c>
      <c r="AE540" s="12" t="s">
        <v>2907</v>
      </c>
      <c r="AF540" s="12" t="s">
        <v>3065</v>
      </c>
      <c r="AG540" s="12" t="s">
        <v>498</v>
      </c>
      <c r="AH540" s="12" t="s">
        <v>116</v>
      </c>
      <c r="AI540" s="12" t="s">
        <v>117</v>
      </c>
      <c r="AJ540" s="12" t="s">
        <v>3066</v>
      </c>
      <c r="AK540" s="12" t="s">
        <v>4</v>
      </c>
    </row>
    <row r="541" customFormat="false" ht="15" hidden="false" customHeight="false" outlineLevel="0" collapsed="false">
      <c r="A541" s="11" t="n">
        <v>540</v>
      </c>
      <c r="B541" s="12" t="s">
        <v>3024</v>
      </c>
      <c r="C541" s="12" t="s">
        <v>2850</v>
      </c>
      <c r="D541" s="12" t="s">
        <v>2851</v>
      </c>
      <c r="E541" s="12" t="s">
        <v>759</v>
      </c>
      <c r="F541" s="12" t="s">
        <v>2897</v>
      </c>
      <c r="G541" s="12" t="s">
        <v>345</v>
      </c>
      <c r="H541" s="12" t="s">
        <v>3025</v>
      </c>
      <c r="I541" s="12" t="s">
        <v>3026</v>
      </c>
      <c r="J541" s="13" t="s">
        <v>3027</v>
      </c>
      <c r="K541" s="12" t="s">
        <v>2901</v>
      </c>
      <c r="L541" s="12" t="s">
        <v>3037</v>
      </c>
      <c r="M541" s="12" t="s">
        <v>3067</v>
      </c>
      <c r="N541" s="12" t="s">
        <v>352</v>
      </c>
      <c r="O541" s="12" t="s">
        <v>102</v>
      </c>
      <c r="P541" s="12" t="s">
        <v>155</v>
      </c>
      <c r="Q541" s="12" t="s">
        <v>2953</v>
      </c>
      <c r="R541" s="14" t="n">
        <v>108</v>
      </c>
      <c r="S541" s="14" t="s">
        <v>105</v>
      </c>
      <c r="T541" s="14" t="s">
        <v>106</v>
      </c>
      <c r="U541" s="14" t="n">
        <v>2024</v>
      </c>
      <c r="V541" s="12" t="s">
        <v>198</v>
      </c>
      <c r="W541" s="14"/>
      <c r="X541" s="15" t="n">
        <f aca="false">IF(OR($S541="%",$R541=""),"",$R541*INDEX(Cambi!$J$2:$J$5,MATCH($S541,Cambi!$I$2:$I$5,0))/IF($T541="EUR",1,INDEX(Cambi!$D:$D,MATCH($T541&amp;"|"&amp;$U541,Cambi!$C:$C,0))))</f>
        <v>108</v>
      </c>
      <c r="Y541" s="12" t="s">
        <v>130</v>
      </c>
      <c r="Z541" s="12" t="s">
        <v>109</v>
      </c>
      <c r="AA541" s="12" t="s">
        <v>2905</v>
      </c>
      <c r="AB541" s="16" t="s">
        <v>679</v>
      </c>
      <c r="AC541" s="16" t="s">
        <v>2906</v>
      </c>
      <c r="AD541" s="12" t="s">
        <v>112</v>
      </c>
      <c r="AE541" s="12" t="s">
        <v>2907</v>
      </c>
      <c r="AF541" s="12" t="s">
        <v>3068</v>
      </c>
      <c r="AG541" s="12" t="s">
        <v>498</v>
      </c>
      <c r="AH541" s="12" t="s">
        <v>116</v>
      </c>
      <c r="AI541" s="12" t="s">
        <v>117</v>
      </c>
      <c r="AJ541" s="12" t="s">
        <v>266</v>
      </c>
      <c r="AK541" s="12" t="s">
        <v>4</v>
      </c>
    </row>
    <row r="542" customFormat="false" ht="15" hidden="false" customHeight="false" outlineLevel="0" collapsed="false">
      <c r="A542" s="11" t="n">
        <v>541</v>
      </c>
      <c r="B542" s="12" t="s">
        <v>3024</v>
      </c>
      <c r="C542" s="12" t="s">
        <v>2850</v>
      </c>
      <c r="D542" s="12" t="s">
        <v>2851</v>
      </c>
      <c r="E542" s="12" t="s">
        <v>759</v>
      </c>
      <c r="F542" s="12" t="s">
        <v>2897</v>
      </c>
      <c r="G542" s="12" t="s">
        <v>345</v>
      </c>
      <c r="H542" s="12" t="s">
        <v>3025</v>
      </c>
      <c r="I542" s="12" t="s">
        <v>3026</v>
      </c>
      <c r="J542" s="13" t="s">
        <v>3027</v>
      </c>
      <c r="K542" s="12" t="s">
        <v>2901</v>
      </c>
      <c r="L542" s="12" t="s">
        <v>3037</v>
      </c>
      <c r="M542" s="12" t="s">
        <v>3069</v>
      </c>
      <c r="N542" s="12" t="s">
        <v>352</v>
      </c>
      <c r="O542" s="12" t="s">
        <v>102</v>
      </c>
      <c r="P542" s="12" t="s">
        <v>155</v>
      </c>
      <c r="Q542" s="12" t="s">
        <v>3044</v>
      </c>
      <c r="R542" s="14" t="n">
        <v>128.5</v>
      </c>
      <c r="S542" s="14" t="s">
        <v>105</v>
      </c>
      <c r="T542" s="14" t="s">
        <v>106</v>
      </c>
      <c r="U542" s="14" t="n">
        <v>2024</v>
      </c>
      <c r="V542" s="12" t="s">
        <v>198</v>
      </c>
      <c r="W542" s="14"/>
      <c r="X542" s="15" t="n">
        <f aca="false">IF(OR($S542="%",$R542=""),"",$R542*INDEX(Cambi!$J$2:$J$5,MATCH($S542,Cambi!$I$2:$I$5,0))/IF($T542="EUR",1,INDEX(Cambi!$D:$D,MATCH($T542&amp;"|"&amp;$U542,Cambi!$C:$C,0))))</f>
        <v>128.5</v>
      </c>
      <c r="Y542" s="12" t="s">
        <v>130</v>
      </c>
      <c r="Z542" s="12" t="s">
        <v>109</v>
      </c>
      <c r="AA542" s="12" t="s">
        <v>2905</v>
      </c>
      <c r="AB542" s="16" t="s">
        <v>679</v>
      </c>
      <c r="AC542" s="16" t="s">
        <v>2906</v>
      </c>
      <c r="AD542" s="12" t="s">
        <v>112</v>
      </c>
      <c r="AE542" s="12" t="s">
        <v>2907</v>
      </c>
      <c r="AF542" s="12" t="s">
        <v>3070</v>
      </c>
      <c r="AG542" s="12" t="s">
        <v>498</v>
      </c>
      <c r="AH542" s="12" t="s">
        <v>116</v>
      </c>
      <c r="AI542" s="12" t="s">
        <v>117</v>
      </c>
      <c r="AJ542" s="12" t="s">
        <v>266</v>
      </c>
      <c r="AK542" s="12" t="s">
        <v>4</v>
      </c>
    </row>
    <row r="543" customFormat="false" ht="15" hidden="false" customHeight="false" outlineLevel="0" collapsed="false">
      <c r="A543" s="11" t="n">
        <v>542</v>
      </c>
      <c r="B543" s="12" t="s">
        <v>3024</v>
      </c>
      <c r="C543" s="12" t="s">
        <v>2850</v>
      </c>
      <c r="D543" s="12" t="s">
        <v>2851</v>
      </c>
      <c r="E543" s="12" t="s">
        <v>759</v>
      </c>
      <c r="F543" s="12" t="s">
        <v>2897</v>
      </c>
      <c r="G543" s="12" t="s">
        <v>345</v>
      </c>
      <c r="H543" s="12" t="s">
        <v>3025</v>
      </c>
      <c r="I543" s="12" t="s">
        <v>3026</v>
      </c>
      <c r="J543" s="13" t="s">
        <v>3027</v>
      </c>
      <c r="K543" s="12" t="s">
        <v>2901</v>
      </c>
      <c r="L543" s="12" t="s">
        <v>3037</v>
      </c>
      <c r="M543" s="12" t="s">
        <v>3071</v>
      </c>
      <c r="N543" s="12" t="s">
        <v>352</v>
      </c>
      <c r="O543" s="12" t="s">
        <v>102</v>
      </c>
      <c r="P543" s="12" t="s">
        <v>155</v>
      </c>
      <c r="Q543" s="12" t="s">
        <v>3047</v>
      </c>
      <c r="R543" s="14" t="n">
        <v>173.3</v>
      </c>
      <c r="S543" s="14" t="s">
        <v>105</v>
      </c>
      <c r="T543" s="14" t="s">
        <v>106</v>
      </c>
      <c r="U543" s="14" t="n">
        <v>2024</v>
      </c>
      <c r="V543" s="12" t="s">
        <v>198</v>
      </c>
      <c r="W543" s="14"/>
      <c r="X543" s="15" t="n">
        <f aca="false">IF(OR($S543="%",$R543=""),"",$R543*INDEX(Cambi!$J$2:$J$5,MATCH($S543,Cambi!$I$2:$I$5,0))/IF($T543="EUR",1,INDEX(Cambi!$D:$D,MATCH($T543&amp;"|"&amp;$U543,Cambi!$C:$C,0))))</f>
        <v>173.3</v>
      </c>
      <c r="Y543" s="12" t="s">
        <v>130</v>
      </c>
      <c r="Z543" s="12" t="s">
        <v>109</v>
      </c>
      <c r="AA543" s="12" t="s">
        <v>2905</v>
      </c>
      <c r="AB543" s="16" t="s">
        <v>679</v>
      </c>
      <c r="AC543" s="16" t="s">
        <v>2906</v>
      </c>
      <c r="AD543" s="12" t="s">
        <v>112</v>
      </c>
      <c r="AE543" s="12" t="s">
        <v>2907</v>
      </c>
      <c r="AF543" s="12" t="s">
        <v>3072</v>
      </c>
      <c r="AG543" s="12" t="s">
        <v>498</v>
      </c>
      <c r="AH543" s="12" t="s">
        <v>116</v>
      </c>
      <c r="AI543" s="12" t="s">
        <v>117</v>
      </c>
      <c r="AJ543" s="12" t="s">
        <v>266</v>
      </c>
      <c r="AK543" s="12" t="s">
        <v>4</v>
      </c>
    </row>
    <row r="544" customFormat="false" ht="15" hidden="false" customHeight="false" outlineLevel="0" collapsed="false">
      <c r="A544" s="11" t="n">
        <v>543</v>
      </c>
      <c r="B544" s="12" t="s">
        <v>3024</v>
      </c>
      <c r="C544" s="12" t="s">
        <v>2850</v>
      </c>
      <c r="D544" s="12" t="s">
        <v>2851</v>
      </c>
      <c r="E544" s="12" t="s">
        <v>759</v>
      </c>
      <c r="F544" s="12" t="s">
        <v>2897</v>
      </c>
      <c r="G544" s="12" t="s">
        <v>345</v>
      </c>
      <c r="H544" s="12" t="s">
        <v>3025</v>
      </c>
      <c r="I544" s="12" t="s">
        <v>3026</v>
      </c>
      <c r="J544" s="13" t="s">
        <v>3027</v>
      </c>
      <c r="K544" s="12" t="s">
        <v>2901</v>
      </c>
      <c r="L544" s="12" t="s">
        <v>3037</v>
      </c>
      <c r="M544" s="12" t="s">
        <v>3073</v>
      </c>
      <c r="N544" s="12" t="s">
        <v>352</v>
      </c>
      <c r="O544" s="12" t="s">
        <v>102</v>
      </c>
      <c r="P544" s="12" t="s">
        <v>155</v>
      </c>
      <c r="Q544" s="12" t="s">
        <v>3051</v>
      </c>
      <c r="R544" s="14" t="n">
        <v>853.4</v>
      </c>
      <c r="S544" s="14" t="s">
        <v>105</v>
      </c>
      <c r="T544" s="14" t="s">
        <v>106</v>
      </c>
      <c r="U544" s="14" t="n">
        <v>2024</v>
      </c>
      <c r="V544" s="12" t="s">
        <v>198</v>
      </c>
      <c r="W544" s="14"/>
      <c r="X544" s="15" t="n">
        <f aca="false">IF(OR($S544="%",$R544=""),"",$R544*INDEX(Cambi!$J$2:$J$5,MATCH($S544,Cambi!$I$2:$I$5,0))/IF($T544="EUR",1,INDEX(Cambi!$D:$D,MATCH($T544&amp;"|"&amp;$U544,Cambi!$C:$C,0))))</f>
        <v>853.4</v>
      </c>
      <c r="Y544" s="12" t="s">
        <v>130</v>
      </c>
      <c r="Z544" s="12" t="s">
        <v>109</v>
      </c>
      <c r="AA544" s="12" t="s">
        <v>2905</v>
      </c>
      <c r="AB544" s="16" t="s">
        <v>679</v>
      </c>
      <c r="AC544" s="16" t="s">
        <v>2906</v>
      </c>
      <c r="AD544" s="12" t="s">
        <v>112</v>
      </c>
      <c r="AE544" s="12" t="s">
        <v>2907</v>
      </c>
      <c r="AF544" s="12" t="s">
        <v>3074</v>
      </c>
      <c r="AG544" s="12" t="s">
        <v>498</v>
      </c>
      <c r="AH544" s="12" t="s">
        <v>116</v>
      </c>
      <c r="AI544" s="12" t="s">
        <v>117</v>
      </c>
      <c r="AJ544" s="12" t="s">
        <v>3075</v>
      </c>
      <c r="AK544" s="12" t="s">
        <v>4</v>
      </c>
    </row>
    <row r="545" customFormat="false" ht="15" hidden="false" customHeight="false" outlineLevel="0" collapsed="false">
      <c r="A545" s="11" t="n">
        <v>544</v>
      </c>
      <c r="B545" s="12" t="s">
        <v>3024</v>
      </c>
      <c r="C545" s="12" t="s">
        <v>2850</v>
      </c>
      <c r="D545" s="12" t="s">
        <v>2851</v>
      </c>
      <c r="E545" s="12" t="s">
        <v>759</v>
      </c>
      <c r="F545" s="12" t="s">
        <v>2897</v>
      </c>
      <c r="G545" s="12" t="s">
        <v>345</v>
      </c>
      <c r="H545" s="12" t="s">
        <v>3025</v>
      </c>
      <c r="I545" s="12" t="s">
        <v>3026</v>
      </c>
      <c r="J545" s="13" t="s">
        <v>3027</v>
      </c>
      <c r="K545" s="12" t="s">
        <v>2901</v>
      </c>
      <c r="L545" s="12" t="s">
        <v>3076</v>
      </c>
      <c r="M545" s="12" t="s">
        <v>3077</v>
      </c>
      <c r="N545" s="12" t="s">
        <v>352</v>
      </c>
      <c r="O545" s="12" t="s">
        <v>102</v>
      </c>
      <c r="P545" s="12" t="s">
        <v>214</v>
      </c>
      <c r="Q545" s="12" t="s">
        <v>418</v>
      </c>
      <c r="R545" s="14" t="n">
        <v>435</v>
      </c>
      <c r="S545" s="14" t="s">
        <v>105</v>
      </c>
      <c r="T545" s="14" t="s">
        <v>106</v>
      </c>
      <c r="U545" s="14" t="n">
        <v>2024</v>
      </c>
      <c r="V545" s="12" t="s">
        <v>198</v>
      </c>
      <c r="W545" s="14" t="s">
        <v>3078</v>
      </c>
      <c r="X545" s="15" t="n">
        <f aca="false">IF(OR($S545="%",$R545=""),"",$R545*INDEX(Cambi!$J$2:$J$5,MATCH($S545,Cambi!$I$2:$I$5,0))/IF($T545="EUR",1,INDEX(Cambi!$D:$D,MATCH($T545&amp;"|"&amp;$U545,Cambi!$C:$C,0))))</f>
        <v>435</v>
      </c>
      <c r="Y545" s="12" t="s">
        <v>130</v>
      </c>
      <c r="Z545" s="12" t="s">
        <v>109</v>
      </c>
      <c r="AA545" s="12" t="s">
        <v>2905</v>
      </c>
      <c r="AB545" s="16" t="s">
        <v>679</v>
      </c>
      <c r="AC545" s="16" t="s">
        <v>2906</v>
      </c>
      <c r="AD545" s="12" t="s">
        <v>112</v>
      </c>
      <c r="AE545" s="12" t="s">
        <v>2907</v>
      </c>
      <c r="AF545" s="12" t="s">
        <v>3079</v>
      </c>
      <c r="AG545" s="12" t="s">
        <v>498</v>
      </c>
      <c r="AH545" s="12" t="s">
        <v>116</v>
      </c>
      <c r="AI545" s="12" t="s">
        <v>117</v>
      </c>
      <c r="AJ545" s="12" t="s">
        <v>266</v>
      </c>
      <c r="AK545" s="12" t="s">
        <v>4</v>
      </c>
    </row>
    <row r="546" customFormat="false" ht="15" hidden="false" customHeight="false" outlineLevel="0" collapsed="false">
      <c r="A546" s="11" t="n">
        <v>545</v>
      </c>
      <c r="B546" s="12" t="s">
        <v>3024</v>
      </c>
      <c r="C546" s="12" t="s">
        <v>2850</v>
      </c>
      <c r="D546" s="12" t="s">
        <v>2851</v>
      </c>
      <c r="E546" s="12" t="s">
        <v>759</v>
      </c>
      <c r="F546" s="12" t="s">
        <v>2897</v>
      </c>
      <c r="G546" s="12" t="s">
        <v>345</v>
      </c>
      <c r="H546" s="12" t="s">
        <v>3025</v>
      </c>
      <c r="I546" s="12" t="s">
        <v>3026</v>
      </c>
      <c r="J546" s="13" t="s">
        <v>3027</v>
      </c>
      <c r="K546" s="12" t="s">
        <v>2901</v>
      </c>
      <c r="L546" s="12" t="s">
        <v>3037</v>
      </c>
      <c r="M546" s="12" t="s">
        <v>3080</v>
      </c>
      <c r="N546" s="12" t="s">
        <v>352</v>
      </c>
      <c r="O546" s="12" t="s">
        <v>102</v>
      </c>
      <c r="P546" s="12" t="s">
        <v>155</v>
      </c>
      <c r="Q546" s="12" t="s">
        <v>2953</v>
      </c>
      <c r="R546" s="14" t="n">
        <v>142.5</v>
      </c>
      <c r="S546" s="14" t="s">
        <v>105</v>
      </c>
      <c r="T546" s="14" t="s">
        <v>106</v>
      </c>
      <c r="U546" s="14" t="n">
        <v>2027</v>
      </c>
      <c r="V546" s="12" t="s">
        <v>107</v>
      </c>
      <c r="W546" s="14"/>
      <c r="X546" s="15" t="n">
        <f aca="false">IF(OR($S546="%",$R546=""),"",$R546*INDEX(Cambi!$J$2:$J$5,MATCH($S546,Cambi!$I$2:$I$5,0))/IF($T546="EUR",1,INDEX(Cambi!$D:$D,MATCH($T546&amp;"|"&amp;$U546,Cambi!$C:$C,0))))</f>
        <v>142.5</v>
      </c>
      <c r="Y546" s="12" t="s">
        <v>130</v>
      </c>
      <c r="Z546" s="12" t="s">
        <v>109</v>
      </c>
      <c r="AA546" s="12" t="s">
        <v>2905</v>
      </c>
      <c r="AB546" s="16" t="s">
        <v>679</v>
      </c>
      <c r="AC546" s="16" t="s">
        <v>2906</v>
      </c>
      <c r="AD546" s="12" t="s">
        <v>112</v>
      </c>
      <c r="AE546" s="12" t="s">
        <v>2907</v>
      </c>
      <c r="AF546" s="12" t="s">
        <v>3081</v>
      </c>
      <c r="AG546" s="12" t="s">
        <v>498</v>
      </c>
      <c r="AH546" s="12" t="s">
        <v>116</v>
      </c>
      <c r="AI546" s="12" t="s">
        <v>117</v>
      </c>
      <c r="AJ546" s="12" t="s">
        <v>3082</v>
      </c>
      <c r="AK546" s="12" t="s">
        <v>4</v>
      </c>
    </row>
    <row r="547" customFormat="false" ht="15" hidden="false" customHeight="false" outlineLevel="0" collapsed="false">
      <c r="A547" s="11" t="n">
        <v>546</v>
      </c>
      <c r="B547" s="12" t="s">
        <v>3024</v>
      </c>
      <c r="C547" s="12" t="s">
        <v>2850</v>
      </c>
      <c r="D547" s="12" t="s">
        <v>2851</v>
      </c>
      <c r="E547" s="12" t="s">
        <v>759</v>
      </c>
      <c r="F547" s="12" t="s">
        <v>2897</v>
      </c>
      <c r="G547" s="12" t="s">
        <v>345</v>
      </c>
      <c r="H547" s="12" t="s">
        <v>3025</v>
      </c>
      <c r="I547" s="12" t="s">
        <v>3026</v>
      </c>
      <c r="J547" s="13" t="s">
        <v>3027</v>
      </c>
      <c r="K547" s="12" t="s">
        <v>2901</v>
      </c>
      <c r="L547" s="12" t="s">
        <v>3037</v>
      </c>
      <c r="M547" s="12" t="s">
        <v>3083</v>
      </c>
      <c r="N547" s="12" t="s">
        <v>352</v>
      </c>
      <c r="O547" s="12" t="s">
        <v>102</v>
      </c>
      <c r="P547" s="12" t="s">
        <v>155</v>
      </c>
      <c r="Q547" s="12" t="s">
        <v>3051</v>
      </c>
      <c r="R547" s="14" t="n">
        <v>1210</v>
      </c>
      <c r="S547" s="14" t="s">
        <v>105</v>
      </c>
      <c r="T547" s="14" t="s">
        <v>106</v>
      </c>
      <c r="U547" s="14" t="n">
        <v>2027</v>
      </c>
      <c r="V547" s="12" t="s">
        <v>107</v>
      </c>
      <c r="W547" s="14"/>
      <c r="X547" s="15" t="n">
        <f aca="false">IF(OR($S547="%",$R547=""),"",$R547*INDEX(Cambi!$J$2:$J$5,MATCH($S547,Cambi!$I$2:$I$5,0))/IF($T547="EUR",1,INDEX(Cambi!$D:$D,MATCH($T547&amp;"|"&amp;$U547,Cambi!$C:$C,0))))</f>
        <v>1210</v>
      </c>
      <c r="Y547" s="12" t="s">
        <v>130</v>
      </c>
      <c r="Z547" s="12" t="s">
        <v>109</v>
      </c>
      <c r="AA547" s="12" t="s">
        <v>2905</v>
      </c>
      <c r="AB547" s="16" t="s">
        <v>679</v>
      </c>
      <c r="AC547" s="16" t="s">
        <v>2906</v>
      </c>
      <c r="AD547" s="12" t="s">
        <v>112</v>
      </c>
      <c r="AE547" s="12" t="s">
        <v>2907</v>
      </c>
      <c r="AF547" s="12" t="s">
        <v>3084</v>
      </c>
      <c r="AG547" s="12" t="s">
        <v>498</v>
      </c>
      <c r="AH547" s="12" t="s">
        <v>116</v>
      </c>
      <c r="AI547" s="12" t="s">
        <v>117</v>
      </c>
      <c r="AJ547" s="12" t="s">
        <v>3082</v>
      </c>
      <c r="AK547" s="12" t="s">
        <v>4</v>
      </c>
    </row>
    <row r="548" customFormat="false" ht="15" hidden="false" customHeight="false" outlineLevel="0" collapsed="false">
      <c r="A548" s="11" t="n">
        <v>547</v>
      </c>
      <c r="B548" s="12" t="s">
        <v>3085</v>
      </c>
      <c r="C548" s="12" t="s">
        <v>2850</v>
      </c>
      <c r="D548" s="12" t="s">
        <v>2851</v>
      </c>
      <c r="E548" s="12" t="s">
        <v>759</v>
      </c>
      <c r="F548" s="12" t="s">
        <v>2897</v>
      </c>
      <c r="G548" s="12" t="s">
        <v>345</v>
      </c>
      <c r="H548" s="12" t="s">
        <v>3086</v>
      </c>
      <c r="I548" s="12" t="s">
        <v>3087</v>
      </c>
      <c r="J548" s="13" t="s">
        <v>3088</v>
      </c>
      <c r="K548" s="12" t="s">
        <v>2901</v>
      </c>
      <c r="L548" s="12" t="s">
        <v>3089</v>
      </c>
      <c r="M548" s="12" t="s">
        <v>3090</v>
      </c>
      <c r="N548" s="12" t="s">
        <v>352</v>
      </c>
      <c r="O548" s="12" t="s">
        <v>102</v>
      </c>
      <c r="P548" s="12" t="s">
        <v>103</v>
      </c>
      <c r="Q548" s="12" t="s">
        <v>104</v>
      </c>
      <c r="R548" s="14" t="n">
        <v>1590.1</v>
      </c>
      <c r="S548" s="14" t="s">
        <v>105</v>
      </c>
      <c r="T548" s="14" t="s">
        <v>106</v>
      </c>
      <c r="U548" s="14" t="n">
        <v>2022</v>
      </c>
      <c r="V548" s="12" t="s">
        <v>157</v>
      </c>
      <c r="W548" s="14"/>
      <c r="X548" s="15" t="n">
        <f aca="false">IF(OR($S548="%",$R548=""),"",$R548*INDEX(Cambi!$J$2:$J$5,MATCH($S548,Cambi!$I$2:$I$5,0))/IF($T548="EUR",1,INDEX(Cambi!$D:$D,MATCH($T548&amp;"|"&amp;$U548,Cambi!$C:$C,0))))</f>
        <v>1590.1</v>
      </c>
      <c r="Y548" s="12" t="s">
        <v>130</v>
      </c>
      <c r="Z548" s="12" t="s">
        <v>109</v>
      </c>
      <c r="AA548" s="12" t="s">
        <v>2905</v>
      </c>
      <c r="AB548" s="16" t="s">
        <v>679</v>
      </c>
      <c r="AC548" s="16" t="s">
        <v>2906</v>
      </c>
      <c r="AD548" s="12" t="s">
        <v>112</v>
      </c>
      <c r="AE548" s="12" t="s">
        <v>2907</v>
      </c>
      <c r="AF548" s="12" t="s">
        <v>3091</v>
      </c>
      <c r="AG548" s="12" t="s">
        <v>498</v>
      </c>
      <c r="AH548" s="12" t="s">
        <v>116</v>
      </c>
      <c r="AI548" s="12" t="s">
        <v>285</v>
      </c>
      <c r="AJ548" s="12" t="s">
        <v>3092</v>
      </c>
      <c r="AK548" s="12" t="s">
        <v>4</v>
      </c>
    </row>
    <row r="549" customFormat="false" ht="15" hidden="false" customHeight="false" outlineLevel="0" collapsed="false">
      <c r="A549" s="11" t="n">
        <v>548</v>
      </c>
      <c r="B549" s="12" t="s">
        <v>3085</v>
      </c>
      <c r="C549" s="12" t="s">
        <v>2850</v>
      </c>
      <c r="D549" s="12" t="s">
        <v>2851</v>
      </c>
      <c r="E549" s="12" t="s">
        <v>759</v>
      </c>
      <c r="F549" s="12" t="s">
        <v>2897</v>
      </c>
      <c r="G549" s="12" t="s">
        <v>345</v>
      </c>
      <c r="H549" s="12" t="s">
        <v>3086</v>
      </c>
      <c r="I549" s="12" t="s">
        <v>3087</v>
      </c>
      <c r="J549" s="13" t="s">
        <v>3088</v>
      </c>
      <c r="K549" s="12" t="s">
        <v>2901</v>
      </c>
      <c r="L549" s="12" t="s">
        <v>3089</v>
      </c>
      <c r="M549" s="12" t="s">
        <v>3093</v>
      </c>
      <c r="N549" s="12" t="s">
        <v>352</v>
      </c>
      <c r="O549" s="12" t="s">
        <v>102</v>
      </c>
      <c r="P549" s="12" t="s">
        <v>103</v>
      </c>
      <c r="Q549" s="12" t="s">
        <v>104</v>
      </c>
      <c r="R549" s="14" t="n">
        <v>1787.9</v>
      </c>
      <c r="S549" s="14" t="s">
        <v>105</v>
      </c>
      <c r="T549" s="14" t="s">
        <v>106</v>
      </c>
      <c r="U549" s="14" t="n">
        <v>2023</v>
      </c>
      <c r="V549" s="12" t="s">
        <v>157</v>
      </c>
      <c r="W549" s="14"/>
      <c r="X549" s="15" t="n">
        <f aca="false">IF(OR($S549="%",$R549=""),"",$R549*INDEX(Cambi!$J$2:$J$5,MATCH($S549,Cambi!$I$2:$I$5,0))/IF($T549="EUR",1,INDEX(Cambi!$D:$D,MATCH($T549&amp;"|"&amp;$U549,Cambi!$C:$C,0))))</f>
        <v>1787.9</v>
      </c>
      <c r="Y549" s="12" t="s">
        <v>130</v>
      </c>
      <c r="Z549" s="12" t="s">
        <v>109</v>
      </c>
      <c r="AA549" s="12" t="s">
        <v>2905</v>
      </c>
      <c r="AB549" s="16" t="s">
        <v>679</v>
      </c>
      <c r="AC549" s="16" t="s">
        <v>2906</v>
      </c>
      <c r="AD549" s="12" t="s">
        <v>112</v>
      </c>
      <c r="AE549" s="12" t="s">
        <v>2907</v>
      </c>
      <c r="AF549" s="12" t="s">
        <v>3094</v>
      </c>
      <c r="AG549" s="12" t="s">
        <v>498</v>
      </c>
      <c r="AH549" s="12" t="s">
        <v>116</v>
      </c>
      <c r="AI549" s="12" t="s">
        <v>285</v>
      </c>
      <c r="AJ549" s="12" t="s">
        <v>3095</v>
      </c>
      <c r="AK549" s="12" t="s">
        <v>4</v>
      </c>
    </row>
    <row r="550" customFormat="false" ht="15" hidden="false" customHeight="false" outlineLevel="0" collapsed="false">
      <c r="A550" s="11" t="n">
        <v>549</v>
      </c>
      <c r="B550" s="12" t="s">
        <v>3085</v>
      </c>
      <c r="C550" s="12" t="s">
        <v>2850</v>
      </c>
      <c r="D550" s="12" t="s">
        <v>2851</v>
      </c>
      <c r="E550" s="12" t="s">
        <v>759</v>
      </c>
      <c r="F550" s="12" t="s">
        <v>2897</v>
      </c>
      <c r="G550" s="12" t="s">
        <v>345</v>
      </c>
      <c r="H550" s="12" t="s">
        <v>3086</v>
      </c>
      <c r="I550" s="12" t="s">
        <v>3087</v>
      </c>
      <c r="J550" s="13" t="s">
        <v>3088</v>
      </c>
      <c r="K550" s="12" t="s">
        <v>2901</v>
      </c>
      <c r="L550" s="12" t="s">
        <v>3096</v>
      </c>
      <c r="M550" s="12" t="s">
        <v>3097</v>
      </c>
      <c r="N550" s="12" t="s">
        <v>352</v>
      </c>
      <c r="O550" s="12" t="s">
        <v>102</v>
      </c>
      <c r="P550" s="12" t="s">
        <v>155</v>
      </c>
      <c r="Q550" s="12" t="s">
        <v>2953</v>
      </c>
      <c r="R550" s="14" t="n">
        <v>107.3</v>
      </c>
      <c r="S550" s="14" t="s">
        <v>105</v>
      </c>
      <c r="T550" s="14" t="s">
        <v>106</v>
      </c>
      <c r="U550" s="14" t="n">
        <v>2024</v>
      </c>
      <c r="V550" s="12" t="s">
        <v>157</v>
      </c>
      <c r="W550" s="14" t="s">
        <v>3098</v>
      </c>
      <c r="X550" s="15" t="n">
        <f aca="false">IF(OR($S550="%",$R550=""),"",$R550*INDEX(Cambi!$J$2:$J$5,MATCH($S550,Cambi!$I$2:$I$5,0))/IF($T550="EUR",1,INDEX(Cambi!$D:$D,MATCH($T550&amp;"|"&amp;$U550,Cambi!$C:$C,0))))</f>
        <v>107.3</v>
      </c>
      <c r="Y550" s="12" t="s">
        <v>130</v>
      </c>
      <c r="Z550" s="12" t="s">
        <v>109</v>
      </c>
      <c r="AA550" s="12" t="s">
        <v>2905</v>
      </c>
      <c r="AB550" s="16" t="s">
        <v>679</v>
      </c>
      <c r="AC550" s="16" t="s">
        <v>2906</v>
      </c>
      <c r="AD550" s="12" t="s">
        <v>112</v>
      </c>
      <c r="AE550" s="12" t="s">
        <v>2907</v>
      </c>
      <c r="AF550" s="12" t="s">
        <v>3099</v>
      </c>
      <c r="AG550" s="12" t="s">
        <v>498</v>
      </c>
      <c r="AH550" s="12" t="s">
        <v>116</v>
      </c>
      <c r="AI550" s="12" t="s">
        <v>285</v>
      </c>
      <c r="AJ550" s="12" t="s">
        <v>3100</v>
      </c>
      <c r="AK550" s="12" t="s">
        <v>4</v>
      </c>
    </row>
    <row r="551" customFormat="false" ht="15" hidden="false" customHeight="false" outlineLevel="0" collapsed="false">
      <c r="A551" s="11" t="n">
        <v>550</v>
      </c>
      <c r="B551" s="12" t="s">
        <v>3085</v>
      </c>
      <c r="C551" s="12" t="s">
        <v>2850</v>
      </c>
      <c r="D551" s="12" t="s">
        <v>2851</v>
      </c>
      <c r="E551" s="12" t="s">
        <v>759</v>
      </c>
      <c r="F551" s="12" t="s">
        <v>2897</v>
      </c>
      <c r="G551" s="12" t="s">
        <v>345</v>
      </c>
      <c r="H551" s="12" t="s">
        <v>3086</v>
      </c>
      <c r="I551" s="12" t="s">
        <v>3087</v>
      </c>
      <c r="J551" s="13" t="s">
        <v>3088</v>
      </c>
      <c r="K551" s="12" t="s">
        <v>2901</v>
      </c>
      <c r="L551" s="12" t="s">
        <v>3089</v>
      </c>
      <c r="M551" s="12" t="s">
        <v>3101</v>
      </c>
      <c r="N551" s="12" t="s">
        <v>352</v>
      </c>
      <c r="O551" s="12" t="s">
        <v>102</v>
      </c>
      <c r="P551" s="12" t="s">
        <v>103</v>
      </c>
      <c r="Q551" s="12" t="s">
        <v>104</v>
      </c>
      <c r="R551" s="14" t="n">
        <v>2001.2</v>
      </c>
      <c r="S551" s="14" t="s">
        <v>105</v>
      </c>
      <c r="T551" s="14" t="s">
        <v>106</v>
      </c>
      <c r="U551" s="14" t="n">
        <v>2024</v>
      </c>
      <c r="V551" s="12" t="s">
        <v>157</v>
      </c>
      <c r="W551" s="14" t="s">
        <v>3102</v>
      </c>
      <c r="X551" s="15" t="n">
        <f aca="false">IF(OR($S551="%",$R551=""),"",$R551*INDEX(Cambi!$J$2:$J$5,MATCH($S551,Cambi!$I$2:$I$5,0))/IF($T551="EUR",1,INDEX(Cambi!$D:$D,MATCH($T551&amp;"|"&amp;$U551,Cambi!$C:$C,0))))</f>
        <v>2001.2</v>
      </c>
      <c r="Y551" s="12" t="s">
        <v>130</v>
      </c>
      <c r="Z551" s="12" t="s">
        <v>109</v>
      </c>
      <c r="AA551" s="12" t="s">
        <v>2905</v>
      </c>
      <c r="AB551" s="16" t="s">
        <v>679</v>
      </c>
      <c r="AC551" s="16" t="s">
        <v>2906</v>
      </c>
      <c r="AD551" s="12" t="s">
        <v>112</v>
      </c>
      <c r="AE551" s="12" t="s">
        <v>2907</v>
      </c>
      <c r="AF551" s="12" t="s">
        <v>3103</v>
      </c>
      <c r="AG551" s="12" t="s">
        <v>498</v>
      </c>
      <c r="AH551" s="12" t="s">
        <v>116</v>
      </c>
      <c r="AI551" s="12" t="s">
        <v>285</v>
      </c>
      <c r="AJ551" s="12" t="s">
        <v>3104</v>
      </c>
      <c r="AK551" s="12" t="s">
        <v>4</v>
      </c>
    </row>
    <row r="552" customFormat="false" ht="15" hidden="false" customHeight="false" outlineLevel="0" collapsed="false">
      <c r="A552" s="11" t="n">
        <v>551</v>
      </c>
      <c r="B552" s="12" t="s">
        <v>3085</v>
      </c>
      <c r="C552" s="12" t="s">
        <v>2850</v>
      </c>
      <c r="D552" s="12" t="s">
        <v>2851</v>
      </c>
      <c r="E552" s="12" t="s">
        <v>759</v>
      </c>
      <c r="F552" s="12" t="s">
        <v>2897</v>
      </c>
      <c r="G552" s="12" t="s">
        <v>345</v>
      </c>
      <c r="H552" s="12" t="s">
        <v>3086</v>
      </c>
      <c r="I552" s="12" t="s">
        <v>3087</v>
      </c>
      <c r="J552" s="13" t="s">
        <v>3088</v>
      </c>
      <c r="K552" s="12" t="s">
        <v>2901</v>
      </c>
      <c r="L552" s="12" t="s">
        <v>3089</v>
      </c>
      <c r="M552" s="12" t="s">
        <v>3105</v>
      </c>
      <c r="N552" s="12" t="s">
        <v>352</v>
      </c>
      <c r="O552" s="12" t="s">
        <v>102</v>
      </c>
      <c r="P552" s="12" t="s">
        <v>103</v>
      </c>
      <c r="Q552" s="12" t="s">
        <v>104</v>
      </c>
      <c r="R552" s="14" t="n">
        <v>2238</v>
      </c>
      <c r="S552" s="14" t="s">
        <v>105</v>
      </c>
      <c r="T552" s="14" t="s">
        <v>106</v>
      </c>
      <c r="U552" s="14" t="n">
        <v>2025</v>
      </c>
      <c r="V552" s="12" t="s">
        <v>198</v>
      </c>
      <c r="W552" s="14" t="s">
        <v>3106</v>
      </c>
      <c r="X552" s="15" t="n">
        <f aca="false">IF(OR($S552="%",$R552=""),"",$R552*INDEX(Cambi!$J$2:$J$5,MATCH($S552,Cambi!$I$2:$I$5,0))/IF($T552="EUR",1,INDEX(Cambi!$D:$D,MATCH($T552&amp;"|"&amp;$U552,Cambi!$C:$C,0))))</f>
        <v>2238</v>
      </c>
      <c r="Y552" s="12" t="s">
        <v>130</v>
      </c>
      <c r="Z552" s="12" t="s">
        <v>109</v>
      </c>
      <c r="AA552" s="12" t="s">
        <v>2905</v>
      </c>
      <c r="AB552" s="16" t="s">
        <v>679</v>
      </c>
      <c r="AC552" s="16" t="s">
        <v>2906</v>
      </c>
      <c r="AD552" s="12" t="s">
        <v>112</v>
      </c>
      <c r="AE552" s="12" t="s">
        <v>2907</v>
      </c>
      <c r="AF552" s="12" t="s">
        <v>3094</v>
      </c>
      <c r="AG552" s="12" t="s">
        <v>498</v>
      </c>
      <c r="AH552" s="12" t="s">
        <v>116</v>
      </c>
      <c r="AI552" s="12" t="s">
        <v>285</v>
      </c>
      <c r="AJ552" s="12" t="s">
        <v>3092</v>
      </c>
      <c r="AK552" s="12" t="s">
        <v>4</v>
      </c>
    </row>
    <row r="553" customFormat="false" ht="15" hidden="false" customHeight="false" outlineLevel="0" collapsed="false">
      <c r="A553" s="11" t="n">
        <v>552</v>
      </c>
      <c r="B553" s="12" t="s">
        <v>3085</v>
      </c>
      <c r="C553" s="12" t="s">
        <v>2850</v>
      </c>
      <c r="D553" s="12" t="s">
        <v>2851</v>
      </c>
      <c r="E553" s="12" t="s">
        <v>759</v>
      </c>
      <c r="F553" s="12" t="s">
        <v>2897</v>
      </c>
      <c r="G553" s="12" t="s">
        <v>345</v>
      </c>
      <c r="H553" s="12" t="s">
        <v>3086</v>
      </c>
      <c r="I553" s="12" t="s">
        <v>3087</v>
      </c>
      <c r="J553" s="13" t="s">
        <v>3088</v>
      </c>
      <c r="K553" s="12" t="s">
        <v>2901</v>
      </c>
      <c r="L553" s="12" t="s">
        <v>3089</v>
      </c>
      <c r="M553" s="12" t="s">
        <v>3107</v>
      </c>
      <c r="N553" s="12" t="s">
        <v>352</v>
      </c>
      <c r="O553" s="12" t="s">
        <v>102</v>
      </c>
      <c r="P553" s="12" t="s">
        <v>103</v>
      </c>
      <c r="Q553" s="12" t="s">
        <v>104</v>
      </c>
      <c r="R553" s="14" t="n">
        <v>2496.5</v>
      </c>
      <c r="S553" s="14" t="s">
        <v>105</v>
      </c>
      <c r="T553" s="14" t="s">
        <v>106</v>
      </c>
      <c r="U553" s="14" t="n">
        <v>2026</v>
      </c>
      <c r="V553" s="12" t="s">
        <v>107</v>
      </c>
      <c r="W553" s="14"/>
      <c r="X553" s="15" t="n">
        <f aca="false">IF(OR($S553="%",$R553=""),"",$R553*INDEX(Cambi!$J$2:$J$5,MATCH($S553,Cambi!$I$2:$I$5,0))/IF($T553="EUR",1,INDEX(Cambi!$D:$D,MATCH($T553&amp;"|"&amp;$U553,Cambi!$C:$C,0))))</f>
        <v>2496.5</v>
      </c>
      <c r="Y553" s="12" t="s">
        <v>130</v>
      </c>
      <c r="Z553" s="12" t="s">
        <v>109</v>
      </c>
      <c r="AA553" s="12" t="s">
        <v>2905</v>
      </c>
      <c r="AB553" s="16" t="s">
        <v>679</v>
      </c>
      <c r="AC553" s="16" t="s">
        <v>2906</v>
      </c>
      <c r="AD553" s="12" t="s">
        <v>112</v>
      </c>
      <c r="AE553" s="12" t="s">
        <v>2907</v>
      </c>
      <c r="AF553" s="12" t="s">
        <v>3091</v>
      </c>
      <c r="AG553" s="12" t="s">
        <v>498</v>
      </c>
      <c r="AH553" s="12" t="s">
        <v>116</v>
      </c>
      <c r="AI553" s="12" t="s">
        <v>285</v>
      </c>
      <c r="AJ553" s="12" t="s">
        <v>3092</v>
      </c>
      <c r="AK553" s="12" t="s">
        <v>4</v>
      </c>
    </row>
    <row r="554" customFormat="false" ht="15" hidden="false" customHeight="false" outlineLevel="0" collapsed="false">
      <c r="A554" s="11" t="n">
        <v>553</v>
      </c>
      <c r="B554" s="12" t="s">
        <v>3085</v>
      </c>
      <c r="C554" s="12" t="s">
        <v>2850</v>
      </c>
      <c r="D554" s="12" t="s">
        <v>2851</v>
      </c>
      <c r="E554" s="12" t="s">
        <v>759</v>
      </c>
      <c r="F554" s="12" t="s">
        <v>2897</v>
      </c>
      <c r="G554" s="12" t="s">
        <v>345</v>
      </c>
      <c r="H554" s="12" t="s">
        <v>3086</v>
      </c>
      <c r="I554" s="12" t="s">
        <v>3087</v>
      </c>
      <c r="J554" s="13" t="s">
        <v>3088</v>
      </c>
      <c r="K554" s="12" t="s">
        <v>2901</v>
      </c>
      <c r="L554" s="12" t="s">
        <v>3089</v>
      </c>
      <c r="M554" s="12" t="s">
        <v>3108</v>
      </c>
      <c r="N554" s="12" t="s">
        <v>352</v>
      </c>
      <c r="O554" s="12" t="s">
        <v>102</v>
      </c>
      <c r="P554" s="12" t="s">
        <v>103</v>
      </c>
      <c r="Q554" s="12" t="s">
        <v>104</v>
      </c>
      <c r="R554" s="14" t="n">
        <v>2745.3</v>
      </c>
      <c r="S554" s="14" t="s">
        <v>105</v>
      </c>
      <c r="T554" s="14" t="s">
        <v>106</v>
      </c>
      <c r="U554" s="14" t="n">
        <v>2027</v>
      </c>
      <c r="V554" s="12" t="s">
        <v>107</v>
      </c>
      <c r="W554" s="14"/>
      <c r="X554" s="15" t="n">
        <f aca="false">IF(OR($S554="%",$R554=""),"",$R554*INDEX(Cambi!$J$2:$J$5,MATCH($S554,Cambi!$I$2:$I$5,0))/IF($T554="EUR",1,INDEX(Cambi!$D:$D,MATCH($T554&amp;"|"&amp;$U554,Cambi!$C:$C,0))))</f>
        <v>2745.3</v>
      </c>
      <c r="Y554" s="12" t="s">
        <v>130</v>
      </c>
      <c r="Z554" s="12" t="s">
        <v>109</v>
      </c>
      <c r="AA554" s="12" t="s">
        <v>2905</v>
      </c>
      <c r="AB554" s="16" t="s">
        <v>679</v>
      </c>
      <c r="AC554" s="16" t="s">
        <v>2906</v>
      </c>
      <c r="AD554" s="12" t="s">
        <v>112</v>
      </c>
      <c r="AE554" s="12" t="s">
        <v>2907</v>
      </c>
      <c r="AF554" s="12" t="s">
        <v>3091</v>
      </c>
      <c r="AG554" s="12" t="s">
        <v>498</v>
      </c>
      <c r="AH554" s="12" t="s">
        <v>116</v>
      </c>
      <c r="AI554" s="12" t="s">
        <v>285</v>
      </c>
      <c r="AJ554" s="12" t="s">
        <v>3092</v>
      </c>
      <c r="AK554" s="12" t="s">
        <v>4</v>
      </c>
    </row>
    <row r="555" customFormat="false" ht="15" hidden="false" customHeight="false" outlineLevel="0" collapsed="false">
      <c r="A555" s="11" t="n">
        <v>554</v>
      </c>
      <c r="B555" s="12" t="s">
        <v>3085</v>
      </c>
      <c r="C555" s="12" t="s">
        <v>2850</v>
      </c>
      <c r="D555" s="12" t="s">
        <v>2851</v>
      </c>
      <c r="E555" s="12" t="s">
        <v>759</v>
      </c>
      <c r="F555" s="12" t="s">
        <v>2897</v>
      </c>
      <c r="G555" s="12" t="s">
        <v>345</v>
      </c>
      <c r="H555" s="12" t="s">
        <v>3086</v>
      </c>
      <c r="I555" s="12" t="s">
        <v>3087</v>
      </c>
      <c r="J555" s="13" t="s">
        <v>3088</v>
      </c>
      <c r="K555" s="12" t="s">
        <v>2901</v>
      </c>
      <c r="L555" s="12" t="s">
        <v>3109</v>
      </c>
      <c r="M555" s="12" t="s">
        <v>3110</v>
      </c>
      <c r="N555" s="12" t="s">
        <v>352</v>
      </c>
      <c r="O555" s="12" t="s">
        <v>213</v>
      </c>
      <c r="P555" s="12" t="s">
        <v>103</v>
      </c>
      <c r="Q555" s="12" t="s">
        <v>104</v>
      </c>
      <c r="R555" s="14" t="n">
        <v>10.6</v>
      </c>
      <c r="S555" s="14" t="s">
        <v>197</v>
      </c>
      <c r="T555" s="14"/>
      <c r="U555" s="14" t="n">
        <v>2028</v>
      </c>
      <c r="V555" s="12" t="s">
        <v>107</v>
      </c>
      <c r="W555" s="14" t="s">
        <v>3111</v>
      </c>
      <c r="X555" s="15" t="str">
        <f aca="false">IF(OR($S555="%",$R555=""),"",$R555*INDEX(Cambi!$J$2:$J$5,MATCH($S555,Cambi!$I$2:$I$5,0))/IF($T555="EUR",1,INDEX(Cambi!$D:$D,MATCH($T555&amp;"|"&amp;$U555,Cambi!$C:$C,0))))</f>
        <v/>
      </c>
      <c r="Y555" s="12" t="s">
        <v>130</v>
      </c>
      <c r="Z555" s="12" t="s">
        <v>109</v>
      </c>
      <c r="AA555" s="12" t="s">
        <v>2905</v>
      </c>
      <c r="AB555" s="16" t="s">
        <v>679</v>
      </c>
      <c r="AC555" s="16" t="s">
        <v>2906</v>
      </c>
      <c r="AD555" s="12" t="s">
        <v>112</v>
      </c>
      <c r="AE555" s="12" t="s">
        <v>2907</v>
      </c>
      <c r="AF555" s="12" t="s">
        <v>3112</v>
      </c>
      <c r="AG555" s="12" t="s">
        <v>498</v>
      </c>
      <c r="AH555" s="12" t="s">
        <v>116</v>
      </c>
      <c r="AI555" s="12" t="s">
        <v>285</v>
      </c>
      <c r="AJ555" s="12" t="s">
        <v>3113</v>
      </c>
      <c r="AK555" s="12" t="s">
        <v>4</v>
      </c>
    </row>
    <row r="556" customFormat="false" ht="15" hidden="false" customHeight="false" outlineLevel="0" collapsed="false">
      <c r="A556" s="11" t="n">
        <v>555</v>
      </c>
      <c r="B556" s="12" t="s">
        <v>3085</v>
      </c>
      <c r="C556" s="12" t="s">
        <v>2850</v>
      </c>
      <c r="D556" s="12" t="s">
        <v>2851</v>
      </c>
      <c r="E556" s="12" t="s">
        <v>759</v>
      </c>
      <c r="F556" s="12" t="s">
        <v>2897</v>
      </c>
      <c r="G556" s="12" t="s">
        <v>345</v>
      </c>
      <c r="H556" s="12" t="s">
        <v>3086</v>
      </c>
      <c r="I556" s="12" t="s">
        <v>3087</v>
      </c>
      <c r="J556" s="13" t="s">
        <v>3088</v>
      </c>
      <c r="K556" s="12" t="s">
        <v>2901</v>
      </c>
      <c r="L556" s="12" t="s">
        <v>3089</v>
      </c>
      <c r="M556" s="12" t="s">
        <v>3114</v>
      </c>
      <c r="N556" s="12" t="s">
        <v>352</v>
      </c>
      <c r="O556" s="12" t="s">
        <v>102</v>
      </c>
      <c r="P556" s="12" t="s">
        <v>103</v>
      </c>
      <c r="Q556" s="12" t="s">
        <v>104</v>
      </c>
      <c r="R556" s="14" t="n">
        <v>2994</v>
      </c>
      <c r="S556" s="14" t="s">
        <v>105</v>
      </c>
      <c r="T556" s="14" t="s">
        <v>106</v>
      </c>
      <c r="U556" s="14" t="n">
        <v>2028</v>
      </c>
      <c r="V556" s="12" t="s">
        <v>107</v>
      </c>
      <c r="W556" s="14"/>
      <c r="X556" s="15" t="n">
        <f aca="false">IF(OR($S556="%",$R556=""),"",$R556*INDEX(Cambi!$J$2:$J$5,MATCH($S556,Cambi!$I$2:$I$5,0))/IF($T556="EUR",1,INDEX(Cambi!$D:$D,MATCH($T556&amp;"|"&amp;$U556,Cambi!$C:$C,0))))</f>
        <v>2994</v>
      </c>
      <c r="Y556" s="12" t="s">
        <v>130</v>
      </c>
      <c r="Z556" s="12" t="s">
        <v>109</v>
      </c>
      <c r="AA556" s="12" t="s">
        <v>2905</v>
      </c>
      <c r="AB556" s="16" t="s">
        <v>679</v>
      </c>
      <c r="AC556" s="16" t="s">
        <v>2906</v>
      </c>
      <c r="AD556" s="12" t="s">
        <v>112</v>
      </c>
      <c r="AE556" s="12" t="s">
        <v>2907</v>
      </c>
      <c r="AF556" s="12" t="s">
        <v>3091</v>
      </c>
      <c r="AG556" s="12" t="s">
        <v>498</v>
      </c>
      <c r="AH556" s="12" t="s">
        <v>116</v>
      </c>
      <c r="AI556" s="12" t="s">
        <v>285</v>
      </c>
      <c r="AJ556" s="12" t="s">
        <v>3092</v>
      </c>
      <c r="AK556" s="12" t="s">
        <v>4</v>
      </c>
    </row>
    <row r="557" customFormat="false" ht="15" hidden="false" customHeight="false" outlineLevel="0" collapsed="false">
      <c r="A557" s="11" t="n">
        <v>556</v>
      </c>
      <c r="B557" s="12" t="s">
        <v>3115</v>
      </c>
      <c r="C557" s="12" t="s">
        <v>2850</v>
      </c>
      <c r="D557" s="12" t="s">
        <v>2851</v>
      </c>
      <c r="E557" s="12" t="s">
        <v>759</v>
      </c>
      <c r="F557" s="12" t="s">
        <v>2897</v>
      </c>
      <c r="G557" s="12" t="s">
        <v>345</v>
      </c>
      <c r="H557" s="12" t="s">
        <v>3116</v>
      </c>
      <c r="I557" s="12" t="s">
        <v>3117</v>
      </c>
      <c r="J557" s="13" t="s">
        <v>3118</v>
      </c>
      <c r="K557" s="12" t="s">
        <v>2901</v>
      </c>
      <c r="L557" s="12" t="s">
        <v>3119</v>
      </c>
      <c r="M557" s="12" t="s">
        <v>3120</v>
      </c>
      <c r="N557" s="12" t="s">
        <v>352</v>
      </c>
      <c r="O557" s="12" t="s">
        <v>102</v>
      </c>
      <c r="P557" s="12" t="s">
        <v>103</v>
      </c>
      <c r="Q557" s="12" t="s">
        <v>104</v>
      </c>
      <c r="R557" s="14" t="n">
        <v>2.24</v>
      </c>
      <c r="S557" s="14" t="s">
        <v>129</v>
      </c>
      <c r="T557" s="14" t="s">
        <v>106</v>
      </c>
      <c r="U557" s="14" t="n">
        <v>2025</v>
      </c>
      <c r="V557" s="12" t="s">
        <v>157</v>
      </c>
      <c r="W557" s="14" t="s">
        <v>3121</v>
      </c>
      <c r="X557" s="15" t="n">
        <f aca="false">IF(OR($S557="%",$R557=""),"",$R557*INDEX(Cambi!$J$2:$J$5,MATCH($S557,Cambi!$I$2:$I$5,0))/IF($T557="EUR",1,INDEX(Cambi!$D:$D,MATCH($T557&amp;"|"&amp;$U557,Cambi!$C:$C,0))))</f>
        <v>2240</v>
      </c>
      <c r="Y557" s="12" t="s">
        <v>130</v>
      </c>
      <c r="Z557" s="12" t="s">
        <v>109</v>
      </c>
      <c r="AA557" s="12" t="s">
        <v>2905</v>
      </c>
      <c r="AB557" s="16" t="s">
        <v>679</v>
      </c>
      <c r="AC557" s="16" t="s">
        <v>2906</v>
      </c>
      <c r="AD557" s="12" t="s">
        <v>112</v>
      </c>
      <c r="AE557" s="12" t="s">
        <v>2907</v>
      </c>
      <c r="AF557" s="12" t="s">
        <v>3122</v>
      </c>
      <c r="AG557" s="12" t="s">
        <v>498</v>
      </c>
      <c r="AH557" s="12" t="s">
        <v>116</v>
      </c>
      <c r="AI557" s="12" t="s">
        <v>117</v>
      </c>
      <c r="AJ557" s="12" t="s">
        <v>3123</v>
      </c>
      <c r="AK557" s="12" t="s">
        <v>4</v>
      </c>
    </row>
    <row r="558" customFormat="false" ht="15" hidden="false" customHeight="false" outlineLevel="0" collapsed="false">
      <c r="A558" s="11" t="n">
        <v>557</v>
      </c>
      <c r="B558" s="12" t="s">
        <v>3115</v>
      </c>
      <c r="C558" s="12" t="s">
        <v>2850</v>
      </c>
      <c r="D558" s="12" t="s">
        <v>2851</v>
      </c>
      <c r="E558" s="12" t="s">
        <v>759</v>
      </c>
      <c r="F558" s="12" t="s">
        <v>2897</v>
      </c>
      <c r="G558" s="12" t="s">
        <v>345</v>
      </c>
      <c r="H558" s="12" t="s">
        <v>3124</v>
      </c>
      <c r="I558" s="12" t="s">
        <v>3117</v>
      </c>
      <c r="J558" s="13" t="s">
        <v>3125</v>
      </c>
      <c r="K558" s="12" t="s">
        <v>2901</v>
      </c>
      <c r="L558" s="12" t="s">
        <v>3126</v>
      </c>
      <c r="M558" s="12" t="s">
        <v>3127</v>
      </c>
      <c r="N558" s="12" t="s">
        <v>352</v>
      </c>
      <c r="O558" s="12" t="s">
        <v>102</v>
      </c>
      <c r="P558" s="12" t="s">
        <v>103</v>
      </c>
      <c r="Q558" s="12" t="s">
        <v>104</v>
      </c>
      <c r="R558" s="14" t="n">
        <v>2245</v>
      </c>
      <c r="S558" s="14" t="s">
        <v>105</v>
      </c>
      <c r="T558" s="14" t="s">
        <v>106</v>
      </c>
      <c r="U558" s="14" t="n">
        <v>2025</v>
      </c>
      <c r="V558" s="12" t="s">
        <v>157</v>
      </c>
      <c r="W558" s="14" t="s">
        <v>3128</v>
      </c>
      <c r="X558" s="15" t="n">
        <f aca="false">IF(OR($S558="%",$R558=""),"",$R558*INDEX(Cambi!$J$2:$J$5,MATCH($S558,Cambi!$I$2:$I$5,0))/IF($T558="EUR",1,INDEX(Cambi!$D:$D,MATCH($T558&amp;"|"&amp;$U558,Cambi!$C:$C,0))))</f>
        <v>2245</v>
      </c>
      <c r="Y558" s="12" t="s">
        <v>130</v>
      </c>
      <c r="Z558" s="12" t="s">
        <v>109</v>
      </c>
      <c r="AA558" s="12" t="s">
        <v>2905</v>
      </c>
      <c r="AB558" s="16" t="s">
        <v>679</v>
      </c>
      <c r="AC558" s="16" t="s">
        <v>2906</v>
      </c>
      <c r="AD558" s="12" t="s">
        <v>112</v>
      </c>
      <c r="AE558" s="12" t="s">
        <v>2907</v>
      </c>
      <c r="AF558" s="12" t="s">
        <v>3129</v>
      </c>
      <c r="AG558" s="12" t="s">
        <v>498</v>
      </c>
      <c r="AH558" s="12" t="s">
        <v>116</v>
      </c>
      <c r="AI558" s="12" t="s">
        <v>285</v>
      </c>
      <c r="AJ558" s="12" t="s">
        <v>3130</v>
      </c>
      <c r="AK558" s="12" t="s">
        <v>4</v>
      </c>
    </row>
    <row r="559" customFormat="false" ht="15" hidden="false" customHeight="false" outlineLevel="0" collapsed="false">
      <c r="A559" s="11" t="n">
        <v>558</v>
      </c>
      <c r="B559" s="12" t="s">
        <v>3115</v>
      </c>
      <c r="C559" s="12" t="s">
        <v>2850</v>
      </c>
      <c r="D559" s="12" t="s">
        <v>2851</v>
      </c>
      <c r="E559" s="12" t="s">
        <v>759</v>
      </c>
      <c r="F559" s="12" t="s">
        <v>2897</v>
      </c>
      <c r="G559" s="12" t="s">
        <v>345</v>
      </c>
      <c r="H559" s="12" t="s">
        <v>3124</v>
      </c>
      <c r="I559" s="12" t="s">
        <v>3117</v>
      </c>
      <c r="J559" s="13" t="s">
        <v>3125</v>
      </c>
      <c r="K559" s="12" t="s">
        <v>2901</v>
      </c>
      <c r="L559" s="12" t="s">
        <v>3131</v>
      </c>
      <c r="M559" s="12" t="s">
        <v>3132</v>
      </c>
      <c r="N559" s="12" t="s">
        <v>352</v>
      </c>
      <c r="O559" s="12" t="s">
        <v>102</v>
      </c>
      <c r="P559" s="12" t="s">
        <v>103</v>
      </c>
      <c r="Q559" s="12" t="s">
        <v>104</v>
      </c>
      <c r="R559" s="14" t="n">
        <v>2524.9</v>
      </c>
      <c r="S559" s="14" t="s">
        <v>105</v>
      </c>
      <c r="T559" s="14" t="s">
        <v>106</v>
      </c>
      <c r="U559" s="14" t="n">
        <v>2026</v>
      </c>
      <c r="V559" s="12" t="s">
        <v>198</v>
      </c>
      <c r="W559" s="14" t="s">
        <v>3133</v>
      </c>
      <c r="X559" s="15" t="n">
        <f aca="false">IF(OR($S559="%",$R559=""),"",$R559*INDEX(Cambi!$J$2:$J$5,MATCH($S559,Cambi!$I$2:$I$5,0))/IF($T559="EUR",1,INDEX(Cambi!$D:$D,MATCH($T559&amp;"|"&amp;$U559,Cambi!$C:$C,0))))</f>
        <v>2524.9</v>
      </c>
      <c r="Y559" s="12" t="s">
        <v>130</v>
      </c>
      <c r="Z559" s="12" t="s">
        <v>109</v>
      </c>
      <c r="AA559" s="12" t="s">
        <v>2905</v>
      </c>
      <c r="AB559" s="16" t="s">
        <v>679</v>
      </c>
      <c r="AC559" s="16" t="s">
        <v>2906</v>
      </c>
      <c r="AD559" s="12" t="s">
        <v>112</v>
      </c>
      <c r="AE559" s="12" t="s">
        <v>2907</v>
      </c>
      <c r="AF559" s="12" t="s">
        <v>3134</v>
      </c>
      <c r="AG559" s="12" t="s">
        <v>498</v>
      </c>
      <c r="AH559" s="12" t="s">
        <v>116</v>
      </c>
      <c r="AI559" s="12" t="s">
        <v>285</v>
      </c>
      <c r="AJ559" s="12" t="s">
        <v>3135</v>
      </c>
      <c r="AK559" s="12" t="s">
        <v>4</v>
      </c>
    </row>
    <row r="560" customFormat="false" ht="15" hidden="false" customHeight="false" outlineLevel="0" collapsed="false">
      <c r="A560" s="11" t="n">
        <v>559</v>
      </c>
      <c r="B560" s="12" t="s">
        <v>3136</v>
      </c>
      <c r="C560" s="12" t="s">
        <v>2850</v>
      </c>
      <c r="D560" s="12" t="s">
        <v>2851</v>
      </c>
      <c r="E560" s="12" t="s">
        <v>759</v>
      </c>
      <c r="F560" s="12" t="s">
        <v>2897</v>
      </c>
      <c r="G560" s="12" t="s">
        <v>345</v>
      </c>
      <c r="H560" s="12" t="s">
        <v>3137</v>
      </c>
      <c r="I560" s="12" t="s">
        <v>181</v>
      </c>
      <c r="J560" s="13" t="s">
        <v>3138</v>
      </c>
      <c r="K560" s="12" t="s">
        <v>2901</v>
      </c>
      <c r="L560" s="12" t="s">
        <v>3139</v>
      </c>
      <c r="M560" s="12" t="s">
        <v>3140</v>
      </c>
      <c r="N560" s="12" t="s">
        <v>352</v>
      </c>
      <c r="O560" s="12" t="s">
        <v>102</v>
      </c>
      <c r="P560" s="12" t="s">
        <v>155</v>
      </c>
      <c r="Q560" s="12" t="s">
        <v>3051</v>
      </c>
      <c r="R560" s="14" t="n">
        <v>969.4</v>
      </c>
      <c r="S560" s="14" t="s">
        <v>105</v>
      </c>
      <c r="T560" s="14" t="s">
        <v>106</v>
      </c>
      <c r="U560" s="14" t="n">
        <v>2025</v>
      </c>
      <c r="V560" s="12" t="s">
        <v>198</v>
      </c>
      <c r="W560" s="14" t="s">
        <v>3141</v>
      </c>
      <c r="X560" s="15" t="n">
        <f aca="false">IF(OR($S560="%",$R560=""),"",$R560*INDEX(Cambi!$J$2:$J$5,MATCH($S560,Cambi!$I$2:$I$5,0))/IF($T560="EUR",1,INDEX(Cambi!$D:$D,MATCH($T560&amp;"|"&amp;$U560,Cambi!$C:$C,0))))</f>
        <v>969.4</v>
      </c>
      <c r="Y560" s="12" t="s">
        <v>130</v>
      </c>
      <c r="Z560" s="12" t="s">
        <v>109</v>
      </c>
      <c r="AA560" s="12" t="s">
        <v>2905</v>
      </c>
      <c r="AB560" s="16" t="s">
        <v>679</v>
      </c>
      <c r="AC560" s="16" t="s">
        <v>2906</v>
      </c>
      <c r="AD560" s="12" t="s">
        <v>112</v>
      </c>
      <c r="AE560" s="12" t="s">
        <v>2907</v>
      </c>
      <c r="AF560" s="12" t="s">
        <v>3142</v>
      </c>
      <c r="AG560" s="12" t="s">
        <v>498</v>
      </c>
      <c r="AH560" s="12" t="s">
        <v>116</v>
      </c>
      <c r="AI560" s="12" t="s">
        <v>285</v>
      </c>
      <c r="AJ560" s="12" t="s">
        <v>266</v>
      </c>
      <c r="AK560" s="12" t="s">
        <v>4</v>
      </c>
    </row>
    <row r="561" customFormat="false" ht="15" hidden="false" customHeight="false" outlineLevel="0" collapsed="false">
      <c r="A561" s="11" t="n">
        <v>560</v>
      </c>
      <c r="B561" s="12" t="s">
        <v>3136</v>
      </c>
      <c r="C561" s="12" t="s">
        <v>2850</v>
      </c>
      <c r="D561" s="12" t="s">
        <v>2851</v>
      </c>
      <c r="E561" s="12" t="s">
        <v>759</v>
      </c>
      <c r="F561" s="12" t="s">
        <v>2897</v>
      </c>
      <c r="G561" s="12" t="s">
        <v>345</v>
      </c>
      <c r="H561" s="12" t="s">
        <v>3137</v>
      </c>
      <c r="I561" s="12" t="s">
        <v>181</v>
      </c>
      <c r="J561" s="13" t="s">
        <v>3138</v>
      </c>
      <c r="K561" s="12" t="s">
        <v>2901</v>
      </c>
      <c r="L561" s="12" t="s">
        <v>3143</v>
      </c>
      <c r="M561" s="12" t="s">
        <v>3144</v>
      </c>
      <c r="N561" s="12" t="s">
        <v>352</v>
      </c>
      <c r="O561" s="12" t="s">
        <v>102</v>
      </c>
      <c r="P561" s="12" t="s">
        <v>103</v>
      </c>
      <c r="Q561" s="12" t="s">
        <v>104</v>
      </c>
      <c r="R561" s="14" t="n">
        <v>2245</v>
      </c>
      <c r="S561" s="14" t="s">
        <v>105</v>
      </c>
      <c r="T561" s="14" t="s">
        <v>106</v>
      </c>
      <c r="U561" s="14" t="n">
        <v>2025</v>
      </c>
      <c r="V561" s="12" t="s">
        <v>198</v>
      </c>
      <c r="W561" s="14" t="s">
        <v>3128</v>
      </c>
      <c r="X561" s="15" t="n">
        <f aca="false">IF(OR($S561="%",$R561=""),"",$R561*INDEX(Cambi!$J$2:$J$5,MATCH($S561,Cambi!$I$2:$I$5,0))/IF($T561="EUR",1,INDEX(Cambi!$D:$D,MATCH($T561&amp;"|"&amp;$U561,Cambi!$C:$C,0))))</f>
        <v>2245</v>
      </c>
      <c r="Y561" s="12" t="s">
        <v>130</v>
      </c>
      <c r="Z561" s="12" t="s">
        <v>109</v>
      </c>
      <c r="AA561" s="12" t="s">
        <v>2905</v>
      </c>
      <c r="AB561" s="16" t="s">
        <v>679</v>
      </c>
      <c r="AC561" s="16" t="s">
        <v>2906</v>
      </c>
      <c r="AD561" s="12" t="s">
        <v>112</v>
      </c>
      <c r="AE561" s="12" t="s">
        <v>2907</v>
      </c>
      <c r="AF561" s="12" t="s">
        <v>3145</v>
      </c>
      <c r="AG561" s="12" t="s">
        <v>498</v>
      </c>
      <c r="AH561" s="12" t="s">
        <v>116</v>
      </c>
      <c r="AI561" s="12" t="s">
        <v>285</v>
      </c>
      <c r="AJ561" s="12" t="s">
        <v>3146</v>
      </c>
      <c r="AK561" s="12" t="s">
        <v>4</v>
      </c>
    </row>
    <row r="562" customFormat="false" ht="15" hidden="false" customHeight="false" outlineLevel="0" collapsed="false">
      <c r="A562" s="11" t="n">
        <v>561</v>
      </c>
      <c r="B562" s="12" t="s">
        <v>3136</v>
      </c>
      <c r="C562" s="12" t="s">
        <v>2850</v>
      </c>
      <c r="D562" s="12" t="s">
        <v>2851</v>
      </c>
      <c r="E562" s="12" t="s">
        <v>759</v>
      </c>
      <c r="F562" s="12" t="s">
        <v>2897</v>
      </c>
      <c r="G562" s="12" t="s">
        <v>345</v>
      </c>
      <c r="H562" s="12" t="s">
        <v>3137</v>
      </c>
      <c r="I562" s="12" t="s">
        <v>181</v>
      </c>
      <c r="J562" s="13" t="s">
        <v>3138</v>
      </c>
      <c r="K562" s="12" t="s">
        <v>2901</v>
      </c>
      <c r="L562" s="12" t="s">
        <v>3147</v>
      </c>
      <c r="M562" s="12" t="s">
        <v>3148</v>
      </c>
      <c r="N562" s="12" t="s">
        <v>352</v>
      </c>
      <c r="O562" s="12" t="s">
        <v>102</v>
      </c>
      <c r="P562" s="12" t="s">
        <v>155</v>
      </c>
      <c r="Q562" s="12" t="s">
        <v>3149</v>
      </c>
      <c r="R562" s="14" t="n">
        <v>816.6</v>
      </c>
      <c r="S562" s="14" t="s">
        <v>105</v>
      </c>
      <c r="T562" s="14" t="s">
        <v>106</v>
      </c>
      <c r="U562" s="14" t="n">
        <v>2025</v>
      </c>
      <c r="V562" s="12" t="s">
        <v>198</v>
      </c>
      <c r="W562" s="14" t="s">
        <v>3150</v>
      </c>
      <c r="X562" s="15" t="n">
        <f aca="false">IF(OR($S562="%",$R562=""),"",$R562*INDEX(Cambi!$J$2:$J$5,MATCH($S562,Cambi!$I$2:$I$5,0))/IF($T562="EUR",1,INDEX(Cambi!$D:$D,MATCH($T562&amp;"|"&amp;$U562,Cambi!$C:$C,0))))</f>
        <v>816.6</v>
      </c>
      <c r="Y562" s="12" t="s">
        <v>130</v>
      </c>
      <c r="Z562" s="12" t="s">
        <v>109</v>
      </c>
      <c r="AA562" s="12" t="s">
        <v>2905</v>
      </c>
      <c r="AB562" s="16" t="s">
        <v>679</v>
      </c>
      <c r="AC562" s="16" t="s">
        <v>2906</v>
      </c>
      <c r="AD562" s="12" t="s">
        <v>112</v>
      </c>
      <c r="AE562" s="12" t="s">
        <v>2907</v>
      </c>
      <c r="AF562" s="12" t="s">
        <v>3151</v>
      </c>
      <c r="AG562" s="12" t="s">
        <v>498</v>
      </c>
      <c r="AH562" s="12" t="s">
        <v>116</v>
      </c>
      <c r="AI562" s="12" t="s">
        <v>285</v>
      </c>
      <c r="AJ562" s="12" t="s">
        <v>3152</v>
      </c>
      <c r="AK562" s="12" t="s">
        <v>4</v>
      </c>
    </row>
    <row r="563" customFormat="false" ht="15" hidden="false" customHeight="false" outlineLevel="0" collapsed="false">
      <c r="A563" s="11" t="n">
        <v>562</v>
      </c>
      <c r="B563" s="12" t="s">
        <v>3136</v>
      </c>
      <c r="C563" s="12" t="s">
        <v>2850</v>
      </c>
      <c r="D563" s="12" t="s">
        <v>2851</v>
      </c>
      <c r="E563" s="12" t="s">
        <v>759</v>
      </c>
      <c r="F563" s="12" t="s">
        <v>2897</v>
      </c>
      <c r="G563" s="12" t="s">
        <v>345</v>
      </c>
      <c r="H563" s="12" t="s">
        <v>3137</v>
      </c>
      <c r="I563" s="12" t="s">
        <v>181</v>
      </c>
      <c r="J563" s="13" t="s">
        <v>3138</v>
      </c>
      <c r="K563" s="12" t="s">
        <v>2901</v>
      </c>
      <c r="L563" s="12" t="s">
        <v>3153</v>
      </c>
      <c r="M563" s="12" t="s">
        <v>3154</v>
      </c>
      <c r="N563" s="12" t="s">
        <v>352</v>
      </c>
      <c r="O563" s="12" t="s">
        <v>213</v>
      </c>
      <c r="P563" s="12" t="s">
        <v>103</v>
      </c>
      <c r="Q563" s="12" t="s">
        <v>104</v>
      </c>
      <c r="R563" s="14" t="n">
        <v>12.2</v>
      </c>
      <c r="S563" s="14" t="s">
        <v>197</v>
      </c>
      <c r="T563" s="14"/>
      <c r="U563" s="14" t="n">
        <v>2028</v>
      </c>
      <c r="V563" s="12" t="s">
        <v>107</v>
      </c>
      <c r="W563" s="14" t="s">
        <v>3155</v>
      </c>
      <c r="X563" s="15" t="str">
        <f aca="false">IF(OR($S563="%",$R563=""),"",$R563*INDEX(Cambi!$J$2:$J$5,MATCH($S563,Cambi!$I$2:$I$5,0))/IF($T563="EUR",1,INDEX(Cambi!$D:$D,MATCH($T563&amp;"|"&amp;$U563,Cambi!$C:$C,0))))</f>
        <v/>
      </c>
      <c r="Y563" s="12" t="s">
        <v>130</v>
      </c>
      <c r="Z563" s="12" t="s">
        <v>109</v>
      </c>
      <c r="AA563" s="12" t="s">
        <v>2905</v>
      </c>
      <c r="AB563" s="16" t="s">
        <v>679</v>
      </c>
      <c r="AC563" s="16" t="s">
        <v>2906</v>
      </c>
      <c r="AD563" s="12" t="s">
        <v>112</v>
      </c>
      <c r="AE563" s="12" t="s">
        <v>2907</v>
      </c>
      <c r="AF563" s="12" t="s">
        <v>3156</v>
      </c>
      <c r="AG563" s="12" t="s">
        <v>498</v>
      </c>
      <c r="AH563" s="12" t="s">
        <v>116</v>
      </c>
      <c r="AI563" s="12" t="s">
        <v>285</v>
      </c>
      <c r="AJ563" s="12" t="s">
        <v>3157</v>
      </c>
      <c r="AK563" s="12" t="s">
        <v>4</v>
      </c>
    </row>
    <row r="564" customFormat="false" ht="15" hidden="false" customHeight="false" outlineLevel="0" collapsed="false">
      <c r="A564" s="11" t="n">
        <v>563</v>
      </c>
      <c r="B564" s="12" t="s">
        <v>3158</v>
      </c>
      <c r="C564" s="12" t="s">
        <v>2850</v>
      </c>
      <c r="D564" s="12" t="s">
        <v>2851</v>
      </c>
      <c r="E564" s="12" t="s">
        <v>759</v>
      </c>
      <c r="F564" s="12" t="s">
        <v>3159</v>
      </c>
      <c r="G564" s="12" t="s">
        <v>771</v>
      </c>
      <c r="H564" s="12" t="s">
        <v>3160</v>
      </c>
      <c r="I564" s="12" t="s">
        <v>3161</v>
      </c>
      <c r="J564" s="13" t="s">
        <v>3162</v>
      </c>
      <c r="K564" s="12" t="s">
        <v>3163</v>
      </c>
      <c r="L564" s="12" t="s">
        <v>3164</v>
      </c>
      <c r="M564" s="12" t="s">
        <v>3165</v>
      </c>
      <c r="N564" s="12" t="s">
        <v>212</v>
      </c>
      <c r="O564" s="12" t="s">
        <v>244</v>
      </c>
      <c r="P564" s="12" t="s">
        <v>214</v>
      </c>
      <c r="Q564" s="12" t="s">
        <v>3166</v>
      </c>
      <c r="R564" s="14" t="n">
        <v>16.4</v>
      </c>
      <c r="S564" s="14" t="s">
        <v>105</v>
      </c>
      <c r="T564" s="14" t="s">
        <v>106</v>
      </c>
      <c r="U564" s="14" t="n">
        <v>2023</v>
      </c>
      <c r="V564" s="12" t="s">
        <v>157</v>
      </c>
      <c r="W564" s="14" t="s">
        <v>3167</v>
      </c>
      <c r="X564" s="15" t="n">
        <f aca="false">IF(OR($S564="%",$R564=""),"",$R564*INDEX(Cambi!$J$2:$J$5,MATCH($S564,Cambi!$I$2:$I$5,0))/IF($T564="EUR",1,INDEX(Cambi!$D:$D,MATCH($T564&amp;"|"&amp;$U564,Cambi!$C:$C,0))))</f>
        <v>16.4</v>
      </c>
      <c r="Y564" s="12" t="s">
        <v>239</v>
      </c>
      <c r="Z564" s="12" t="s">
        <v>109</v>
      </c>
      <c r="AA564" s="12" t="s">
        <v>109</v>
      </c>
      <c r="AB564" s="16" t="s">
        <v>394</v>
      </c>
      <c r="AC564" s="16" t="s">
        <v>3168</v>
      </c>
      <c r="AD564" s="12" t="s">
        <v>281</v>
      </c>
      <c r="AE564" s="12" t="s">
        <v>3169</v>
      </c>
      <c r="AF564" s="12" t="s">
        <v>3170</v>
      </c>
      <c r="AG564" s="12" t="s">
        <v>498</v>
      </c>
      <c r="AH564" s="12" t="s">
        <v>499</v>
      </c>
      <c r="AI564" s="12" t="s">
        <v>285</v>
      </c>
      <c r="AJ564" s="12" t="s">
        <v>3171</v>
      </c>
      <c r="AK564" s="12" t="s">
        <v>4</v>
      </c>
    </row>
    <row r="565" customFormat="false" ht="15" hidden="false" customHeight="false" outlineLevel="0" collapsed="false">
      <c r="A565" s="11" t="n">
        <v>564</v>
      </c>
      <c r="B565" s="12" t="s">
        <v>3172</v>
      </c>
      <c r="C565" s="12" t="s">
        <v>2850</v>
      </c>
      <c r="D565" s="12" t="s">
        <v>2851</v>
      </c>
      <c r="E565" s="12" t="s">
        <v>759</v>
      </c>
      <c r="F565" s="12" t="s">
        <v>3159</v>
      </c>
      <c r="G565" s="12" t="s">
        <v>771</v>
      </c>
      <c r="H565" s="12" t="s">
        <v>3173</v>
      </c>
      <c r="I565" s="12" t="s">
        <v>3174</v>
      </c>
      <c r="J565" s="13" t="s">
        <v>3175</v>
      </c>
      <c r="K565" s="12"/>
      <c r="L565" s="12" t="s">
        <v>3176</v>
      </c>
      <c r="M565" s="12" t="s">
        <v>3177</v>
      </c>
      <c r="N565" s="12" t="s">
        <v>212</v>
      </c>
      <c r="O565" s="12" t="s">
        <v>417</v>
      </c>
      <c r="P565" s="12" t="s">
        <v>856</v>
      </c>
      <c r="Q565" s="12" t="s">
        <v>857</v>
      </c>
      <c r="R565" s="14" t="n">
        <v>44590</v>
      </c>
      <c r="S565" s="14" t="s">
        <v>432</v>
      </c>
      <c r="T565" s="14" t="s">
        <v>106</v>
      </c>
      <c r="U565" s="14" t="n">
        <v>2016</v>
      </c>
      <c r="V565" s="12" t="s">
        <v>157</v>
      </c>
      <c r="W565" s="14"/>
      <c r="X565" s="15" t="n">
        <f aca="false">IF(OR($S565="%",$R565=""),"",$R565*INDEX(Cambi!$J$2:$J$5,MATCH($S565,Cambi!$I$2:$I$5,0))/IF($T565="EUR",1,INDEX(Cambi!$D:$D,MATCH($T565&amp;"|"&amp;$U565,Cambi!$C:$C,0))))</f>
        <v>0.04459</v>
      </c>
      <c r="Y565" s="12" t="s">
        <v>239</v>
      </c>
      <c r="Z565" s="12" t="s">
        <v>117</v>
      </c>
      <c r="AA565" s="12" t="s">
        <v>3178</v>
      </c>
      <c r="AB565" s="12" t="s">
        <v>394</v>
      </c>
      <c r="AC565" s="12" t="s">
        <v>395</v>
      </c>
      <c r="AD565" s="12" t="s">
        <v>2399</v>
      </c>
      <c r="AE565" s="12" t="s">
        <v>3179</v>
      </c>
      <c r="AF565" s="12" t="s">
        <v>3180</v>
      </c>
      <c r="AG565" s="12" t="s">
        <v>407</v>
      </c>
      <c r="AH565" s="12" t="s">
        <v>116</v>
      </c>
      <c r="AI565" s="12" t="s">
        <v>117</v>
      </c>
      <c r="AJ565" s="12" t="s">
        <v>3181</v>
      </c>
      <c r="AK565" s="12" t="s">
        <v>4</v>
      </c>
    </row>
    <row r="566" customFormat="false" ht="15" hidden="false" customHeight="false" outlineLevel="0" collapsed="false">
      <c r="A566" s="11" t="n">
        <v>565</v>
      </c>
      <c r="B566" s="12" t="s">
        <v>3172</v>
      </c>
      <c r="C566" s="12" t="s">
        <v>2850</v>
      </c>
      <c r="D566" s="12" t="s">
        <v>2851</v>
      </c>
      <c r="E566" s="12" t="s">
        <v>759</v>
      </c>
      <c r="F566" s="12" t="s">
        <v>3159</v>
      </c>
      <c r="G566" s="12" t="s">
        <v>771</v>
      </c>
      <c r="H566" s="12" t="s">
        <v>3173</v>
      </c>
      <c r="I566" s="12" t="s">
        <v>3174</v>
      </c>
      <c r="J566" s="13" t="s">
        <v>3175</v>
      </c>
      <c r="K566" s="12"/>
      <c r="L566" s="12" t="s">
        <v>3176</v>
      </c>
      <c r="M566" s="12" t="s">
        <v>3182</v>
      </c>
      <c r="N566" s="12" t="s">
        <v>212</v>
      </c>
      <c r="O566" s="12" t="s">
        <v>417</v>
      </c>
      <c r="P566" s="12" t="s">
        <v>856</v>
      </c>
      <c r="Q566" s="12" t="s">
        <v>3183</v>
      </c>
      <c r="R566" s="14" t="n">
        <v>3120</v>
      </c>
      <c r="S566" s="14" t="s">
        <v>432</v>
      </c>
      <c r="T566" s="14" t="s">
        <v>106</v>
      </c>
      <c r="U566" s="14" t="n">
        <v>2016</v>
      </c>
      <c r="V566" s="12" t="s">
        <v>157</v>
      </c>
      <c r="W566" s="14"/>
      <c r="X566" s="15" t="n">
        <f aca="false">IF(OR($S566="%",$R566=""),"",$R566*INDEX(Cambi!$J$2:$J$5,MATCH($S566,Cambi!$I$2:$I$5,0))/IF($T566="EUR",1,INDEX(Cambi!$D:$D,MATCH($T566&amp;"|"&amp;$U566,Cambi!$C:$C,0))))</f>
        <v>0.00312</v>
      </c>
      <c r="Y566" s="12" t="s">
        <v>239</v>
      </c>
      <c r="Z566" s="12" t="s">
        <v>117</v>
      </c>
      <c r="AA566" s="12" t="s">
        <v>3178</v>
      </c>
      <c r="AB566" s="12" t="s">
        <v>394</v>
      </c>
      <c r="AC566" s="12" t="s">
        <v>395</v>
      </c>
      <c r="AD566" s="12" t="s">
        <v>2399</v>
      </c>
      <c r="AE566" s="12" t="s">
        <v>3179</v>
      </c>
      <c r="AF566" s="12" t="s">
        <v>3180</v>
      </c>
      <c r="AG566" s="12" t="s">
        <v>407</v>
      </c>
      <c r="AH566" s="12" t="s">
        <v>116</v>
      </c>
      <c r="AI566" s="12" t="s">
        <v>117</v>
      </c>
      <c r="AJ566" s="12" t="s">
        <v>3181</v>
      </c>
      <c r="AK566" s="12" t="s">
        <v>4</v>
      </c>
    </row>
    <row r="567" customFormat="false" ht="15" hidden="false" customHeight="false" outlineLevel="0" collapsed="false">
      <c r="A567" s="11" t="n">
        <v>566</v>
      </c>
      <c r="B567" s="12" t="s">
        <v>3172</v>
      </c>
      <c r="C567" s="12" t="s">
        <v>2850</v>
      </c>
      <c r="D567" s="12" t="s">
        <v>2851</v>
      </c>
      <c r="E567" s="12" t="s">
        <v>759</v>
      </c>
      <c r="F567" s="12" t="s">
        <v>3159</v>
      </c>
      <c r="G567" s="12" t="s">
        <v>771</v>
      </c>
      <c r="H567" s="12" t="s">
        <v>3173</v>
      </c>
      <c r="I567" s="12" t="s">
        <v>3174</v>
      </c>
      <c r="J567" s="13" t="s">
        <v>3175</v>
      </c>
      <c r="K567" s="12"/>
      <c r="L567" s="12" t="s">
        <v>3176</v>
      </c>
      <c r="M567" s="12" t="s">
        <v>3184</v>
      </c>
      <c r="N567" s="12" t="s">
        <v>212</v>
      </c>
      <c r="O567" s="12" t="s">
        <v>417</v>
      </c>
      <c r="P567" s="12" t="s">
        <v>214</v>
      </c>
      <c r="Q567" s="12" t="s">
        <v>3185</v>
      </c>
      <c r="R567" s="14" t="n">
        <v>19080</v>
      </c>
      <c r="S567" s="14" t="s">
        <v>432</v>
      </c>
      <c r="T567" s="14" t="s">
        <v>106</v>
      </c>
      <c r="U567" s="14" t="n">
        <v>2016</v>
      </c>
      <c r="V567" s="12" t="s">
        <v>157</v>
      </c>
      <c r="W567" s="14"/>
      <c r="X567" s="15" t="n">
        <f aca="false">IF(OR($S567="%",$R567=""),"",$R567*INDEX(Cambi!$J$2:$J$5,MATCH($S567,Cambi!$I$2:$I$5,0))/IF($T567="EUR",1,INDEX(Cambi!$D:$D,MATCH($T567&amp;"|"&amp;$U567,Cambi!$C:$C,0))))</f>
        <v>0.01908</v>
      </c>
      <c r="Y567" s="12" t="s">
        <v>239</v>
      </c>
      <c r="Z567" s="12" t="s">
        <v>117</v>
      </c>
      <c r="AA567" s="12" t="s">
        <v>3178</v>
      </c>
      <c r="AB567" s="12" t="s">
        <v>394</v>
      </c>
      <c r="AC567" s="12" t="s">
        <v>395</v>
      </c>
      <c r="AD567" s="12" t="s">
        <v>2399</v>
      </c>
      <c r="AE567" s="12" t="s">
        <v>3179</v>
      </c>
      <c r="AF567" s="12" t="s">
        <v>3180</v>
      </c>
      <c r="AG567" s="12" t="s">
        <v>407</v>
      </c>
      <c r="AH567" s="12" t="s">
        <v>116</v>
      </c>
      <c r="AI567" s="12" t="s">
        <v>117</v>
      </c>
      <c r="AJ567" s="12" t="s">
        <v>3181</v>
      </c>
      <c r="AK567" s="12" t="s">
        <v>4</v>
      </c>
    </row>
    <row r="568" customFormat="false" ht="15" hidden="false" customHeight="false" outlineLevel="0" collapsed="false">
      <c r="A568" s="11" t="n">
        <v>567</v>
      </c>
      <c r="B568" s="12" t="s">
        <v>3172</v>
      </c>
      <c r="C568" s="12" t="s">
        <v>2850</v>
      </c>
      <c r="D568" s="12" t="s">
        <v>2851</v>
      </c>
      <c r="E568" s="12" t="s">
        <v>759</v>
      </c>
      <c r="F568" s="12" t="s">
        <v>3159</v>
      </c>
      <c r="G568" s="12" t="s">
        <v>771</v>
      </c>
      <c r="H568" s="12" t="s">
        <v>3173</v>
      </c>
      <c r="I568" s="12" t="s">
        <v>3174</v>
      </c>
      <c r="J568" s="13" t="s">
        <v>3175</v>
      </c>
      <c r="K568" s="12"/>
      <c r="L568" s="12" t="s">
        <v>3176</v>
      </c>
      <c r="M568" s="12" t="s">
        <v>3186</v>
      </c>
      <c r="N568" s="12" t="s">
        <v>212</v>
      </c>
      <c r="O568" s="12" t="s">
        <v>417</v>
      </c>
      <c r="P568" s="12" t="s">
        <v>103</v>
      </c>
      <c r="Q568" s="12" t="s">
        <v>104</v>
      </c>
      <c r="R568" s="14" t="n">
        <v>4530</v>
      </c>
      <c r="S568" s="14" t="s">
        <v>432</v>
      </c>
      <c r="T568" s="14" t="s">
        <v>106</v>
      </c>
      <c r="U568" s="14" t="n">
        <v>2016</v>
      </c>
      <c r="V568" s="12" t="s">
        <v>157</v>
      </c>
      <c r="W568" s="14"/>
      <c r="X568" s="15" t="n">
        <f aca="false">IF(OR($S568="%",$R568=""),"",$R568*INDEX(Cambi!$J$2:$J$5,MATCH($S568,Cambi!$I$2:$I$5,0))/IF($T568="EUR",1,INDEX(Cambi!$D:$D,MATCH($T568&amp;"|"&amp;$U568,Cambi!$C:$C,0))))</f>
        <v>0.00453</v>
      </c>
      <c r="Y568" s="12" t="s">
        <v>239</v>
      </c>
      <c r="Z568" s="12" t="s">
        <v>117</v>
      </c>
      <c r="AA568" s="12" t="s">
        <v>3178</v>
      </c>
      <c r="AB568" s="12" t="s">
        <v>394</v>
      </c>
      <c r="AC568" s="12" t="s">
        <v>395</v>
      </c>
      <c r="AD568" s="12" t="s">
        <v>2399</v>
      </c>
      <c r="AE568" s="12" t="s">
        <v>3179</v>
      </c>
      <c r="AF568" s="12" t="s">
        <v>3187</v>
      </c>
      <c r="AG568" s="12" t="s">
        <v>407</v>
      </c>
      <c r="AH568" s="12" t="s">
        <v>116</v>
      </c>
      <c r="AI568" s="12" t="s">
        <v>117</v>
      </c>
      <c r="AJ568" s="12" t="s">
        <v>3181</v>
      </c>
      <c r="AK568" s="12" t="s">
        <v>4</v>
      </c>
    </row>
    <row r="569" customFormat="false" ht="15" hidden="false" customHeight="false" outlineLevel="0" collapsed="false">
      <c r="A569" s="11" t="n">
        <v>568</v>
      </c>
      <c r="B569" s="12" t="s">
        <v>3188</v>
      </c>
      <c r="C569" s="12" t="s">
        <v>2850</v>
      </c>
      <c r="D569" s="12" t="s">
        <v>2851</v>
      </c>
      <c r="E569" s="12" t="s">
        <v>759</v>
      </c>
      <c r="F569" s="12" t="s">
        <v>3189</v>
      </c>
      <c r="G569" s="12" t="s">
        <v>1876</v>
      </c>
      <c r="H569" s="12" t="s">
        <v>3190</v>
      </c>
      <c r="I569" s="12" t="s">
        <v>3191</v>
      </c>
      <c r="J569" s="13" t="s">
        <v>3192</v>
      </c>
      <c r="K569" s="12" t="s">
        <v>3193</v>
      </c>
      <c r="L569" s="12" t="s">
        <v>3194</v>
      </c>
      <c r="M569" s="12" t="s">
        <v>3195</v>
      </c>
      <c r="N569" s="12" t="s">
        <v>956</v>
      </c>
      <c r="O569" s="12" t="s">
        <v>244</v>
      </c>
      <c r="P569" s="12" t="s">
        <v>103</v>
      </c>
      <c r="Q569" s="12" t="s">
        <v>104</v>
      </c>
      <c r="R569" s="14" t="n">
        <v>0.7</v>
      </c>
      <c r="S569" s="14" t="s">
        <v>105</v>
      </c>
      <c r="T569" s="14" t="s">
        <v>106</v>
      </c>
      <c r="U569" s="14" t="n">
        <v>2022</v>
      </c>
      <c r="V569" s="12" t="s">
        <v>157</v>
      </c>
      <c r="W569" s="14"/>
      <c r="X569" s="15" t="n">
        <f aca="false">IF(OR($S569="%",$R569=""),"",$R569*INDEX(Cambi!$J$2:$J$5,MATCH($S569,Cambi!$I$2:$I$5,0))/IF($T569="EUR",1,INDEX(Cambi!$D:$D,MATCH($T569&amp;"|"&amp;$U569,Cambi!$C:$C,0))))</f>
        <v>0.7</v>
      </c>
      <c r="Y569" s="12" t="s">
        <v>109</v>
      </c>
      <c r="Z569" s="12" t="s">
        <v>109</v>
      </c>
      <c r="AA569" s="12" t="s">
        <v>109</v>
      </c>
      <c r="AB569" s="16" t="s">
        <v>679</v>
      </c>
      <c r="AC569" s="16" t="s">
        <v>3196</v>
      </c>
      <c r="AD569" s="12" t="s">
        <v>617</v>
      </c>
      <c r="AE569" s="12" t="s">
        <v>3197</v>
      </c>
      <c r="AF569" s="12" t="s">
        <v>3198</v>
      </c>
      <c r="AG569" s="12" t="s">
        <v>498</v>
      </c>
      <c r="AH569" s="12" t="s">
        <v>116</v>
      </c>
      <c r="AI569" s="12" t="s">
        <v>117</v>
      </c>
      <c r="AJ569" s="12" t="s">
        <v>3199</v>
      </c>
      <c r="AK569" s="12" t="s">
        <v>4</v>
      </c>
    </row>
    <row r="570" customFormat="false" ht="15" hidden="false" customHeight="false" outlineLevel="0" collapsed="false">
      <c r="A570" s="11" t="n">
        <v>569</v>
      </c>
      <c r="B570" s="12" t="s">
        <v>3188</v>
      </c>
      <c r="C570" s="12" t="s">
        <v>2850</v>
      </c>
      <c r="D570" s="12" t="s">
        <v>2851</v>
      </c>
      <c r="E570" s="12" t="s">
        <v>759</v>
      </c>
      <c r="F570" s="12" t="s">
        <v>3189</v>
      </c>
      <c r="G570" s="12" t="s">
        <v>1876</v>
      </c>
      <c r="H570" s="12" t="s">
        <v>3190</v>
      </c>
      <c r="I570" s="12" t="s">
        <v>3191</v>
      </c>
      <c r="J570" s="13" t="s">
        <v>3192</v>
      </c>
      <c r="K570" s="12" t="s">
        <v>3193</v>
      </c>
      <c r="L570" s="12" t="s">
        <v>3200</v>
      </c>
      <c r="M570" s="12" t="s">
        <v>3201</v>
      </c>
      <c r="N570" s="12" t="s">
        <v>352</v>
      </c>
      <c r="O570" s="12" t="s">
        <v>102</v>
      </c>
      <c r="P570" s="12" t="s">
        <v>103</v>
      </c>
      <c r="Q570" s="12" t="s">
        <v>104</v>
      </c>
      <c r="R570" s="14" t="n">
        <v>2.5</v>
      </c>
      <c r="S570" s="14" t="s">
        <v>129</v>
      </c>
      <c r="T570" s="14" t="s">
        <v>106</v>
      </c>
      <c r="U570" s="14" t="n">
        <v>2025</v>
      </c>
      <c r="V570" s="12" t="s">
        <v>107</v>
      </c>
      <c r="W570" s="14" t="s">
        <v>3202</v>
      </c>
      <c r="X570" s="15" t="n">
        <f aca="false">IF(OR($S570="%",$R570=""),"",$R570*INDEX(Cambi!$J$2:$J$5,MATCH($S570,Cambi!$I$2:$I$5,0))/IF($T570="EUR",1,INDEX(Cambi!$D:$D,MATCH($T570&amp;"|"&amp;$U570,Cambi!$C:$C,0))))</f>
        <v>2500</v>
      </c>
      <c r="Y570" s="12" t="s">
        <v>109</v>
      </c>
      <c r="Z570" s="12" t="s">
        <v>109</v>
      </c>
      <c r="AA570" s="12" t="s">
        <v>109</v>
      </c>
      <c r="AB570" s="16" t="s">
        <v>110</v>
      </c>
      <c r="AC570" s="16" t="s">
        <v>3203</v>
      </c>
      <c r="AD570" s="12" t="s">
        <v>281</v>
      </c>
      <c r="AE570" s="12" t="s">
        <v>3197</v>
      </c>
      <c r="AF570" s="12" t="s">
        <v>3204</v>
      </c>
      <c r="AG570" s="12" t="s">
        <v>498</v>
      </c>
      <c r="AH570" s="12" t="s">
        <v>116</v>
      </c>
      <c r="AI570" s="12" t="s">
        <v>117</v>
      </c>
      <c r="AJ570" s="12" t="s">
        <v>3205</v>
      </c>
      <c r="AK570" s="12" t="s">
        <v>4</v>
      </c>
    </row>
    <row r="571" customFormat="false" ht="15" hidden="false" customHeight="false" outlineLevel="0" collapsed="false">
      <c r="A571" s="11" t="n">
        <v>570</v>
      </c>
      <c r="B571" s="12" t="s">
        <v>3206</v>
      </c>
      <c r="C571" s="12" t="s">
        <v>2850</v>
      </c>
      <c r="D571" s="12" t="s">
        <v>2851</v>
      </c>
      <c r="E571" s="12" t="s">
        <v>759</v>
      </c>
      <c r="F571" s="12" t="s">
        <v>3207</v>
      </c>
      <c r="G571" s="12" t="s">
        <v>345</v>
      </c>
      <c r="H571" s="12" t="s">
        <v>3208</v>
      </c>
      <c r="I571" s="12" t="s">
        <v>524</v>
      </c>
      <c r="J571" s="13" t="s">
        <v>3209</v>
      </c>
      <c r="K571" s="12"/>
      <c r="L571" s="12" t="s">
        <v>3210</v>
      </c>
      <c r="M571" s="12" t="s">
        <v>3211</v>
      </c>
      <c r="N571" s="12" t="s">
        <v>212</v>
      </c>
      <c r="O571" s="12" t="s">
        <v>102</v>
      </c>
      <c r="P571" s="12" t="s">
        <v>214</v>
      </c>
      <c r="Q571" s="12" t="s">
        <v>3166</v>
      </c>
      <c r="R571" s="14" t="n">
        <v>362</v>
      </c>
      <c r="S571" s="14" t="s">
        <v>105</v>
      </c>
      <c r="T571" s="14" t="s">
        <v>106</v>
      </c>
      <c r="U571" s="14" t="n">
        <v>2023</v>
      </c>
      <c r="V571" s="12" t="s">
        <v>157</v>
      </c>
      <c r="W571" s="14"/>
      <c r="X571" s="15" t="n">
        <f aca="false">IF(OR($S571="%",$R571=""),"",$R571*INDEX(Cambi!$J$2:$J$5,MATCH($S571,Cambi!$I$2:$I$5,0))/IF($T571="EUR",1,INDEX(Cambi!$D:$D,MATCH($T571&amp;"|"&amp;$U571,Cambi!$C:$C,0))))</f>
        <v>362</v>
      </c>
      <c r="Y571" s="12" t="s">
        <v>239</v>
      </c>
      <c r="Z571" s="12" t="s">
        <v>109</v>
      </c>
      <c r="AA571" s="12" t="s">
        <v>109</v>
      </c>
      <c r="AB571" s="12" t="s">
        <v>394</v>
      </c>
      <c r="AC571" s="12" t="s">
        <v>395</v>
      </c>
      <c r="AD571" s="12" t="s">
        <v>166</v>
      </c>
      <c r="AE571" s="12" t="s">
        <v>3212</v>
      </c>
      <c r="AF571" s="12" t="s">
        <v>3213</v>
      </c>
      <c r="AG571" s="12" t="s">
        <v>115</v>
      </c>
      <c r="AH571" s="12" t="s">
        <v>116</v>
      </c>
      <c r="AI571" s="12" t="s">
        <v>117</v>
      </c>
      <c r="AJ571" s="12" t="s">
        <v>266</v>
      </c>
      <c r="AK571" s="12" t="s">
        <v>4</v>
      </c>
    </row>
    <row r="572" customFormat="false" ht="15" hidden="false" customHeight="false" outlineLevel="0" collapsed="false">
      <c r="A572" s="11" t="n">
        <v>571</v>
      </c>
      <c r="B572" s="12" t="s">
        <v>3214</v>
      </c>
      <c r="C572" s="12" t="s">
        <v>2850</v>
      </c>
      <c r="D572" s="12" t="s">
        <v>2851</v>
      </c>
      <c r="E572" s="12" t="s">
        <v>759</v>
      </c>
      <c r="F572" s="12" t="s">
        <v>3207</v>
      </c>
      <c r="G572" s="12" t="s">
        <v>345</v>
      </c>
      <c r="H572" s="12" t="s">
        <v>3215</v>
      </c>
      <c r="I572" s="12" t="s">
        <v>3216</v>
      </c>
      <c r="J572" s="13" t="s">
        <v>3217</v>
      </c>
      <c r="K572" s="12"/>
      <c r="L572" s="12" t="s">
        <v>3218</v>
      </c>
      <c r="M572" s="12" t="s">
        <v>3219</v>
      </c>
      <c r="N572" s="12" t="s">
        <v>195</v>
      </c>
      <c r="O572" s="12" t="s">
        <v>196</v>
      </c>
      <c r="P572" s="12" t="s">
        <v>214</v>
      </c>
      <c r="Q572" s="12" t="s">
        <v>3166</v>
      </c>
      <c r="R572" s="14" t="n">
        <v>4.9</v>
      </c>
      <c r="S572" s="14" t="s">
        <v>197</v>
      </c>
      <c r="T572" s="14"/>
      <c r="U572" s="14" t="n">
        <v>2024</v>
      </c>
      <c r="V572" s="12" t="s">
        <v>157</v>
      </c>
      <c r="W572" s="14"/>
      <c r="X572" s="15" t="str">
        <f aca="false">IF(OR($S572="%",$R572=""),"",$R572*INDEX(Cambi!$J$2:$J$5,MATCH($S572,Cambi!$I$2:$I$5,0))/IF($T572="EUR",1,INDEX(Cambi!$D:$D,MATCH($T572&amp;"|"&amp;$U572,Cambi!$C:$C,0))))</f>
        <v/>
      </c>
      <c r="Y572" s="12" t="s">
        <v>239</v>
      </c>
      <c r="Z572" s="12" t="s">
        <v>109</v>
      </c>
      <c r="AA572" s="12" t="s">
        <v>109</v>
      </c>
      <c r="AB572" s="12" t="s">
        <v>394</v>
      </c>
      <c r="AC572" s="12" t="s">
        <v>395</v>
      </c>
      <c r="AD572" s="12" t="s">
        <v>166</v>
      </c>
      <c r="AE572" s="12" t="s">
        <v>3212</v>
      </c>
      <c r="AF572" s="12" t="s">
        <v>3220</v>
      </c>
      <c r="AG572" s="12" t="s">
        <v>115</v>
      </c>
      <c r="AH572" s="12" t="s">
        <v>116</v>
      </c>
      <c r="AI572" s="12" t="s">
        <v>117</v>
      </c>
      <c r="AJ572" s="12" t="s">
        <v>3221</v>
      </c>
      <c r="AK572" s="12" t="s">
        <v>4</v>
      </c>
    </row>
    <row r="573" customFormat="false" ht="15" hidden="false" customHeight="false" outlineLevel="0" collapsed="false">
      <c r="A573" s="11" t="n">
        <v>572</v>
      </c>
      <c r="B573" s="12" t="s">
        <v>3214</v>
      </c>
      <c r="C573" s="12" t="s">
        <v>2850</v>
      </c>
      <c r="D573" s="12" t="s">
        <v>2851</v>
      </c>
      <c r="E573" s="12" t="s">
        <v>759</v>
      </c>
      <c r="F573" s="12" t="s">
        <v>3207</v>
      </c>
      <c r="G573" s="12" t="s">
        <v>345</v>
      </c>
      <c r="H573" s="12" t="s">
        <v>3215</v>
      </c>
      <c r="I573" s="12" t="s">
        <v>3216</v>
      </c>
      <c r="J573" s="13" t="s">
        <v>3217</v>
      </c>
      <c r="K573" s="12"/>
      <c r="L573" s="12" t="s">
        <v>3222</v>
      </c>
      <c r="M573" s="12" t="s">
        <v>3223</v>
      </c>
      <c r="N573" s="12" t="s">
        <v>212</v>
      </c>
      <c r="O573" s="12" t="s">
        <v>102</v>
      </c>
      <c r="P573" s="12" t="s">
        <v>214</v>
      </c>
      <c r="Q573" s="12" t="s">
        <v>3166</v>
      </c>
      <c r="R573" s="14" t="n">
        <v>365.7</v>
      </c>
      <c r="S573" s="14" t="s">
        <v>105</v>
      </c>
      <c r="T573" s="14" t="s">
        <v>106</v>
      </c>
      <c r="U573" s="14" t="n">
        <v>2024</v>
      </c>
      <c r="V573" s="12" t="s">
        <v>157</v>
      </c>
      <c r="W573" s="14"/>
      <c r="X573" s="15" t="n">
        <f aca="false">IF(OR($S573="%",$R573=""),"",$R573*INDEX(Cambi!$J$2:$J$5,MATCH($S573,Cambi!$I$2:$I$5,0))/IF($T573="EUR",1,INDEX(Cambi!$D:$D,MATCH($T573&amp;"|"&amp;$U573,Cambi!$C:$C,0))))</f>
        <v>365.7</v>
      </c>
      <c r="Y573" s="12" t="s">
        <v>239</v>
      </c>
      <c r="Z573" s="12" t="s">
        <v>109</v>
      </c>
      <c r="AA573" s="12" t="s">
        <v>109</v>
      </c>
      <c r="AB573" s="12" t="s">
        <v>394</v>
      </c>
      <c r="AC573" s="12" t="s">
        <v>395</v>
      </c>
      <c r="AD573" s="12" t="s">
        <v>166</v>
      </c>
      <c r="AE573" s="12" t="s">
        <v>3212</v>
      </c>
      <c r="AF573" s="12" t="s">
        <v>3224</v>
      </c>
      <c r="AG573" s="12" t="s">
        <v>115</v>
      </c>
      <c r="AH573" s="12" t="s">
        <v>116</v>
      </c>
      <c r="AI573" s="12" t="s">
        <v>117</v>
      </c>
      <c r="AJ573" s="12" t="s">
        <v>3225</v>
      </c>
      <c r="AK573" s="12" t="s">
        <v>4</v>
      </c>
    </row>
    <row r="574" customFormat="false" ht="15" hidden="false" customHeight="false" outlineLevel="0" collapsed="false">
      <c r="A574" s="11" t="n">
        <v>573</v>
      </c>
      <c r="B574" s="12" t="s">
        <v>3214</v>
      </c>
      <c r="C574" s="12" t="s">
        <v>2850</v>
      </c>
      <c r="D574" s="12" t="s">
        <v>2851</v>
      </c>
      <c r="E574" s="12" t="s">
        <v>759</v>
      </c>
      <c r="F574" s="12" t="s">
        <v>3207</v>
      </c>
      <c r="G574" s="12" t="s">
        <v>345</v>
      </c>
      <c r="H574" s="12" t="s">
        <v>3215</v>
      </c>
      <c r="I574" s="12" t="s">
        <v>3216</v>
      </c>
      <c r="J574" s="13" t="s">
        <v>3217</v>
      </c>
      <c r="K574" s="12"/>
      <c r="L574" s="12" t="s">
        <v>3226</v>
      </c>
      <c r="M574" s="12" t="s">
        <v>3227</v>
      </c>
      <c r="N574" s="12" t="s">
        <v>195</v>
      </c>
      <c r="O574" s="12" t="s">
        <v>196</v>
      </c>
      <c r="P574" s="12" t="s">
        <v>214</v>
      </c>
      <c r="Q574" s="12" t="s">
        <v>3166</v>
      </c>
      <c r="R574" s="14" t="n">
        <v>4.4</v>
      </c>
      <c r="S574" s="14" t="s">
        <v>197</v>
      </c>
      <c r="T574" s="14"/>
      <c r="U574" s="14" t="n">
        <v>2024</v>
      </c>
      <c r="V574" s="12" t="s">
        <v>157</v>
      </c>
      <c r="W574" s="14"/>
      <c r="X574" s="15" t="str">
        <f aca="false">IF(OR($S574="%",$R574=""),"",$R574*INDEX(Cambi!$J$2:$J$5,MATCH($S574,Cambi!$I$2:$I$5,0))/IF($T574="EUR",1,INDEX(Cambi!$D:$D,MATCH($T574&amp;"|"&amp;$U574,Cambi!$C:$C,0))))</f>
        <v/>
      </c>
      <c r="Y574" s="12" t="s">
        <v>239</v>
      </c>
      <c r="Z574" s="12" t="s">
        <v>109</v>
      </c>
      <c r="AA574" s="12" t="s">
        <v>109</v>
      </c>
      <c r="AB574" s="12" t="s">
        <v>394</v>
      </c>
      <c r="AC574" s="12" t="s">
        <v>395</v>
      </c>
      <c r="AD574" s="12" t="s">
        <v>166</v>
      </c>
      <c r="AE574" s="12" t="s">
        <v>3212</v>
      </c>
      <c r="AF574" s="12" t="s">
        <v>3228</v>
      </c>
      <c r="AG574" s="12" t="s">
        <v>115</v>
      </c>
      <c r="AH574" s="12" t="s">
        <v>116</v>
      </c>
      <c r="AI574" s="12" t="s">
        <v>117</v>
      </c>
      <c r="AJ574" s="12" t="s">
        <v>3229</v>
      </c>
      <c r="AK574" s="12" t="s">
        <v>4</v>
      </c>
    </row>
    <row r="575" customFormat="false" ht="15" hidden="false" customHeight="false" outlineLevel="0" collapsed="false">
      <c r="A575" s="11" t="n">
        <v>574</v>
      </c>
      <c r="B575" s="12" t="s">
        <v>3230</v>
      </c>
      <c r="C575" s="12" t="s">
        <v>2850</v>
      </c>
      <c r="D575" s="12" t="s">
        <v>2851</v>
      </c>
      <c r="E575" s="12" t="s">
        <v>759</v>
      </c>
      <c r="F575" s="12" t="s">
        <v>3231</v>
      </c>
      <c r="G575" s="12" t="s">
        <v>345</v>
      </c>
      <c r="H575" s="12" t="s">
        <v>3232</v>
      </c>
      <c r="I575" s="12" t="s">
        <v>3233</v>
      </c>
      <c r="J575" s="13" t="s">
        <v>3234</v>
      </c>
      <c r="K575" s="12" t="s">
        <v>3235</v>
      </c>
      <c r="L575" s="12" t="s">
        <v>3236</v>
      </c>
      <c r="M575" s="12" t="s">
        <v>3237</v>
      </c>
      <c r="N575" s="12" t="s">
        <v>352</v>
      </c>
      <c r="O575" s="12" t="s">
        <v>102</v>
      </c>
      <c r="P575" s="12" t="s">
        <v>155</v>
      </c>
      <c r="Q575" s="12" t="s">
        <v>3238</v>
      </c>
      <c r="R575" s="14" t="n">
        <v>220</v>
      </c>
      <c r="S575" s="14" t="s">
        <v>105</v>
      </c>
      <c r="T575" s="14" t="s">
        <v>106</v>
      </c>
      <c r="U575" s="14" t="n">
        <v>2018</v>
      </c>
      <c r="V575" s="12" t="s">
        <v>157</v>
      </c>
      <c r="W575" s="14"/>
      <c r="X575" s="15" t="n">
        <f aca="false">IF(OR($S575="%",$R575=""),"",$R575*INDEX(Cambi!$J$2:$J$5,MATCH($S575,Cambi!$I$2:$I$5,0))/IF($T575="EUR",1,INDEX(Cambi!$D:$D,MATCH($T575&amp;"|"&amp;$U575,Cambi!$C:$C,0))))</f>
        <v>220</v>
      </c>
      <c r="Y575" s="12" t="s">
        <v>109</v>
      </c>
      <c r="Z575" s="12" t="s">
        <v>109</v>
      </c>
      <c r="AA575" s="12" t="s">
        <v>109</v>
      </c>
      <c r="AB575" s="16" t="s">
        <v>679</v>
      </c>
      <c r="AC575" s="16" t="s">
        <v>3239</v>
      </c>
      <c r="AD575" s="12" t="s">
        <v>112</v>
      </c>
      <c r="AE575" s="12" t="s">
        <v>3240</v>
      </c>
      <c r="AF575" s="12" t="s">
        <v>3241</v>
      </c>
      <c r="AG575" s="12" t="s">
        <v>498</v>
      </c>
      <c r="AH575" s="12" t="s">
        <v>3242</v>
      </c>
      <c r="AI575" s="12" t="s">
        <v>285</v>
      </c>
      <c r="AJ575" s="12" t="s">
        <v>3243</v>
      </c>
      <c r="AK575" s="12" t="s">
        <v>4</v>
      </c>
    </row>
    <row r="576" customFormat="false" ht="15" hidden="false" customHeight="false" outlineLevel="0" collapsed="false">
      <c r="A576" s="11" t="n">
        <v>575</v>
      </c>
      <c r="B576" s="12" t="s">
        <v>3230</v>
      </c>
      <c r="C576" s="12" t="s">
        <v>2850</v>
      </c>
      <c r="D576" s="12" t="s">
        <v>2851</v>
      </c>
      <c r="E576" s="12" t="s">
        <v>759</v>
      </c>
      <c r="F576" s="12" t="s">
        <v>3231</v>
      </c>
      <c r="G576" s="12" t="s">
        <v>345</v>
      </c>
      <c r="H576" s="12" t="s">
        <v>3232</v>
      </c>
      <c r="I576" s="12" t="s">
        <v>3233</v>
      </c>
      <c r="J576" s="13" t="s">
        <v>3234</v>
      </c>
      <c r="K576" s="12" t="s">
        <v>3235</v>
      </c>
      <c r="L576" s="12" t="s">
        <v>3244</v>
      </c>
      <c r="M576" s="12" t="s">
        <v>3245</v>
      </c>
      <c r="N576" s="12" t="s">
        <v>352</v>
      </c>
      <c r="O576" s="12" t="s">
        <v>102</v>
      </c>
      <c r="P576" s="12" t="s">
        <v>155</v>
      </c>
      <c r="Q576" s="12" t="s">
        <v>3246</v>
      </c>
      <c r="R576" s="14" t="n">
        <v>500</v>
      </c>
      <c r="S576" s="14" t="s">
        <v>105</v>
      </c>
      <c r="T576" s="14" t="s">
        <v>106</v>
      </c>
      <c r="U576" s="14" t="n">
        <v>2018</v>
      </c>
      <c r="V576" s="12" t="s">
        <v>157</v>
      </c>
      <c r="W576" s="14" t="s">
        <v>3247</v>
      </c>
      <c r="X576" s="15" t="n">
        <f aca="false">IF(OR($S576="%",$R576=""),"",$R576*INDEX(Cambi!$J$2:$J$5,MATCH($S576,Cambi!$I$2:$I$5,0))/IF($T576="EUR",1,INDEX(Cambi!$D:$D,MATCH($T576&amp;"|"&amp;$U576,Cambi!$C:$C,0))))</f>
        <v>500</v>
      </c>
      <c r="Y576" s="12" t="s">
        <v>109</v>
      </c>
      <c r="Z576" s="12" t="s">
        <v>109</v>
      </c>
      <c r="AA576" s="12" t="s">
        <v>109</v>
      </c>
      <c r="AB576" s="16" t="s">
        <v>679</v>
      </c>
      <c r="AC576" s="16" t="s">
        <v>3239</v>
      </c>
      <c r="AD576" s="12" t="s">
        <v>112</v>
      </c>
      <c r="AE576" s="12" t="s">
        <v>3240</v>
      </c>
      <c r="AF576" s="12" t="s">
        <v>3248</v>
      </c>
      <c r="AG576" s="12" t="s">
        <v>498</v>
      </c>
      <c r="AH576" s="12" t="s">
        <v>3242</v>
      </c>
      <c r="AI576" s="12" t="s">
        <v>285</v>
      </c>
      <c r="AJ576" s="12" t="s">
        <v>3249</v>
      </c>
      <c r="AK576" s="12" t="s">
        <v>4</v>
      </c>
    </row>
    <row r="577" customFormat="false" ht="15" hidden="false" customHeight="false" outlineLevel="0" collapsed="false">
      <c r="A577" s="11" t="n">
        <v>576</v>
      </c>
      <c r="B577" s="12" t="s">
        <v>3230</v>
      </c>
      <c r="C577" s="12" t="s">
        <v>2850</v>
      </c>
      <c r="D577" s="12" t="s">
        <v>2851</v>
      </c>
      <c r="E577" s="12" t="s">
        <v>759</v>
      </c>
      <c r="F577" s="12" t="s">
        <v>3231</v>
      </c>
      <c r="G577" s="12" t="s">
        <v>345</v>
      </c>
      <c r="H577" s="12" t="s">
        <v>3232</v>
      </c>
      <c r="I577" s="12" t="s">
        <v>3233</v>
      </c>
      <c r="J577" s="13" t="s">
        <v>3234</v>
      </c>
      <c r="K577" s="12" t="s">
        <v>3235</v>
      </c>
      <c r="L577" s="12" t="s">
        <v>3250</v>
      </c>
      <c r="M577" s="12" t="s">
        <v>3251</v>
      </c>
      <c r="N577" s="12" t="s">
        <v>352</v>
      </c>
      <c r="O577" s="12" t="s">
        <v>102</v>
      </c>
      <c r="P577" s="12" t="s">
        <v>155</v>
      </c>
      <c r="Q577" s="12" t="s">
        <v>3252</v>
      </c>
      <c r="R577" s="14" t="n">
        <v>380</v>
      </c>
      <c r="S577" s="14" t="s">
        <v>105</v>
      </c>
      <c r="T577" s="14" t="s">
        <v>106</v>
      </c>
      <c r="U577" s="14" t="n">
        <v>2018</v>
      </c>
      <c r="V577" s="12" t="s">
        <v>157</v>
      </c>
      <c r="W577" s="14"/>
      <c r="X577" s="15" t="n">
        <f aca="false">IF(OR($S577="%",$R577=""),"",$R577*INDEX(Cambi!$J$2:$J$5,MATCH($S577,Cambi!$I$2:$I$5,0))/IF($T577="EUR",1,INDEX(Cambi!$D:$D,MATCH($T577&amp;"|"&amp;$U577,Cambi!$C:$C,0))))</f>
        <v>380</v>
      </c>
      <c r="Y577" s="12" t="s">
        <v>109</v>
      </c>
      <c r="Z577" s="12" t="s">
        <v>109</v>
      </c>
      <c r="AA577" s="12" t="s">
        <v>109</v>
      </c>
      <c r="AB577" s="16" t="s">
        <v>679</v>
      </c>
      <c r="AC577" s="16" t="s">
        <v>3239</v>
      </c>
      <c r="AD577" s="12" t="s">
        <v>112</v>
      </c>
      <c r="AE577" s="12" t="s">
        <v>3240</v>
      </c>
      <c r="AF577" s="12" t="s">
        <v>3253</v>
      </c>
      <c r="AG577" s="12" t="s">
        <v>498</v>
      </c>
      <c r="AH577" s="12" t="s">
        <v>3242</v>
      </c>
      <c r="AI577" s="12" t="s">
        <v>285</v>
      </c>
      <c r="AJ577" s="12" t="s">
        <v>3243</v>
      </c>
      <c r="AK577" s="12" t="s">
        <v>4</v>
      </c>
    </row>
    <row r="578" customFormat="false" ht="15" hidden="false" customHeight="false" outlineLevel="0" collapsed="false">
      <c r="A578" s="11" t="n">
        <v>577</v>
      </c>
      <c r="B578" s="12" t="s">
        <v>3254</v>
      </c>
      <c r="C578" s="12" t="s">
        <v>2850</v>
      </c>
      <c r="D578" s="12" t="s">
        <v>2851</v>
      </c>
      <c r="E578" s="12" t="s">
        <v>759</v>
      </c>
      <c r="F578" s="12" t="s">
        <v>3255</v>
      </c>
      <c r="G578" s="12" t="s">
        <v>345</v>
      </c>
      <c r="H578" s="12" t="s">
        <v>3256</v>
      </c>
      <c r="I578" s="12" t="s">
        <v>1424</v>
      </c>
      <c r="J578" s="13" t="s">
        <v>3257</v>
      </c>
      <c r="K578" s="12" t="s">
        <v>3258</v>
      </c>
      <c r="L578" s="12" t="s">
        <v>3259</v>
      </c>
      <c r="M578" s="12" t="s">
        <v>3260</v>
      </c>
      <c r="N578" s="12" t="s">
        <v>352</v>
      </c>
      <c r="O578" s="12" t="s">
        <v>196</v>
      </c>
      <c r="P578" s="12" t="s">
        <v>856</v>
      </c>
      <c r="Q578" s="12" t="s">
        <v>1267</v>
      </c>
      <c r="R578" s="14" t="n">
        <v>23</v>
      </c>
      <c r="S578" s="14" t="s">
        <v>197</v>
      </c>
      <c r="T578" s="14"/>
      <c r="U578" s="14" t="n">
        <v>2025</v>
      </c>
      <c r="V578" s="12" t="s">
        <v>157</v>
      </c>
      <c r="W578" s="14"/>
      <c r="X578" s="15" t="str">
        <f aca="false">IF(OR($S578="%",$R578=""),"",$R578*INDEX(Cambi!$J$2:$J$5,MATCH($S578,Cambi!$I$2:$I$5,0))/IF($T578="EUR",1,INDEX(Cambi!$D:$D,MATCH($T578&amp;"|"&amp;$U578,Cambi!$C:$C,0))))</f>
        <v/>
      </c>
      <c r="Y578" s="12" t="s">
        <v>239</v>
      </c>
      <c r="Z578" s="12" t="s">
        <v>109</v>
      </c>
      <c r="AA578" s="12" t="s">
        <v>109</v>
      </c>
      <c r="AB578" s="16" t="s">
        <v>3261</v>
      </c>
      <c r="AC578" s="16" t="s">
        <v>3262</v>
      </c>
      <c r="AD578" s="12" t="s">
        <v>112</v>
      </c>
      <c r="AE578" s="12" t="s">
        <v>3263</v>
      </c>
      <c r="AF578" s="12" t="s">
        <v>3264</v>
      </c>
      <c r="AG578" s="12" t="s">
        <v>284</v>
      </c>
      <c r="AH578" s="12" t="s">
        <v>499</v>
      </c>
      <c r="AI578" s="12" t="s">
        <v>285</v>
      </c>
      <c r="AJ578" s="12" t="s">
        <v>3265</v>
      </c>
      <c r="AK578" s="12" t="s">
        <v>4</v>
      </c>
    </row>
    <row r="579" customFormat="false" ht="15" hidden="false" customHeight="false" outlineLevel="0" collapsed="false">
      <c r="A579" s="11" t="n">
        <v>578</v>
      </c>
      <c r="B579" s="12" t="s">
        <v>3254</v>
      </c>
      <c r="C579" s="12" t="s">
        <v>2850</v>
      </c>
      <c r="D579" s="12" t="s">
        <v>2851</v>
      </c>
      <c r="E579" s="12" t="s">
        <v>759</v>
      </c>
      <c r="F579" s="12" t="s">
        <v>3255</v>
      </c>
      <c r="G579" s="12" t="s">
        <v>345</v>
      </c>
      <c r="H579" s="12" t="s">
        <v>3266</v>
      </c>
      <c r="I579" s="12" t="s">
        <v>3267</v>
      </c>
      <c r="J579" s="13" t="s">
        <v>3268</v>
      </c>
      <c r="K579" s="12"/>
      <c r="L579" s="12" t="s">
        <v>3269</v>
      </c>
      <c r="M579" s="12" t="s">
        <v>3270</v>
      </c>
      <c r="N579" s="12" t="s">
        <v>195</v>
      </c>
      <c r="O579" s="12" t="s">
        <v>196</v>
      </c>
      <c r="P579" s="12" t="s">
        <v>856</v>
      </c>
      <c r="Q579" s="12" t="s">
        <v>3271</v>
      </c>
      <c r="R579" s="14" t="n">
        <v>11</v>
      </c>
      <c r="S579" s="14" t="s">
        <v>197</v>
      </c>
      <c r="T579" s="14"/>
      <c r="U579" s="14" t="n">
        <v>2025</v>
      </c>
      <c r="V579" s="12" t="s">
        <v>157</v>
      </c>
      <c r="W579" s="14"/>
      <c r="X579" s="15" t="str">
        <f aca="false">IF(OR($S579="%",$R579=""),"",$R579*INDEX(Cambi!$J$2:$J$5,MATCH($S579,Cambi!$I$2:$I$5,0))/IF($T579="EUR",1,INDEX(Cambi!$D:$D,MATCH($T579&amp;"|"&amp;$U579,Cambi!$C:$C,0))))</f>
        <v/>
      </c>
      <c r="Y579" s="12" t="s">
        <v>239</v>
      </c>
      <c r="Z579" s="12" t="s">
        <v>109</v>
      </c>
      <c r="AA579" s="12" t="s">
        <v>109</v>
      </c>
      <c r="AB579" s="12" t="s">
        <v>394</v>
      </c>
      <c r="AC579" s="12" t="s">
        <v>395</v>
      </c>
      <c r="AD579" s="12" t="s">
        <v>112</v>
      </c>
      <c r="AE579" s="12" t="s">
        <v>3272</v>
      </c>
      <c r="AF579" s="12" t="s">
        <v>3273</v>
      </c>
      <c r="AG579" s="12" t="s">
        <v>115</v>
      </c>
      <c r="AH579" s="12" t="s">
        <v>116</v>
      </c>
      <c r="AI579" s="12" t="s">
        <v>117</v>
      </c>
      <c r="AJ579" s="12" t="s">
        <v>3274</v>
      </c>
      <c r="AK579" s="12" t="s">
        <v>4</v>
      </c>
    </row>
    <row r="580" customFormat="false" ht="15" hidden="false" customHeight="false" outlineLevel="0" collapsed="false">
      <c r="A580" s="11" t="n">
        <v>579</v>
      </c>
      <c r="B580" s="12" t="s">
        <v>3275</v>
      </c>
      <c r="C580" s="12" t="s">
        <v>2850</v>
      </c>
      <c r="D580" s="12" t="s">
        <v>2851</v>
      </c>
      <c r="E580" s="12" t="s">
        <v>759</v>
      </c>
      <c r="F580" s="12" t="s">
        <v>2500</v>
      </c>
      <c r="G580" s="12" t="s">
        <v>830</v>
      </c>
      <c r="H580" s="12" t="s">
        <v>3276</v>
      </c>
      <c r="I580" s="12" t="s">
        <v>847</v>
      </c>
      <c r="J580" s="13" t="s">
        <v>3277</v>
      </c>
      <c r="K580" s="12"/>
      <c r="L580" s="12" t="s">
        <v>3278</v>
      </c>
      <c r="M580" s="12" t="s">
        <v>3279</v>
      </c>
      <c r="N580" s="12" t="s">
        <v>352</v>
      </c>
      <c r="O580" s="12" t="s">
        <v>196</v>
      </c>
      <c r="P580" s="12" t="s">
        <v>103</v>
      </c>
      <c r="Q580" s="12" t="s">
        <v>104</v>
      </c>
      <c r="R580" s="14" t="n">
        <v>14.2</v>
      </c>
      <c r="S580" s="14" t="s">
        <v>197</v>
      </c>
      <c r="T580" s="14"/>
      <c r="U580" s="14" t="n">
        <v>2025</v>
      </c>
      <c r="V580" s="12" t="s">
        <v>157</v>
      </c>
      <c r="W580" s="14"/>
      <c r="X580" s="15" t="str">
        <f aca="false">IF(OR($S580="%",$R580=""),"",$R580*INDEX(Cambi!$J$2:$J$5,MATCH($S580,Cambi!$I$2:$I$5,0))/IF($T580="EUR",1,INDEX(Cambi!$D:$D,MATCH($T580&amp;"|"&amp;$U580,Cambi!$C:$C,0))))</f>
        <v/>
      </c>
      <c r="Y580" s="12" t="s">
        <v>109</v>
      </c>
      <c r="Z580" s="12" t="s">
        <v>109</v>
      </c>
      <c r="AA580" s="12" t="s">
        <v>109</v>
      </c>
      <c r="AB580" s="16" t="s">
        <v>110</v>
      </c>
      <c r="AC580" s="16" t="s">
        <v>2665</v>
      </c>
      <c r="AD580" s="12" t="s">
        <v>112</v>
      </c>
      <c r="AE580" s="12" t="s">
        <v>282</v>
      </c>
      <c r="AF580" s="12" t="s">
        <v>3280</v>
      </c>
      <c r="AG580" s="12" t="s">
        <v>284</v>
      </c>
      <c r="AH580" s="12" t="s">
        <v>838</v>
      </c>
      <c r="AI580" s="12" t="s">
        <v>117</v>
      </c>
      <c r="AJ580" s="12" t="s">
        <v>3281</v>
      </c>
      <c r="AK580" s="12" t="s">
        <v>4</v>
      </c>
    </row>
    <row r="581" customFormat="false" ht="15" hidden="false" customHeight="false" outlineLevel="0" collapsed="false">
      <c r="A581" s="11" t="n">
        <v>580</v>
      </c>
      <c r="B581" s="12" t="s">
        <v>3282</v>
      </c>
      <c r="C581" s="12" t="s">
        <v>2850</v>
      </c>
      <c r="D581" s="12" t="s">
        <v>2851</v>
      </c>
      <c r="E581" s="12" t="s">
        <v>759</v>
      </c>
      <c r="F581" s="12" t="s">
        <v>2513</v>
      </c>
      <c r="G581" s="12" t="s">
        <v>830</v>
      </c>
      <c r="H581" s="12" t="s">
        <v>3283</v>
      </c>
      <c r="I581" s="12" t="s">
        <v>3284</v>
      </c>
      <c r="J581" s="13" t="s">
        <v>3285</v>
      </c>
      <c r="K581" s="12"/>
      <c r="L581" s="12" t="s">
        <v>3286</v>
      </c>
      <c r="M581" s="12" t="s">
        <v>3287</v>
      </c>
      <c r="N581" s="12" t="s">
        <v>352</v>
      </c>
      <c r="O581" s="12" t="s">
        <v>102</v>
      </c>
      <c r="P581" s="12" t="s">
        <v>103</v>
      </c>
      <c r="Q581" s="12" t="s">
        <v>104</v>
      </c>
      <c r="R581" s="14" t="n">
        <v>1548</v>
      </c>
      <c r="S581" s="14" t="s">
        <v>105</v>
      </c>
      <c r="T581" s="14" t="s">
        <v>653</v>
      </c>
      <c r="U581" s="14" t="n">
        <v>2020</v>
      </c>
      <c r="V581" s="12" t="s">
        <v>157</v>
      </c>
      <c r="W581" s="14"/>
      <c r="X581" s="15" t="n">
        <f aca="false">IF(OR($S581="%",$R581=""),"",$R581*INDEX(Cambi!$J$2:$J$5,MATCH($S581,Cambi!$I$2:$I$5,0))/IF($T581="EUR",1,INDEX(Cambi!$D:$D,MATCH($T581&amp;"|"&amp;$U581,Cambi!$C:$C,0))))</f>
        <v>1355.27928558921</v>
      </c>
      <c r="Y581" s="12" t="s">
        <v>109</v>
      </c>
      <c r="Z581" s="12" t="s">
        <v>109</v>
      </c>
      <c r="AA581" s="12" t="s">
        <v>3288</v>
      </c>
      <c r="AB581" s="16" t="s">
        <v>110</v>
      </c>
      <c r="AC581" s="16" t="s">
        <v>2665</v>
      </c>
      <c r="AD581" s="12" t="s">
        <v>201</v>
      </c>
      <c r="AE581" s="12" t="s">
        <v>3289</v>
      </c>
      <c r="AF581" s="12" t="s">
        <v>3290</v>
      </c>
      <c r="AG581" s="12" t="s">
        <v>284</v>
      </c>
      <c r="AH581" s="12" t="s">
        <v>838</v>
      </c>
      <c r="AI581" s="12" t="s">
        <v>117</v>
      </c>
      <c r="AJ581" s="12" t="s">
        <v>3291</v>
      </c>
      <c r="AK581" s="12" t="s">
        <v>4</v>
      </c>
    </row>
    <row r="582" customFormat="false" ht="15" hidden="false" customHeight="false" outlineLevel="0" collapsed="false">
      <c r="A582" s="11" t="n">
        <v>581</v>
      </c>
      <c r="B582" s="12" t="s">
        <v>3282</v>
      </c>
      <c r="C582" s="12" t="s">
        <v>2850</v>
      </c>
      <c r="D582" s="12" t="s">
        <v>2851</v>
      </c>
      <c r="E582" s="12" t="s">
        <v>759</v>
      </c>
      <c r="F582" s="12" t="s">
        <v>2513</v>
      </c>
      <c r="G582" s="12" t="s">
        <v>830</v>
      </c>
      <c r="H582" s="12" t="s">
        <v>3283</v>
      </c>
      <c r="I582" s="12" t="s">
        <v>3284</v>
      </c>
      <c r="J582" s="13" t="s">
        <v>3285</v>
      </c>
      <c r="K582" s="12"/>
      <c r="L582" s="12" t="s">
        <v>3286</v>
      </c>
      <c r="M582" s="12" t="s">
        <v>3292</v>
      </c>
      <c r="N582" s="12" t="s">
        <v>352</v>
      </c>
      <c r="O582" s="12" t="s">
        <v>102</v>
      </c>
      <c r="P582" s="12" t="s">
        <v>103</v>
      </c>
      <c r="Q582" s="12" t="s">
        <v>104</v>
      </c>
      <c r="R582" s="14" t="n">
        <v>1752</v>
      </c>
      <c r="S582" s="14" t="s">
        <v>105</v>
      </c>
      <c r="T582" s="14" t="s">
        <v>653</v>
      </c>
      <c r="U582" s="14" t="n">
        <v>2021</v>
      </c>
      <c r="V582" s="12" t="s">
        <v>157</v>
      </c>
      <c r="W582" s="14"/>
      <c r="X582" s="15" t="n">
        <f aca="false">IF(OR($S582="%",$R582=""),"",$R582*INDEX(Cambi!$J$2:$J$5,MATCH($S582,Cambi!$I$2:$I$5,0))/IF($T582="EUR",1,INDEX(Cambi!$D:$D,MATCH($T582&amp;"|"&amp;$U582,Cambi!$C:$C,0))))</f>
        <v>1481.35621882134</v>
      </c>
      <c r="Y582" s="12" t="s">
        <v>109</v>
      </c>
      <c r="Z582" s="12" t="s">
        <v>109</v>
      </c>
      <c r="AA582" s="12" t="s">
        <v>3288</v>
      </c>
      <c r="AB582" s="16" t="s">
        <v>110</v>
      </c>
      <c r="AC582" s="16" t="s">
        <v>2665</v>
      </c>
      <c r="AD582" s="12" t="s">
        <v>201</v>
      </c>
      <c r="AE582" s="12" t="s">
        <v>3289</v>
      </c>
      <c r="AF582" s="12" t="s">
        <v>3293</v>
      </c>
      <c r="AG582" s="12" t="s">
        <v>284</v>
      </c>
      <c r="AH582" s="12" t="s">
        <v>838</v>
      </c>
      <c r="AI582" s="12" t="s">
        <v>117</v>
      </c>
      <c r="AJ582" s="12" t="s">
        <v>3291</v>
      </c>
      <c r="AK582" s="12" t="s">
        <v>4</v>
      </c>
    </row>
    <row r="583" customFormat="false" ht="15" hidden="false" customHeight="false" outlineLevel="0" collapsed="false">
      <c r="A583" s="11" t="n">
        <v>582</v>
      </c>
      <c r="B583" s="12" t="s">
        <v>3282</v>
      </c>
      <c r="C583" s="12" t="s">
        <v>2850</v>
      </c>
      <c r="D583" s="12" t="s">
        <v>2851</v>
      </c>
      <c r="E583" s="12" t="s">
        <v>759</v>
      </c>
      <c r="F583" s="12" t="s">
        <v>2513</v>
      </c>
      <c r="G583" s="12" t="s">
        <v>830</v>
      </c>
      <c r="H583" s="12" t="s">
        <v>3283</v>
      </c>
      <c r="I583" s="12" t="s">
        <v>3284</v>
      </c>
      <c r="J583" s="13" t="s">
        <v>3285</v>
      </c>
      <c r="K583" s="12"/>
      <c r="L583" s="12" t="s">
        <v>3286</v>
      </c>
      <c r="M583" s="12" t="s">
        <v>3294</v>
      </c>
      <c r="N583" s="12" t="s">
        <v>352</v>
      </c>
      <c r="O583" s="12" t="s">
        <v>102</v>
      </c>
      <c r="P583" s="12" t="s">
        <v>103</v>
      </c>
      <c r="Q583" s="12" t="s">
        <v>104</v>
      </c>
      <c r="R583" s="14" t="n">
        <v>2091</v>
      </c>
      <c r="S583" s="14" t="s">
        <v>105</v>
      </c>
      <c r="T583" s="14" t="s">
        <v>653</v>
      </c>
      <c r="U583" s="14" t="n">
        <v>2022</v>
      </c>
      <c r="V583" s="12" t="s">
        <v>157</v>
      </c>
      <c r="W583" s="14"/>
      <c r="X583" s="15" t="n">
        <f aca="false">IF(OR($S583="%",$R583=""),"",$R583*INDEX(Cambi!$J$2:$J$5,MATCH($S583,Cambi!$I$2:$I$5,0))/IF($T583="EUR",1,INDEX(Cambi!$D:$D,MATCH($T583&amp;"|"&amp;$U583,Cambi!$C:$C,0))))</f>
        <v>1985.75498575499</v>
      </c>
      <c r="Y583" s="12" t="s">
        <v>109</v>
      </c>
      <c r="Z583" s="12" t="s">
        <v>109</v>
      </c>
      <c r="AA583" s="12" t="s">
        <v>3288</v>
      </c>
      <c r="AB583" s="16" t="s">
        <v>110</v>
      </c>
      <c r="AC583" s="16" t="s">
        <v>2665</v>
      </c>
      <c r="AD583" s="12" t="s">
        <v>201</v>
      </c>
      <c r="AE583" s="12" t="s">
        <v>3289</v>
      </c>
      <c r="AF583" s="12" t="s">
        <v>3295</v>
      </c>
      <c r="AG583" s="12" t="s">
        <v>284</v>
      </c>
      <c r="AH583" s="12" t="s">
        <v>838</v>
      </c>
      <c r="AI583" s="12" t="s">
        <v>117</v>
      </c>
      <c r="AJ583" s="12" t="s">
        <v>3291</v>
      </c>
      <c r="AK583" s="12" t="s">
        <v>4</v>
      </c>
    </row>
    <row r="584" customFormat="false" ht="15" hidden="false" customHeight="false" outlineLevel="0" collapsed="false">
      <c r="A584" s="11" t="n">
        <v>583</v>
      </c>
      <c r="B584" s="12" t="s">
        <v>3282</v>
      </c>
      <c r="C584" s="12" t="s">
        <v>2850</v>
      </c>
      <c r="D584" s="12" t="s">
        <v>2851</v>
      </c>
      <c r="E584" s="12" t="s">
        <v>759</v>
      </c>
      <c r="F584" s="12" t="s">
        <v>2513</v>
      </c>
      <c r="G584" s="12" t="s">
        <v>830</v>
      </c>
      <c r="H584" s="12" t="s">
        <v>3283</v>
      </c>
      <c r="I584" s="12" t="s">
        <v>3284</v>
      </c>
      <c r="J584" s="13" t="s">
        <v>3285</v>
      </c>
      <c r="K584" s="12"/>
      <c r="L584" s="12" t="s">
        <v>3286</v>
      </c>
      <c r="M584" s="12" t="s">
        <v>3296</v>
      </c>
      <c r="N584" s="12" t="s">
        <v>352</v>
      </c>
      <c r="O584" s="12" t="s">
        <v>102</v>
      </c>
      <c r="P584" s="12" t="s">
        <v>103</v>
      </c>
      <c r="Q584" s="12" t="s">
        <v>104</v>
      </c>
      <c r="R584" s="14" t="n">
        <v>2430</v>
      </c>
      <c r="S584" s="14" t="s">
        <v>105</v>
      </c>
      <c r="T584" s="14" t="s">
        <v>653</v>
      </c>
      <c r="U584" s="14" t="n">
        <v>2023</v>
      </c>
      <c r="V584" s="12" t="s">
        <v>157</v>
      </c>
      <c r="W584" s="14"/>
      <c r="X584" s="15" t="n">
        <f aca="false">IF(OR($S584="%",$R584=""),"",$R584*INDEX(Cambi!$J$2:$J$5,MATCH($S584,Cambi!$I$2:$I$5,0))/IF($T584="EUR",1,INDEX(Cambi!$D:$D,MATCH($T584&amp;"|"&amp;$U584,Cambi!$C:$C,0))))</f>
        <v>2247.29492277814</v>
      </c>
      <c r="Y584" s="12" t="s">
        <v>109</v>
      </c>
      <c r="Z584" s="12" t="s">
        <v>109</v>
      </c>
      <c r="AA584" s="12" t="s">
        <v>3288</v>
      </c>
      <c r="AB584" s="16" t="s">
        <v>110</v>
      </c>
      <c r="AC584" s="16" t="s">
        <v>2665</v>
      </c>
      <c r="AD584" s="12" t="s">
        <v>201</v>
      </c>
      <c r="AE584" s="12" t="s">
        <v>3289</v>
      </c>
      <c r="AF584" s="12" t="s">
        <v>3297</v>
      </c>
      <c r="AG584" s="12" t="s">
        <v>284</v>
      </c>
      <c r="AH584" s="12" t="s">
        <v>838</v>
      </c>
      <c r="AI584" s="12" t="s">
        <v>117</v>
      </c>
      <c r="AJ584" s="12" t="s">
        <v>3291</v>
      </c>
      <c r="AK584" s="12" t="s">
        <v>4</v>
      </c>
    </row>
    <row r="585" customFormat="false" ht="15" hidden="false" customHeight="false" outlineLevel="0" collapsed="false">
      <c r="A585" s="11" t="n">
        <v>584</v>
      </c>
      <c r="B585" s="12" t="s">
        <v>3282</v>
      </c>
      <c r="C585" s="12" t="s">
        <v>2850</v>
      </c>
      <c r="D585" s="12" t="s">
        <v>2851</v>
      </c>
      <c r="E585" s="12" t="s">
        <v>759</v>
      </c>
      <c r="F585" s="12" t="s">
        <v>2513</v>
      </c>
      <c r="G585" s="12" t="s">
        <v>830</v>
      </c>
      <c r="H585" s="12" t="s">
        <v>3283</v>
      </c>
      <c r="I585" s="12" t="s">
        <v>3284</v>
      </c>
      <c r="J585" s="13" t="s">
        <v>3285</v>
      </c>
      <c r="K585" s="12"/>
      <c r="L585" s="12" t="s">
        <v>3286</v>
      </c>
      <c r="M585" s="12" t="s">
        <v>3298</v>
      </c>
      <c r="N585" s="12" t="s">
        <v>352</v>
      </c>
      <c r="O585" s="12" t="s">
        <v>102</v>
      </c>
      <c r="P585" s="12" t="s">
        <v>103</v>
      </c>
      <c r="Q585" s="12" t="s">
        <v>104</v>
      </c>
      <c r="R585" s="14" t="n">
        <v>2802</v>
      </c>
      <c r="S585" s="14" t="s">
        <v>105</v>
      </c>
      <c r="T585" s="14" t="s">
        <v>653</v>
      </c>
      <c r="U585" s="14" t="n">
        <v>2024</v>
      </c>
      <c r="V585" s="12" t="s">
        <v>157</v>
      </c>
      <c r="W585" s="14"/>
      <c r="X585" s="15" t="n">
        <f aca="false">IF(OR($S585="%",$R585=""),"",$R585*INDEX(Cambi!$J$2:$J$5,MATCH($S585,Cambi!$I$2:$I$5,0))/IF($T585="EUR",1,INDEX(Cambi!$D:$D,MATCH($T585&amp;"|"&amp;$U585,Cambi!$C:$C,0))))</f>
        <v>2588.69179600887</v>
      </c>
      <c r="Y585" s="12" t="s">
        <v>109</v>
      </c>
      <c r="Z585" s="12" t="s">
        <v>109</v>
      </c>
      <c r="AA585" s="12" t="s">
        <v>3288</v>
      </c>
      <c r="AB585" s="16" t="s">
        <v>110</v>
      </c>
      <c r="AC585" s="16" t="s">
        <v>2665</v>
      </c>
      <c r="AD585" s="12" t="s">
        <v>201</v>
      </c>
      <c r="AE585" s="12" t="s">
        <v>3289</v>
      </c>
      <c r="AF585" s="12" t="s">
        <v>3299</v>
      </c>
      <c r="AG585" s="12" t="s">
        <v>284</v>
      </c>
      <c r="AH585" s="12" t="s">
        <v>838</v>
      </c>
      <c r="AI585" s="12" t="s">
        <v>117</v>
      </c>
      <c r="AJ585" s="12" t="s">
        <v>3291</v>
      </c>
      <c r="AK585" s="12" t="s">
        <v>4</v>
      </c>
    </row>
    <row r="586" customFormat="false" ht="15" hidden="false" customHeight="false" outlineLevel="0" collapsed="false">
      <c r="A586" s="11" t="n">
        <v>585</v>
      </c>
      <c r="B586" s="12" t="s">
        <v>3282</v>
      </c>
      <c r="C586" s="12" t="s">
        <v>2850</v>
      </c>
      <c r="D586" s="12" t="s">
        <v>2851</v>
      </c>
      <c r="E586" s="12" t="s">
        <v>759</v>
      </c>
      <c r="F586" s="12" t="s">
        <v>2513</v>
      </c>
      <c r="G586" s="12" t="s">
        <v>830</v>
      </c>
      <c r="H586" s="12" t="s">
        <v>3283</v>
      </c>
      <c r="I586" s="12" t="s">
        <v>3284</v>
      </c>
      <c r="J586" s="13" t="s">
        <v>3285</v>
      </c>
      <c r="K586" s="12"/>
      <c r="L586" s="12" t="s">
        <v>3286</v>
      </c>
      <c r="M586" s="12" t="s">
        <v>3300</v>
      </c>
      <c r="N586" s="12" t="s">
        <v>352</v>
      </c>
      <c r="O586" s="12" t="s">
        <v>102</v>
      </c>
      <c r="P586" s="12" t="s">
        <v>103</v>
      </c>
      <c r="Q586" s="12" t="s">
        <v>104</v>
      </c>
      <c r="R586" s="14" t="n">
        <v>3141</v>
      </c>
      <c r="S586" s="14" t="s">
        <v>105</v>
      </c>
      <c r="T586" s="14" t="s">
        <v>653</v>
      </c>
      <c r="U586" s="14" t="n">
        <v>2025</v>
      </c>
      <c r="V586" s="12" t="s">
        <v>157</v>
      </c>
      <c r="W586" s="14" t="s">
        <v>3301</v>
      </c>
      <c r="X586" s="15" t="n">
        <f aca="false">IF(OR($S586="%",$R586=""),"",$R586*INDEX(Cambi!$J$2:$J$5,MATCH($S586,Cambi!$I$2:$I$5,0))/IF($T586="EUR",1,INDEX(Cambi!$D:$D,MATCH($T586&amp;"|"&amp;$U586,Cambi!$C:$C,0))))</f>
        <v>2779.64601769912</v>
      </c>
      <c r="Y586" s="12" t="s">
        <v>109</v>
      </c>
      <c r="Z586" s="12" t="s">
        <v>109</v>
      </c>
      <c r="AA586" s="12" t="s">
        <v>3288</v>
      </c>
      <c r="AB586" s="16" t="s">
        <v>110</v>
      </c>
      <c r="AC586" s="16" t="s">
        <v>2665</v>
      </c>
      <c r="AD586" s="12" t="s">
        <v>201</v>
      </c>
      <c r="AE586" s="12" t="s">
        <v>3289</v>
      </c>
      <c r="AF586" s="12" t="s">
        <v>3302</v>
      </c>
      <c r="AG586" s="12" t="s">
        <v>284</v>
      </c>
      <c r="AH586" s="12" t="s">
        <v>838</v>
      </c>
      <c r="AI586" s="12" t="s">
        <v>117</v>
      </c>
      <c r="AJ586" s="12" t="s">
        <v>3303</v>
      </c>
      <c r="AK586" s="12" t="s">
        <v>4</v>
      </c>
    </row>
    <row r="587" customFormat="false" ht="15" hidden="false" customHeight="false" outlineLevel="0" collapsed="false">
      <c r="A587" s="11" t="n">
        <v>586</v>
      </c>
      <c r="B587" s="12" t="s">
        <v>3282</v>
      </c>
      <c r="C587" s="12" t="s">
        <v>2850</v>
      </c>
      <c r="D587" s="12" t="s">
        <v>2851</v>
      </c>
      <c r="E587" s="12" t="s">
        <v>759</v>
      </c>
      <c r="F587" s="12" t="s">
        <v>2513</v>
      </c>
      <c r="G587" s="12" t="s">
        <v>830</v>
      </c>
      <c r="H587" s="12" t="s">
        <v>3283</v>
      </c>
      <c r="I587" s="12" t="s">
        <v>3284</v>
      </c>
      <c r="J587" s="13" t="s">
        <v>3285</v>
      </c>
      <c r="K587" s="12"/>
      <c r="L587" s="12" t="s">
        <v>3286</v>
      </c>
      <c r="M587" s="12" t="s">
        <v>3304</v>
      </c>
      <c r="N587" s="12" t="s">
        <v>352</v>
      </c>
      <c r="O587" s="12" t="s">
        <v>102</v>
      </c>
      <c r="P587" s="12" t="s">
        <v>103</v>
      </c>
      <c r="Q587" s="12" t="s">
        <v>104</v>
      </c>
      <c r="R587" s="14" t="n">
        <v>3481</v>
      </c>
      <c r="S587" s="14" t="s">
        <v>105</v>
      </c>
      <c r="T587" s="14" t="s">
        <v>653</v>
      </c>
      <c r="U587" s="14" t="n">
        <v>2026</v>
      </c>
      <c r="V587" s="12" t="s">
        <v>198</v>
      </c>
      <c r="W587" s="14"/>
      <c r="X587" s="15" t="n">
        <f aca="false">IF(OR($S587="%",$R587=""),"",$R587*INDEX(Cambi!$J$2:$J$5,MATCH($S587,Cambi!$I$2:$I$5,0))/IF($T587="EUR",1,INDEX(Cambi!$D:$D,MATCH($T587&amp;"|"&amp;$U587,Cambi!$C:$C,0))))</f>
        <v>3080.53097345133</v>
      </c>
      <c r="Y587" s="12" t="s">
        <v>109</v>
      </c>
      <c r="Z587" s="12" t="s">
        <v>109</v>
      </c>
      <c r="AA587" s="12" t="s">
        <v>3288</v>
      </c>
      <c r="AB587" s="16" t="s">
        <v>110</v>
      </c>
      <c r="AC587" s="16" t="s">
        <v>2665</v>
      </c>
      <c r="AD587" s="12" t="s">
        <v>201</v>
      </c>
      <c r="AE587" s="12" t="s">
        <v>3289</v>
      </c>
      <c r="AF587" s="12" t="s">
        <v>3305</v>
      </c>
      <c r="AG587" s="12" t="s">
        <v>284</v>
      </c>
      <c r="AH587" s="12" t="s">
        <v>838</v>
      </c>
      <c r="AI587" s="12" t="s">
        <v>117</v>
      </c>
      <c r="AJ587" s="12" t="s">
        <v>266</v>
      </c>
      <c r="AK587" s="12" t="s">
        <v>4</v>
      </c>
    </row>
    <row r="588" customFormat="false" ht="15" hidden="false" customHeight="false" outlineLevel="0" collapsed="false">
      <c r="A588" s="11" t="n">
        <v>587</v>
      </c>
      <c r="B588" s="12" t="s">
        <v>3282</v>
      </c>
      <c r="C588" s="12" t="s">
        <v>2850</v>
      </c>
      <c r="D588" s="12" t="s">
        <v>2851</v>
      </c>
      <c r="E588" s="12" t="s">
        <v>759</v>
      </c>
      <c r="F588" s="12" t="s">
        <v>2513</v>
      </c>
      <c r="G588" s="12" t="s">
        <v>830</v>
      </c>
      <c r="H588" s="12" t="s">
        <v>3283</v>
      </c>
      <c r="I588" s="12" t="s">
        <v>3284</v>
      </c>
      <c r="J588" s="13" t="s">
        <v>3285</v>
      </c>
      <c r="K588" s="12"/>
      <c r="L588" s="12" t="s">
        <v>3286</v>
      </c>
      <c r="M588" s="12" t="s">
        <v>3306</v>
      </c>
      <c r="N588" s="12" t="s">
        <v>352</v>
      </c>
      <c r="O588" s="12" t="s">
        <v>102</v>
      </c>
      <c r="P588" s="12" t="s">
        <v>103</v>
      </c>
      <c r="Q588" s="12" t="s">
        <v>104</v>
      </c>
      <c r="R588" s="14" t="n">
        <v>3853</v>
      </c>
      <c r="S588" s="14" t="s">
        <v>105</v>
      </c>
      <c r="T588" s="14" t="s">
        <v>653</v>
      </c>
      <c r="U588" s="14" t="n">
        <v>2027</v>
      </c>
      <c r="V588" s="12" t="s">
        <v>107</v>
      </c>
      <c r="W588" s="14"/>
      <c r="X588" s="15" t="n">
        <f aca="false">IF(OR($S588="%",$R588=""),"",$R588*INDEX(Cambi!$J$2:$J$5,MATCH($S588,Cambi!$I$2:$I$5,0))/IF($T588="EUR",1,INDEX(Cambi!$D:$D,MATCH($T588&amp;"|"&amp;$U588,Cambi!$C:$C,0))))</f>
        <v>3409.73451327434</v>
      </c>
      <c r="Y588" s="12" t="s">
        <v>109</v>
      </c>
      <c r="Z588" s="12" t="s">
        <v>109</v>
      </c>
      <c r="AA588" s="12" t="s">
        <v>3288</v>
      </c>
      <c r="AB588" s="16" t="s">
        <v>110</v>
      </c>
      <c r="AC588" s="16" t="s">
        <v>2665</v>
      </c>
      <c r="AD588" s="12" t="s">
        <v>201</v>
      </c>
      <c r="AE588" s="12" t="s">
        <v>3289</v>
      </c>
      <c r="AF588" s="12" t="s">
        <v>3307</v>
      </c>
      <c r="AG588" s="12" t="s">
        <v>284</v>
      </c>
      <c r="AH588" s="12" t="s">
        <v>838</v>
      </c>
      <c r="AI588" s="12" t="s">
        <v>117</v>
      </c>
      <c r="AJ588" s="12" t="s">
        <v>266</v>
      </c>
      <c r="AK588" s="12" t="s">
        <v>4</v>
      </c>
    </row>
    <row r="589" customFormat="false" ht="15" hidden="false" customHeight="false" outlineLevel="0" collapsed="false">
      <c r="A589" s="11" t="n">
        <v>588</v>
      </c>
      <c r="B589" s="12" t="s">
        <v>3282</v>
      </c>
      <c r="C589" s="12" t="s">
        <v>2850</v>
      </c>
      <c r="D589" s="12" t="s">
        <v>2851</v>
      </c>
      <c r="E589" s="12" t="s">
        <v>759</v>
      </c>
      <c r="F589" s="12" t="s">
        <v>2513</v>
      </c>
      <c r="G589" s="12" t="s">
        <v>830</v>
      </c>
      <c r="H589" s="12" t="s">
        <v>3283</v>
      </c>
      <c r="I589" s="12" t="s">
        <v>3284</v>
      </c>
      <c r="J589" s="13" t="s">
        <v>3285</v>
      </c>
      <c r="K589" s="12"/>
      <c r="L589" s="12" t="s">
        <v>3286</v>
      </c>
      <c r="M589" s="12" t="s">
        <v>3308</v>
      </c>
      <c r="N589" s="12" t="s">
        <v>352</v>
      </c>
      <c r="O589" s="12" t="s">
        <v>102</v>
      </c>
      <c r="P589" s="12" t="s">
        <v>103</v>
      </c>
      <c r="Q589" s="12" t="s">
        <v>104</v>
      </c>
      <c r="R589" s="14" t="n">
        <v>5703</v>
      </c>
      <c r="S589" s="14" t="s">
        <v>105</v>
      </c>
      <c r="T589" s="14" t="s">
        <v>653</v>
      </c>
      <c r="U589" s="14" t="n">
        <v>2031</v>
      </c>
      <c r="V589" s="12" t="s">
        <v>107</v>
      </c>
      <c r="W589" s="14"/>
      <c r="X589" s="15" t="n">
        <f aca="false">IF(OR($S589="%",$R589=""),"",$R589*INDEX(Cambi!$J$2:$J$5,MATCH($S589,Cambi!$I$2:$I$5,0))/IF($T589="EUR",1,INDEX(Cambi!$D:$D,MATCH($T589&amp;"|"&amp;$U589,Cambi!$C:$C,0))))</f>
        <v>5046.90265486726</v>
      </c>
      <c r="Y589" s="12" t="s">
        <v>109</v>
      </c>
      <c r="Z589" s="12" t="s">
        <v>109</v>
      </c>
      <c r="AA589" s="12" t="s">
        <v>3288</v>
      </c>
      <c r="AB589" s="16" t="s">
        <v>110</v>
      </c>
      <c r="AC589" s="16" t="s">
        <v>2665</v>
      </c>
      <c r="AD589" s="12" t="s">
        <v>201</v>
      </c>
      <c r="AE589" s="12" t="s">
        <v>3289</v>
      </c>
      <c r="AF589" s="12" t="s">
        <v>3309</v>
      </c>
      <c r="AG589" s="12" t="s">
        <v>284</v>
      </c>
      <c r="AH589" s="12" t="s">
        <v>838</v>
      </c>
      <c r="AI589" s="12" t="s">
        <v>117</v>
      </c>
      <c r="AJ589" s="12" t="s">
        <v>859</v>
      </c>
      <c r="AK589" s="12" t="s">
        <v>4</v>
      </c>
    </row>
    <row r="590" customFormat="false" ht="15" hidden="false" customHeight="false" outlineLevel="0" collapsed="false">
      <c r="A590" s="11" t="n">
        <v>589</v>
      </c>
      <c r="B590" s="12" t="s">
        <v>3282</v>
      </c>
      <c r="C590" s="12" t="s">
        <v>2850</v>
      </c>
      <c r="D590" s="12" t="s">
        <v>2851</v>
      </c>
      <c r="E590" s="12" t="s">
        <v>759</v>
      </c>
      <c r="F590" s="12" t="s">
        <v>2513</v>
      </c>
      <c r="G590" s="12" t="s">
        <v>830</v>
      </c>
      <c r="H590" s="12" t="s">
        <v>3283</v>
      </c>
      <c r="I590" s="12" t="s">
        <v>3284</v>
      </c>
      <c r="J590" s="13" t="s">
        <v>3285</v>
      </c>
      <c r="K590" s="12"/>
      <c r="L590" s="12" t="s">
        <v>3286</v>
      </c>
      <c r="M590" s="12" t="s">
        <v>3310</v>
      </c>
      <c r="N590" s="12" t="s">
        <v>352</v>
      </c>
      <c r="O590" s="12" t="s">
        <v>102</v>
      </c>
      <c r="P590" s="12" t="s">
        <v>103</v>
      </c>
      <c r="Q590" s="12" t="s">
        <v>104</v>
      </c>
      <c r="R590" s="14" t="n">
        <v>6279</v>
      </c>
      <c r="S590" s="14" t="s">
        <v>105</v>
      </c>
      <c r="T590" s="14" t="s">
        <v>653</v>
      </c>
      <c r="U590" s="14" t="n">
        <v>2032</v>
      </c>
      <c r="V590" s="12" t="s">
        <v>107</v>
      </c>
      <c r="W590" s="14" t="s">
        <v>3311</v>
      </c>
      <c r="X590" s="15" t="n">
        <f aca="false">IF(OR($S590="%",$R590=""),"",$R590*INDEX(Cambi!$J$2:$J$5,MATCH($S590,Cambi!$I$2:$I$5,0))/IF($T590="EUR",1,INDEX(Cambi!$D:$D,MATCH($T590&amp;"|"&amp;$U590,Cambi!$C:$C,0))))</f>
        <v>5556.63716814159</v>
      </c>
      <c r="Y590" s="12" t="s">
        <v>109</v>
      </c>
      <c r="Z590" s="12" t="s">
        <v>109</v>
      </c>
      <c r="AA590" s="12" t="s">
        <v>3288</v>
      </c>
      <c r="AB590" s="16" t="s">
        <v>110</v>
      </c>
      <c r="AC590" s="16" t="s">
        <v>2665</v>
      </c>
      <c r="AD590" s="12" t="s">
        <v>201</v>
      </c>
      <c r="AE590" s="12" t="s">
        <v>3289</v>
      </c>
      <c r="AF590" s="12" t="s">
        <v>3312</v>
      </c>
      <c r="AG590" s="12" t="s">
        <v>284</v>
      </c>
      <c r="AH590" s="12" t="s">
        <v>838</v>
      </c>
      <c r="AI590" s="12" t="s">
        <v>117</v>
      </c>
      <c r="AJ590" s="12" t="s">
        <v>266</v>
      </c>
      <c r="AK590" s="12" t="s">
        <v>4</v>
      </c>
    </row>
    <row r="591" customFormat="false" ht="15" hidden="false" customHeight="false" outlineLevel="0" collapsed="false">
      <c r="A591" s="11" t="n">
        <v>590</v>
      </c>
      <c r="B591" s="12" t="s">
        <v>3313</v>
      </c>
      <c r="C591" s="12" t="s">
        <v>2850</v>
      </c>
      <c r="D591" s="12" t="s">
        <v>2851</v>
      </c>
      <c r="E591" s="12" t="s">
        <v>759</v>
      </c>
      <c r="F591" s="12" t="s">
        <v>1984</v>
      </c>
      <c r="G591" s="12" t="s">
        <v>830</v>
      </c>
      <c r="H591" s="12" t="s">
        <v>3314</v>
      </c>
      <c r="I591" s="12" t="s">
        <v>181</v>
      </c>
      <c r="J591" s="13" t="s">
        <v>3315</v>
      </c>
      <c r="K591" s="12"/>
      <c r="L591" s="12" t="s">
        <v>3316</v>
      </c>
      <c r="M591" s="12" t="s">
        <v>3317</v>
      </c>
      <c r="N591" s="12" t="s">
        <v>352</v>
      </c>
      <c r="O591" s="12" t="s">
        <v>102</v>
      </c>
      <c r="P591" s="12" t="s">
        <v>103</v>
      </c>
      <c r="Q591" s="12" t="s">
        <v>104</v>
      </c>
      <c r="R591" s="14" t="n">
        <v>5721.6</v>
      </c>
      <c r="S591" s="14" t="s">
        <v>105</v>
      </c>
      <c r="T591" s="14" t="s">
        <v>653</v>
      </c>
      <c r="U591" s="14" t="n">
        <v>2025</v>
      </c>
      <c r="V591" s="12" t="s">
        <v>198</v>
      </c>
      <c r="W591" s="14"/>
      <c r="X591" s="15" t="n">
        <f aca="false">IF(OR($S591="%",$R591=""),"",$R591*INDEX(Cambi!$J$2:$J$5,MATCH($S591,Cambi!$I$2:$I$5,0))/IF($T591="EUR",1,INDEX(Cambi!$D:$D,MATCH($T591&amp;"|"&amp;$U591,Cambi!$C:$C,0))))</f>
        <v>5063.36283185841</v>
      </c>
      <c r="Y591" s="12" t="s">
        <v>109</v>
      </c>
      <c r="Z591" s="12" t="s">
        <v>109</v>
      </c>
      <c r="AA591" s="12" t="s">
        <v>109</v>
      </c>
      <c r="AB591" s="16" t="s">
        <v>110</v>
      </c>
      <c r="AC591" s="16" t="s">
        <v>2665</v>
      </c>
      <c r="AD591" s="12" t="s">
        <v>112</v>
      </c>
      <c r="AE591" s="12" t="s">
        <v>282</v>
      </c>
      <c r="AF591" s="12" t="s">
        <v>3318</v>
      </c>
      <c r="AG591" s="12" t="s">
        <v>284</v>
      </c>
      <c r="AH591" s="12" t="s">
        <v>838</v>
      </c>
      <c r="AI591" s="12" t="s">
        <v>117</v>
      </c>
      <c r="AJ591" s="12" t="s">
        <v>3319</v>
      </c>
      <c r="AK591" s="12" t="s">
        <v>4</v>
      </c>
    </row>
    <row r="592" customFormat="false" ht="15" hidden="false" customHeight="false" outlineLevel="0" collapsed="false">
      <c r="A592" s="11" t="n">
        <v>591</v>
      </c>
      <c r="B592" s="12" t="s">
        <v>3313</v>
      </c>
      <c r="C592" s="12" t="s">
        <v>2850</v>
      </c>
      <c r="D592" s="12" t="s">
        <v>2851</v>
      </c>
      <c r="E592" s="12" t="s">
        <v>759</v>
      </c>
      <c r="F592" s="12" t="s">
        <v>1984</v>
      </c>
      <c r="G592" s="12" t="s">
        <v>830</v>
      </c>
      <c r="H592" s="12" t="s">
        <v>3314</v>
      </c>
      <c r="I592" s="12" t="s">
        <v>181</v>
      </c>
      <c r="J592" s="13" t="s">
        <v>3315</v>
      </c>
      <c r="K592" s="12"/>
      <c r="L592" s="12" t="s">
        <v>3316</v>
      </c>
      <c r="M592" s="12" t="s">
        <v>3320</v>
      </c>
      <c r="N592" s="12" t="s">
        <v>352</v>
      </c>
      <c r="O592" s="12" t="s">
        <v>102</v>
      </c>
      <c r="P592" s="12" t="s">
        <v>103</v>
      </c>
      <c r="Q592" s="12" t="s">
        <v>104</v>
      </c>
      <c r="R592" s="14" t="n">
        <v>9678.2</v>
      </c>
      <c r="S592" s="14" t="s">
        <v>105</v>
      </c>
      <c r="T592" s="14" t="s">
        <v>653</v>
      </c>
      <c r="U592" s="14" t="n">
        <v>2030</v>
      </c>
      <c r="V592" s="12" t="s">
        <v>107</v>
      </c>
      <c r="W592" s="14" t="s">
        <v>3321</v>
      </c>
      <c r="X592" s="15" t="n">
        <f aca="false">IF(OR($S592="%",$R592=""),"",$R592*INDEX(Cambi!$J$2:$J$5,MATCH($S592,Cambi!$I$2:$I$5,0))/IF($T592="EUR",1,INDEX(Cambi!$D:$D,MATCH($T592&amp;"|"&amp;$U592,Cambi!$C:$C,0))))</f>
        <v>8564.77876106195</v>
      </c>
      <c r="Y592" s="12" t="s">
        <v>109</v>
      </c>
      <c r="Z592" s="12" t="s">
        <v>109</v>
      </c>
      <c r="AA592" s="12" t="s">
        <v>109</v>
      </c>
      <c r="AB592" s="16" t="s">
        <v>110</v>
      </c>
      <c r="AC592" s="16" t="s">
        <v>2665</v>
      </c>
      <c r="AD592" s="12" t="s">
        <v>112</v>
      </c>
      <c r="AE592" s="12" t="s">
        <v>282</v>
      </c>
      <c r="AF592" s="12" t="s">
        <v>3322</v>
      </c>
      <c r="AG592" s="12" t="s">
        <v>284</v>
      </c>
      <c r="AH592" s="12" t="s">
        <v>838</v>
      </c>
      <c r="AI592" s="12" t="s">
        <v>117</v>
      </c>
      <c r="AJ592" s="12" t="s">
        <v>266</v>
      </c>
      <c r="AK592" s="12" t="s">
        <v>4</v>
      </c>
    </row>
    <row r="593" customFormat="false" ht="15" hidden="false" customHeight="false" outlineLevel="0" collapsed="false">
      <c r="A593" s="11" t="n">
        <v>592</v>
      </c>
      <c r="B593" s="12" t="s">
        <v>3323</v>
      </c>
      <c r="C593" s="12" t="s">
        <v>2850</v>
      </c>
      <c r="D593" s="12" t="s">
        <v>2851</v>
      </c>
      <c r="E593" s="12" t="s">
        <v>759</v>
      </c>
      <c r="F593" s="12" t="s">
        <v>845</v>
      </c>
      <c r="G593" s="12" t="s">
        <v>830</v>
      </c>
      <c r="H593" s="12" t="s">
        <v>3324</v>
      </c>
      <c r="I593" s="12" t="s">
        <v>808</v>
      </c>
      <c r="J593" s="13" t="s">
        <v>3325</v>
      </c>
      <c r="K593" s="12"/>
      <c r="L593" s="12" t="s">
        <v>3326</v>
      </c>
      <c r="M593" s="12" t="s">
        <v>3327</v>
      </c>
      <c r="N593" s="12" t="s">
        <v>352</v>
      </c>
      <c r="O593" s="12" t="s">
        <v>102</v>
      </c>
      <c r="P593" s="12" t="s">
        <v>103</v>
      </c>
      <c r="Q593" s="12" t="s">
        <v>104</v>
      </c>
      <c r="R593" s="14" t="n">
        <v>3.63</v>
      </c>
      <c r="S593" s="14" t="s">
        <v>129</v>
      </c>
      <c r="T593" s="14" t="s">
        <v>653</v>
      </c>
      <c r="U593" s="14" t="n">
        <v>2024</v>
      </c>
      <c r="V593" s="12" t="s">
        <v>198</v>
      </c>
      <c r="W593" s="14"/>
      <c r="X593" s="15" t="n">
        <f aca="false">IF(OR($S593="%",$R593=""),"",$R593*INDEX(Cambi!$J$2:$J$5,MATCH($S593,Cambi!$I$2:$I$5,0))/IF($T593="EUR",1,INDEX(Cambi!$D:$D,MATCH($T593&amp;"|"&amp;$U593,Cambi!$C:$C,0))))</f>
        <v>3353.65853658537</v>
      </c>
      <c r="Y593" s="12" t="s">
        <v>109</v>
      </c>
      <c r="Z593" s="12" t="s">
        <v>109</v>
      </c>
      <c r="AA593" s="12" t="s">
        <v>109</v>
      </c>
      <c r="AB593" s="16" t="s">
        <v>110</v>
      </c>
      <c r="AC593" s="16" t="s">
        <v>2665</v>
      </c>
      <c r="AD593" s="12" t="s">
        <v>112</v>
      </c>
      <c r="AE593" s="12" t="s">
        <v>282</v>
      </c>
      <c r="AF593" s="12" t="s">
        <v>3328</v>
      </c>
      <c r="AG593" s="12" t="s">
        <v>284</v>
      </c>
      <c r="AH593" s="12" t="s">
        <v>838</v>
      </c>
      <c r="AI593" s="12" t="s">
        <v>117</v>
      </c>
      <c r="AJ593" s="12" t="s">
        <v>3329</v>
      </c>
      <c r="AK593" s="12" t="s">
        <v>4</v>
      </c>
    </row>
    <row r="594" customFormat="false" ht="15" hidden="false" customHeight="false" outlineLevel="0" collapsed="false">
      <c r="A594" s="11" t="n">
        <v>593</v>
      </c>
      <c r="B594" s="12" t="s">
        <v>3323</v>
      </c>
      <c r="C594" s="12" t="s">
        <v>2850</v>
      </c>
      <c r="D594" s="12" t="s">
        <v>2851</v>
      </c>
      <c r="E594" s="12" t="s">
        <v>759</v>
      </c>
      <c r="F594" s="12" t="s">
        <v>845</v>
      </c>
      <c r="G594" s="12" t="s">
        <v>830</v>
      </c>
      <c r="H594" s="12" t="s">
        <v>3324</v>
      </c>
      <c r="I594" s="12" t="s">
        <v>808</v>
      </c>
      <c r="J594" s="13" t="s">
        <v>3325</v>
      </c>
      <c r="K594" s="12"/>
      <c r="L594" s="12" t="s">
        <v>3326</v>
      </c>
      <c r="M594" s="12" t="s">
        <v>3330</v>
      </c>
      <c r="N594" s="12" t="s">
        <v>352</v>
      </c>
      <c r="O594" s="12" t="s">
        <v>102</v>
      </c>
      <c r="P594" s="12" t="s">
        <v>103</v>
      </c>
      <c r="Q594" s="12" t="s">
        <v>104</v>
      </c>
      <c r="R594" s="14" t="n">
        <v>5.84</v>
      </c>
      <c r="S594" s="14" t="s">
        <v>129</v>
      </c>
      <c r="T594" s="14" t="s">
        <v>653</v>
      </c>
      <c r="U594" s="14" t="n">
        <v>2029</v>
      </c>
      <c r="V594" s="12" t="s">
        <v>107</v>
      </c>
      <c r="W594" s="14" t="s">
        <v>3331</v>
      </c>
      <c r="X594" s="15" t="n">
        <f aca="false">IF(OR($S594="%",$R594=""),"",$R594*INDEX(Cambi!$J$2:$J$5,MATCH($S594,Cambi!$I$2:$I$5,0))/IF($T594="EUR",1,INDEX(Cambi!$D:$D,MATCH($T594&amp;"|"&amp;$U594,Cambi!$C:$C,0))))</f>
        <v>5168.14159292036</v>
      </c>
      <c r="Y594" s="12" t="s">
        <v>109</v>
      </c>
      <c r="Z594" s="12" t="s">
        <v>109</v>
      </c>
      <c r="AA594" s="12" t="s">
        <v>109</v>
      </c>
      <c r="AB594" s="16" t="s">
        <v>110</v>
      </c>
      <c r="AC594" s="16" t="s">
        <v>2665</v>
      </c>
      <c r="AD594" s="12" t="s">
        <v>112</v>
      </c>
      <c r="AE594" s="12" t="s">
        <v>282</v>
      </c>
      <c r="AF594" s="12" t="s">
        <v>3332</v>
      </c>
      <c r="AG594" s="12" t="s">
        <v>284</v>
      </c>
      <c r="AH594" s="12" t="s">
        <v>838</v>
      </c>
      <c r="AI594" s="12" t="s">
        <v>117</v>
      </c>
      <c r="AJ594" s="12" t="s">
        <v>266</v>
      </c>
      <c r="AK594" s="12" t="s">
        <v>4</v>
      </c>
    </row>
    <row r="595" customFormat="false" ht="15" hidden="false" customHeight="false" outlineLevel="0" collapsed="false">
      <c r="A595" s="11" t="n">
        <v>594</v>
      </c>
      <c r="B595" s="12" t="s">
        <v>3333</v>
      </c>
      <c r="C595" s="12" t="s">
        <v>2850</v>
      </c>
      <c r="D595" s="12" t="s">
        <v>2851</v>
      </c>
      <c r="E595" s="12" t="s">
        <v>759</v>
      </c>
      <c r="F595" s="12" t="s">
        <v>845</v>
      </c>
      <c r="G595" s="12" t="s">
        <v>830</v>
      </c>
      <c r="H595" s="12" t="s">
        <v>3334</v>
      </c>
      <c r="I595" s="12" t="s">
        <v>847</v>
      </c>
      <c r="J595" s="13" t="s">
        <v>3335</v>
      </c>
      <c r="K595" s="12"/>
      <c r="L595" s="12" t="s">
        <v>3336</v>
      </c>
      <c r="M595" s="12" t="s">
        <v>3337</v>
      </c>
      <c r="N595" s="12" t="s">
        <v>352</v>
      </c>
      <c r="O595" s="12" t="s">
        <v>102</v>
      </c>
      <c r="P595" s="12" t="s">
        <v>103</v>
      </c>
      <c r="Q595" s="12" t="s">
        <v>104</v>
      </c>
      <c r="R595" s="14" t="n">
        <v>4.12</v>
      </c>
      <c r="S595" s="14" t="s">
        <v>129</v>
      </c>
      <c r="T595" s="14" t="s">
        <v>653</v>
      </c>
      <c r="U595" s="14" t="n">
        <v>2025</v>
      </c>
      <c r="V595" s="12" t="s">
        <v>157</v>
      </c>
      <c r="W595" s="14"/>
      <c r="X595" s="15" t="n">
        <f aca="false">IF(OR($S595="%",$R595=""),"",$R595*INDEX(Cambi!$J$2:$J$5,MATCH($S595,Cambi!$I$2:$I$5,0))/IF($T595="EUR",1,INDEX(Cambi!$D:$D,MATCH($T595&amp;"|"&amp;$U595,Cambi!$C:$C,0))))</f>
        <v>3646.01769911504</v>
      </c>
      <c r="Y595" s="12" t="s">
        <v>109</v>
      </c>
      <c r="Z595" s="12" t="s">
        <v>109</v>
      </c>
      <c r="AA595" s="12" t="s">
        <v>2677</v>
      </c>
      <c r="AB595" s="16" t="s">
        <v>110</v>
      </c>
      <c r="AC595" s="16" t="s">
        <v>2665</v>
      </c>
      <c r="AD595" s="12" t="s">
        <v>112</v>
      </c>
      <c r="AE595" s="12" t="s">
        <v>282</v>
      </c>
      <c r="AF595" s="12" t="s">
        <v>3338</v>
      </c>
      <c r="AG595" s="12" t="s">
        <v>284</v>
      </c>
      <c r="AH595" s="12" t="s">
        <v>838</v>
      </c>
      <c r="AI595" s="12" t="s">
        <v>117</v>
      </c>
      <c r="AJ595" s="12" t="s">
        <v>3339</v>
      </c>
      <c r="AK595" s="12" t="s">
        <v>4</v>
      </c>
    </row>
    <row r="596" customFormat="false" ht="15" hidden="false" customHeight="false" outlineLevel="0" collapsed="false">
      <c r="A596" s="11" t="n">
        <v>595</v>
      </c>
      <c r="B596" s="12" t="s">
        <v>3333</v>
      </c>
      <c r="C596" s="12" t="s">
        <v>2850</v>
      </c>
      <c r="D596" s="12" t="s">
        <v>2851</v>
      </c>
      <c r="E596" s="12" t="s">
        <v>759</v>
      </c>
      <c r="F596" s="12" t="s">
        <v>845</v>
      </c>
      <c r="G596" s="12" t="s">
        <v>830</v>
      </c>
      <c r="H596" s="12" t="s">
        <v>3334</v>
      </c>
      <c r="I596" s="12" t="s">
        <v>847</v>
      </c>
      <c r="J596" s="13" t="s">
        <v>3335</v>
      </c>
      <c r="K596" s="12"/>
      <c r="L596" s="12" t="s">
        <v>3340</v>
      </c>
      <c r="M596" s="12" t="s">
        <v>3341</v>
      </c>
      <c r="N596" s="12" t="s">
        <v>352</v>
      </c>
      <c r="O596" s="12" t="s">
        <v>196</v>
      </c>
      <c r="P596" s="12" t="s">
        <v>155</v>
      </c>
      <c r="Q596" s="12" t="s">
        <v>1027</v>
      </c>
      <c r="R596" s="14" t="n">
        <v>64.85</v>
      </c>
      <c r="S596" s="14" t="s">
        <v>197</v>
      </c>
      <c r="T596" s="14"/>
      <c r="U596" s="14" t="n">
        <v>2025</v>
      </c>
      <c r="V596" s="12" t="s">
        <v>157</v>
      </c>
      <c r="W596" s="14"/>
      <c r="X596" s="15" t="str">
        <f aca="false">IF(OR($S596="%",$R596=""),"",$R596*INDEX(Cambi!$J$2:$J$5,MATCH($S596,Cambi!$I$2:$I$5,0))/IF($T596="EUR",1,INDEX(Cambi!$D:$D,MATCH($T596&amp;"|"&amp;$U596,Cambi!$C:$C,0))))</f>
        <v/>
      </c>
      <c r="Y596" s="12" t="s">
        <v>109</v>
      </c>
      <c r="Z596" s="12" t="s">
        <v>109</v>
      </c>
      <c r="AA596" s="12" t="s">
        <v>2677</v>
      </c>
      <c r="AB596" s="16" t="s">
        <v>110</v>
      </c>
      <c r="AC596" s="16" t="s">
        <v>2665</v>
      </c>
      <c r="AD596" s="12" t="s">
        <v>112</v>
      </c>
      <c r="AE596" s="12" t="s">
        <v>282</v>
      </c>
      <c r="AF596" s="12" t="s">
        <v>3342</v>
      </c>
      <c r="AG596" s="12" t="s">
        <v>284</v>
      </c>
      <c r="AH596" s="12" t="s">
        <v>838</v>
      </c>
      <c r="AI596" s="12" t="s">
        <v>117</v>
      </c>
      <c r="AJ596" s="12" t="s">
        <v>266</v>
      </c>
      <c r="AK596" s="12" t="s">
        <v>4</v>
      </c>
    </row>
    <row r="597" customFormat="false" ht="15" hidden="false" customHeight="false" outlineLevel="0" collapsed="false">
      <c r="A597" s="11" t="n">
        <v>596</v>
      </c>
      <c r="B597" s="12" t="s">
        <v>3333</v>
      </c>
      <c r="C597" s="12" t="s">
        <v>2850</v>
      </c>
      <c r="D597" s="12" t="s">
        <v>2851</v>
      </c>
      <c r="E597" s="12" t="s">
        <v>759</v>
      </c>
      <c r="F597" s="12" t="s">
        <v>845</v>
      </c>
      <c r="G597" s="12" t="s">
        <v>830</v>
      </c>
      <c r="H597" s="12" t="s">
        <v>3334</v>
      </c>
      <c r="I597" s="12" t="s">
        <v>847</v>
      </c>
      <c r="J597" s="13" t="s">
        <v>3335</v>
      </c>
      <c r="K597" s="12"/>
      <c r="L597" s="12" t="s">
        <v>3336</v>
      </c>
      <c r="M597" s="12" t="s">
        <v>3343</v>
      </c>
      <c r="N597" s="12" t="s">
        <v>352</v>
      </c>
      <c r="O597" s="12" t="s">
        <v>102</v>
      </c>
      <c r="P597" s="12" t="s">
        <v>103</v>
      </c>
      <c r="Q597" s="12" t="s">
        <v>104</v>
      </c>
      <c r="R597" s="14" t="n">
        <v>4.65</v>
      </c>
      <c r="S597" s="14" t="s">
        <v>129</v>
      </c>
      <c r="T597" s="14" t="s">
        <v>653</v>
      </c>
      <c r="U597" s="14" t="n">
        <v>2026</v>
      </c>
      <c r="V597" s="12" t="s">
        <v>198</v>
      </c>
      <c r="W597" s="14"/>
      <c r="X597" s="15" t="n">
        <f aca="false">IF(OR($S597="%",$R597=""),"",$R597*INDEX(Cambi!$J$2:$J$5,MATCH($S597,Cambi!$I$2:$I$5,0))/IF($T597="EUR",1,INDEX(Cambi!$D:$D,MATCH($T597&amp;"|"&amp;$U597,Cambi!$C:$C,0))))</f>
        <v>4115.04424778761</v>
      </c>
      <c r="Y597" s="12" t="s">
        <v>109</v>
      </c>
      <c r="Z597" s="12" t="s">
        <v>109</v>
      </c>
      <c r="AA597" s="12" t="s">
        <v>2677</v>
      </c>
      <c r="AB597" s="16" t="s">
        <v>110</v>
      </c>
      <c r="AC597" s="16" t="s">
        <v>2665</v>
      </c>
      <c r="AD597" s="12" t="s">
        <v>112</v>
      </c>
      <c r="AE597" s="12" t="s">
        <v>282</v>
      </c>
      <c r="AF597" s="12" t="s">
        <v>3344</v>
      </c>
      <c r="AG597" s="12" t="s">
        <v>284</v>
      </c>
      <c r="AH597" s="12" t="s">
        <v>838</v>
      </c>
      <c r="AI597" s="12" t="s">
        <v>117</v>
      </c>
      <c r="AJ597" s="12" t="s">
        <v>266</v>
      </c>
      <c r="AK597" s="12" t="s">
        <v>4</v>
      </c>
    </row>
    <row r="598" customFormat="false" ht="15" hidden="false" customHeight="false" outlineLevel="0" collapsed="false">
      <c r="A598" s="11" t="n">
        <v>597</v>
      </c>
      <c r="B598" s="12" t="s">
        <v>3333</v>
      </c>
      <c r="C598" s="12" t="s">
        <v>2850</v>
      </c>
      <c r="D598" s="12" t="s">
        <v>2851</v>
      </c>
      <c r="E598" s="12" t="s">
        <v>759</v>
      </c>
      <c r="F598" s="12" t="s">
        <v>845</v>
      </c>
      <c r="G598" s="12" t="s">
        <v>830</v>
      </c>
      <c r="H598" s="12" t="s">
        <v>3334</v>
      </c>
      <c r="I598" s="12" t="s">
        <v>847</v>
      </c>
      <c r="J598" s="13" t="s">
        <v>3335</v>
      </c>
      <c r="K598" s="12"/>
      <c r="L598" s="12" t="s">
        <v>3336</v>
      </c>
      <c r="M598" s="12" t="s">
        <v>3345</v>
      </c>
      <c r="N598" s="12" t="s">
        <v>352</v>
      </c>
      <c r="O598" s="12" t="s">
        <v>102</v>
      </c>
      <c r="P598" s="12" t="s">
        <v>103</v>
      </c>
      <c r="Q598" s="12" t="s">
        <v>104</v>
      </c>
      <c r="R598" s="14" t="n">
        <v>8.48</v>
      </c>
      <c r="S598" s="14" t="s">
        <v>129</v>
      </c>
      <c r="T598" s="14" t="s">
        <v>653</v>
      </c>
      <c r="U598" s="14" t="n">
        <v>2031</v>
      </c>
      <c r="V598" s="12" t="s">
        <v>107</v>
      </c>
      <c r="W598" s="14" t="s">
        <v>3346</v>
      </c>
      <c r="X598" s="15" t="n">
        <f aca="false">IF(OR($S598="%",$R598=""),"",$R598*INDEX(Cambi!$J$2:$J$5,MATCH($S598,Cambi!$I$2:$I$5,0))/IF($T598="EUR",1,INDEX(Cambi!$D:$D,MATCH($T598&amp;"|"&amp;$U598,Cambi!$C:$C,0))))</f>
        <v>7504.42477876106</v>
      </c>
      <c r="Y598" s="12" t="s">
        <v>109</v>
      </c>
      <c r="Z598" s="12" t="s">
        <v>109</v>
      </c>
      <c r="AA598" s="12" t="s">
        <v>2677</v>
      </c>
      <c r="AB598" s="16" t="s">
        <v>110</v>
      </c>
      <c r="AC598" s="16" t="s">
        <v>2665</v>
      </c>
      <c r="AD598" s="12" t="s">
        <v>112</v>
      </c>
      <c r="AE598" s="12" t="s">
        <v>282</v>
      </c>
      <c r="AF598" s="12" t="s">
        <v>3347</v>
      </c>
      <c r="AG598" s="12" t="s">
        <v>284</v>
      </c>
      <c r="AH598" s="12" t="s">
        <v>838</v>
      </c>
      <c r="AI598" s="12" t="s">
        <v>117</v>
      </c>
      <c r="AJ598" s="12" t="s">
        <v>3348</v>
      </c>
      <c r="AK598" s="12" t="s">
        <v>4</v>
      </c>
    </row>
    <row r="599" customFormat="false" ht="15" hidden="false" customHeight="false" outlineLevel="0" collapsed="false">
      <c r="A599" s="11" t="n">
        <v>598</v>
      </c>
      <c r="B599" s="12" t="s">
        <v>3349</v>
      </c>
      <c r="C599" s="12" t="s">
        <v>2850</v>
      </c>
      <c r="D599" s="12" t="s">
        <v>2851</v>
      </c>
      <c r="E599" s="12" t="s">
        <v>759</v>
      </c>
      <c r="F599" s="12" t="s">
        <v>3350</v>
      </c>
      <c r="G599" s="12" t="s">
        <v>1876</v>
      </c>
      <c r="H599" s="12" t="s">
        <v>3351</v>
      </c>
      <c r="I599" s="12" t="s">
        <v>3352</v>
      </c>
      <c r="J599" s="13" t="s">
        <v>3353</v>
      </c>
      <c r="K599" s="12" t="s">
        <v>3354</v>
      </c>
      <c r="L599" s="12" t="s">
        <v>3355</v>
      </c>
      <c r="M599" s="12" t="s">
        <v>3356</v>
      </c>
      <c r="N599" s="12" t="s">
        <v>352</v>
      </c>
      <c r="O599" s="12" t="s">
        <v>102</v>
      </c>
      <c r="P599" s="12" t="s">
        <v>103</v>
      </c>
      <c r="Q599" s="12" t="s">
        <v>104</v>
      </c>
      <c r="R599" s="14" t="n">
        <v>1.4</v>
      </c>
      <c r="S599" s="14" t="s">
        <v>129</v>
      </c>
      <c r="T599" s="14" t="s">
        <v>106</v>
      </c>
      <c r="U599" s="14" t="n">
        <v>2021</v>
      </c>
      <c r="V599" s="12" t="s">
        <v>198</v>
      </c>
      <c r="W599" s="14" t="s">
        <v>3357</v>
      </c>
      <c r="X599" s="15" t="n">
        <f aca="false">IF(OR($S599="%",$R599=""),"",$R599*INDEX(Cambi!$J$2:$J$5,MATCH($S599,Cambi!$I$2:$I$5,0))/IF($T599="EUR",1,INDEX(Cambi!$D:$D,MATCH($T599&amp;"|"&amp;$U599,Cambi!$C:$C,0))))</f>
        <v>1400</v>
      </c>
      <c r="Y599" s="12" t="s">
        <v>109</v>
      </c>
      <c r="Z599" s="12" t="s">
        <v>109</v>
      </c>
      <c r="AA599" s="12" t="s">
        <v>109</v>
      </c>
      <c r="AB599" s="16" t="s">
        <v>110</v>
      </c>
      <c r="AC599" s="16" t="s">
        <v>3358</v>
      </c>
      <c r="AD599" s="12" t="s">
        <v>112</v>
      </c>
      <c r="AE599" s="12" t="s">
        <v>3359</v>
      </c>
      <c r="AF599" s="12" t="s">
        <v>3360</v>
      </c>
      <c r="AG599" s="12" t="s">
        <v>284</v>
      </c>
      <c r="AH599" s="12" t="s">
        <v>499</v>
      </c>
      <c r="AI599" s="12" t="s">
        <v>285</v>
      </c>
      <c r="AJ599" s="12" t="s">
        <v>3361</v>
      </c>
      <c r="AK599" s="12" t="s">
        <v>4</v>
      </c>
    </row>
    <row r="600" customFormat="false" ht="15" hidden="false" customHeight="false" outlineLevel="0" collapsed="false">
      <c r="A600" s="11" t="n">
        <v>599</v>
      </c>
      <c r="B600" s="12" t="s">
        <v>3362</v>
      </c>
      <c r="C600" s="12" t="s">
        <v>2850</v>
      </c>
      <c r="D600" s="12" t="s">
        <v>2851</v>
      </c>
      <c r="E600" s="12" t="s">
        <v>759</v>
      </c>
      <c r="F600" s="12" t="s">
        <v>3363</v>
      </c>
      <c r="G600" s="12" t="s">
        <v>1516</v>
      </c>
      <c r="H600" s="12" t="s">
        <v>3364</v>
      </c>
      <c r="I600" s="12" t="s">
        <v>2899</v>
      </c>
      <c r="J600" s="13" t="s">
        <v>3365</v>
      </c>
      <c r="K600" s="12"/>
      <c r="L600" s="12" t="s">
        <v>3366</v>
      </c>
      <c r="M600" s="12" t="s">
        <v>3367</v>
      </c>
      <c r="N600" s="12" t="s">
        <v>352</v>
      </c>
      <c r="O600" s="12" t="s">
        <v>213</v>
      </c>
      <c r="P600" s="12" t="s">
        <v>103</v>
      </c>
      <c r="Q600" s="12" t="s">
        <v>104</v>
      </c>
      <c r="R600" s="14" t="n">
        <v>12</v>
      </c>
      <c r="S600" s="14" t="s">
        <v>197</v>
      </c>
      <c r="T600" s="14"/>
      <c r="U600" s="14" t="n">
        <v>2017</v>
      </c>
      <c r="V600" s="12" t="s">
        <v>157</v>
      </c>
      <c r="W600" s="14" t="s">
        <v>3368</v>
      </c>
      <c r="X600" s="15" t="str">
        <f aca="false">IF(OR($S600="%",$R600=""),"",$R600*INDEX(Cambi!$J$2:$J$5,MATCH($S600,Cambi!$I$2:$I$5,0))/IF($T600="EUR",1,INDEX(Cambi!$D:$D,MATCH($T600&amp;"|"&amp;$U600,Cambi!$C:$C,0))))</f>
        <v/>
      </c>
      <c r="Y600" s="12" t="s">
        <v>239</v>
      </c>
      <c r="Z600" s="12" t="s">
        <v>109</v>
      </c>
      <c r="AA600" s="12" t="s">
        <v>3369</v>
      </c>
      <c r="AB600" s="16" t="s">
        <v>110</v>
      </c>
      <c r="AC600" s="16" t="s">
        <v>3370</v>
      </c>
      <c r="AD600" s="12" t="s">
        <v>112</v>
      </c>
      <c r="AE600" s="12" t="s">
        <v>3371</v>
      </c>
      <c r="AF600" s="12" t="s">
        <v>3372</v>
      </c>
      <c r="AG600" s="12" t="s">
        <v>498</v>
      </c>
      <c r="AH600" s="12" t="s">
        <v>116</v>
      </c>
      <c r="AI600" s="12" t="s">
        <v>117</v>
      </c>
      <c r="AJ600" s="12" t="s">
        <v>3373</v>
      </c>
      <c r="AK600" s="12" t="s">
        <v>4</v>
      </c>
    </row>
    <row r="601" customFormat="false" ht="15" hidden="false" customHeight="false" outlineLevel="0" collapsed="false">
      <c r="A601" s="11" t="n">
        <v>600</v>
      </c>
      <c r="B601" s="12" t="s">
        <v>3362</v>
      </c>
      <c r="C601" s="12" t="s">
        <v>2850</v>
      </c>
      <c r="D601" s="12" t="s">
        <v>2851</v>
      </c>
      <c r="E601" s="12" t="s">
        <v>759</v>
      </c>
      <c r="F601" s="12" t="s">
        <v>3363</v>
      </c>
      <c r="G601" s="12" t="s">
        <v>1516</v>
      </c>
      <c r="H601" s="12" t="s">
        <v>3364</v>
      </c>
      <c r="I601" s="12" t="s">
        <v>2899</v>
      </c>
      <c r="J601" s="13" t="s">
        <v>3365</v>
      </c>
      <c r="K601" s="12"/>
      <c r="L601" s="12" t="s">
        <v>3374</v>
      </c>
      <c r="M601" s="12" t="s">
        <v>3375</v>
      </c>
      <c r="N601" s="12" t="s">
        <v>352</v>
      </c>
      <c r="O601" s="12" t="s">
        <v>102</v>
      </c>
      <c r="P601" s="12" t="s">
        <v>103</v>
      </c>
      <c r="Q601" s="12" t="s">
        <v>104</v>
      </c>
      <c r="R601" s="14" t="n">
        <v>1.09</v>
      </c>
      <c r="S601" s="14" t="s">
        <v>129</v>
      </c>
      <c r="T601" s="14" t="s">
        <v>106</v>
      </c>
      <c r="U601" s="14" t="n">
        <v>2017</v>
      </c>
      <c r="V601" s="12" t="s">
        <v>157</v>
      </c>
      <c r="W601" s="14" t="s">
        <v>3376</v>
      </c>
      <c r="X601" s="15" t="n">
        <f aca="false">IF(OR($S601="%",$R601=""),"",$R601*INDEX(Cambi!$J$2:$J$5,MATCH($S601,Cambi!$I$2:$I$5,0))/IF($T601="EUR",1,INDEX(Cambi!$D:$D,MATCH($T601&amp;"|"&amp;$U601,Cambi!$C:$C,0))))</f>
        <v>1090</v>
      </c>
      <c r="Y601" s="12" t="s">
        <v>239</v>
      </c>
      <c r="Z601" s="12" t="s">
        <v>109</v>
      </c>
      <c r="AA601" s="12" t="s">
        <v>3369</v>
      </c>
      <c r="AB601" s="16" t="s">
        <v>110</v>
      </c>
      <c r="AC601" s="16" t="s">
        <v>3370</v>
      </c>
      <c r="AD601" s="12" t="s">
        <v>112</v>
      </c>
      <c r="AE601" s="12" t="s">
        <v>3371</v>
      </c>
      <c r="AF601" s="12" t="s">
        <v>3377</v>
      </c>
      <c r="AG601" s="12" t="s">
        <v>498</v>
      </c>
      <c r="AH601" s="12" t="s">
        <v>116</v>
      </c>
      <c r="AI601" s="12" t="s">
        <v>117</v>
      </c>
      <c r="AJ601" s="12" t="s">
        <v>3378</v>
      </c>
      <c r="AK601" s="12" t="s">
        <v>4</v>
      </c>
    </row>
    <row r="602" customFormat="false" ht="15" hidden="false" customHeight="false" outlineLevel="0" collapsed="false">
      <c r="A602" s="11" t="n">
        <v>601</v>
      </c>
      <c r="B602" s="12" t="s">
        <v>3362</v>
      </c>
      <c r="C602" s="12" t="s">
        <v>2850</v>
      </c>
      <c r="D602" s="12" t="s">
        <v>2851</v>
      </c>
      <c r="E602" s="12" t="s">
        <v>759</v>
      </c>
      <c r="F602" s="12" t="s">
        <v>3363</v>
      </c>
      <c r="G602" s="12" t="s">
        <v>1516</v>
      </c>
      <c r="H602" s="12" t="s">
        <v>3364</v>
      </c>
      <c r="I602" s="12" t="s">
        <v>2899</v>
      </c>
      <c r="J602" s="13" t="s">
        <v>3365</v>
      </c>
      <c r="K602" s="12"/>
      <c r="L602" s="12" t="s">
        <v>3379</v>
      </c>
      <c r="M602" s="12" t="s">
        <v>3380</v>
      </c>
      <c r="N602" s="12" t="s">
        <v>352</v>
      </c>
      <c r="O602" s="12" t="s">
        <v>196</v>
      </c>
      <c r="P602" s="12" t="s">
        <v>856</v>
      </c>
      <c r="Q602" s="12" t="s">
        <v>857</v>
      </c>
      <c r="R602" s="14" t="n">
        <v>78</v>
      </c>
      <c r="S602" s="14" t="s">
        <v>197</v>
      </c>
      <c r="T602" s="14"/>
      <c r="U602" s="14" t="n">
        <v>2017</v>
      </c>
      <c r="V602" s="12" t="s">
        <v>157</v>
      </c>
      <c r="W602" s="14"/>
      <c r="X602" s="15" t="str">
        <f aca="false">IF(OR($S602="%",$R602=""),"",$R602*INDEX(Cambi!$J$2:$J$5,MATCH($S602,Cambi!$I$2:$I$5,0))/IF($T602="EUR",1,INDEX(Cambi!$D:$D,MATCH($T602&amp;"|"&amp;$U602,Cambi!$C:$C,0))))</f>
        <v/>
      </c>
      <c r="Y602" s="12" t="s">
        <v>239</v>
      </c>
      <c r="Z602" s="12" t="s">
        <v>109</v>
      </c>
      <c r="AA602" s="12" t="s">
        <v>3369</v>
      </c>
      <c r="AB602" s="16" t="s">
        <v>110</v>
      </c>
      <c r="AC602" s="16" t="s">
        <v>3370</v>
      </c>
      <c r="AD602" s="12" t="s">
        <v>112</v>
      </c>
      <c r="AE602" s="12" t="s">
        <v>3371</v>
      </c>
      <c r="AF602" s="12" t="s">
        <v>3381</v>
      </c>
      <c r="AG602" s="12" t="s">
        <v>498</v>
      </c>
      <c r="AH602" s="12" t="s">
        <v>116</v>
      </c>
      <c r="AI602" s="12" t="s">
        <v>117</v>
      </c>
      <c r="AJ602" s="12" t="s">
        <v>266</v>
      </c>
      <c r="AK602" s="12" t="s">
        <v>4</v>
      </c>
    </row>
    <row r="603" customFormat="false" ht="15" hidden="false" customHeight="false" outlineLevel="0" collapsed="false">
      <c r="A603" s="11" t="n">
        <v>602</v>
      </c>
      <c r="B603" s="12" t="s">
        <v>3362</v>
      </c>
      <c r="C603" s="12" t="s">
        <v>2850</v>
      </c>
      <c r="D603" s="12" t="s">
        <v>2851</v>
      </c>
      <c r="E603" s="12" t="s">
        <v>759</v>
      </c>
      <c r="F603" s="12" t="s">
        <v>3363</v>
      </c>
      <c r="G603" s="12" t="s">
        <v>1516</v>
      </c>
      <c r="H603" s="12" t="s">
        <v>3364</v>
      </c>
      <c r="I603" s="12" t="s">
        <v>2899</v>
      </c>
      <c r="J603" s="13" t="s">
        <v>3365</v>
      </c>
      <c r="K603" s="12"/>
      <c r="L603" s="12" t="s">
        <v>3382</v>
      </c>
      <c r="M603" s="12" t="s">
        <v>3383</v>
      </c>
      <c r="N603" s="12" t="s">
        <v>352</v>
      </c>
      <c r="O603" s="12" t="s">
        <v>196</v>
      </c>
      <c r="P603" s="12" t="s">
        <v>856</v>
      </c>
      <c r="Q603" s="12" t="s">
        <v>1267</v>
      </c>
      <c r="R603" s="14" t="n">
        <v>22</v>
      </c>
      <c r="S603" s="14" t="s">
        <v>197</v>
      </c>
      <c r="T603" s="14"/>
      <c r="U603" s="14" t="n">
        <v>2017</v>
      </c>
      <c r="V603" s="12" t="s">
        <v>157</v>
      </c>
      <c r="W603" s="14"/>
      <c r="X603" s="15" t="str">
        <f aca="false">IF(OR($S603="%",$R603=""),"",$R603*INDEX(Cambi!$J$2:$J$5,MATCH($S603,Cambi!$I$2:$I$5,0))/IF($T603="EUR",1,INDEX(Cambi!$D:$D,MATCH($T603&amp;"|"&amp;$U603,Cambi!$C:$C,0))))</f>
        <v/>
      </c>
      <c r="Y603" s="12" t="s">
        <v>239</v>
      </c>
      <c r="Z603" s="12" t="s">
        <v>109</v>
      </c>
      <c r="AA603" s="12" t="s">
        <v>3369</v>
      </c>
      <c r="AB603" s="16" t="s">
        <v>110</v>
      </c>
      <c r="AC603" s="16" t="s">
        <v>3370</v>
      </c>
      <c r="AD603" s="12" t="s">
        <v>112</v>
      </c>
      <c r="AE603" s="12" t="s">
        <v>3371</v>
      </c>
      <c r="AF603" s="12" t="s">
        <v>3384</v>
      </c>
      <c r="AG603" s="12" t="s">
        <v>498</v>
      </c>
      <c r="AH603" s="12" t="s">
        <v>116</v>
      </c>
      <c r="AI603" s="12" t="s">
        <v>117</v>
      </c>
      <c r="AJ603" s="12" t="s">
        <v>3385</v>
      </c>
      <c r="AK603" s="12" t="s">
        <v>4</v>
      </c>
    </row>
    <row r="604" customFormat="false" ht="15" hidden="false" customHeight="false" outlineLevel="0" collapsed="false">
      <c r="A604" s="11" t="n">
        <v>603</v>
      </c>
      <c r="B604" s="12" t="s">
        <v>3386</v>
      </c>
      <c r="C604" s="12" t="s">
        <v>2850</v>
      </c>
      <c r="D604" s="12" t="s">
        <v>2851</v>
      </c>
      <c r="E604" s="12" t="s">
        <v>759</v>
      </c>
      <c r="F604" s="12" t="s">
        <v>3363</v>
      </c>
      <c r="G604" s="12" t="s">
        <v>1516</v>
      </c>
      <c r="H604" s="12" t="s">
        <v>3387</v>
      </c>
      <c r="I604" s="12" t="s">
        <v>1667</v>
      </c>
      <c r="J604" s="13" t="s">
        <v>3388</v>
      </c>
      <c r="K604" s="12"/>
      <c r="L604" s="12" t="s">
        <v>3389</v>
      </c>
      <c r="M604" s="12" t="s">
        <v>3390</v>
      </c>
      <c r="N604" s="12" t="s">
        <v>352</v>
      </c>
      <c r="O604" s="12" t="s">
        <v>213</v>
      </c>
      <c r="P604" s="12" t="s">
        <v>103</v>
      </c>
      <c r="Q604" s="12" t="s">
        <v>104</v>
      </c>
      <c r="R604" s="14" t="n">
        <v>9</v>
      </c>
      <c r="S604" s="14" t="s">
        <v>197</v>
      </c>
      <c r="T604" s="14"/>
      <c r="U604" s="14" t="n">
        <v>2018</v>
      </c>
      <c r="V604" s="12" t="s">
        <v>157</v>
      </c>
      <c r="W604" s="14" t="s">
        <v>3391</v>
      </c>
      <c r="X604" s="15" t="str">
        <f aca="false">IF(OR($S604="%",$R604=""),"",$R604*INDEX(Cambi!$J$2:$J$5,MATCH($S604,Cambi!$I$2:$I$5,0))/IF($T604="EUR",1,INDEX(Cambi!$D:$D,MATCH($T604&amp;"|"&amp;$U604,Cambi!$C:$C,0))))</f>
        <v/>
      </c>
      <c r="Y604" s="12" t="s">
        <v>239</v>
      </c>
      <c r="Z604" s="12" t="s">
        <v>109</v>
      </c>
      <c r="AA604" s="12" t="s">
        <v>3369</v>
      </c>
      <c r="AB604" s="16" t="s">
        <v>110</v>
      </c>
      <c r="AC604" s="16" t="s">
        <v>3392</v>
      </c>
      <c r="AD604" s="12" t="s">
        <v>112</v>
      </c>
      <c r="AE604" s="12" t="s">
        <v>3393</v>
      </c>
      <c r="AF604" s="12" t="s">
        <v>3394</v>
      </c>
      <c r="AG604" s="12" t="s">
        <v>284</v>
      </c>
      <c r="AH604" s="12" t="s">
        <v>116</v>
      </c>
      <c r="AI604" s="12" t="s">
        <v>117</v>
      </c>
      <c r="AJ604" s="12" t="s">
        <v>266</v>
      </c>
      <c r="AK604" s="12" t="s">
        <v>4</v>
      </c>
    </row>
    <row r="605" customFormat="false" ht="15" hidden="false" customHeight="false" outlineLevel="0" collapsed="false">
      <c r="A605" s="11" t="n">
        <v>604</v>
      </c>
      <c r="B605" s="12" t="s">
        <v>3386</v>
      </c>
      <c r="C605" s="12" t="s">
        <v>2850</v>
      </c>
      <c r="D605" s="12" t="s">
        <v>2851</v>
      </c>
      <c r="E605" s="12" t="s">
        <v>759</v>
      </c>
      <c r="F605" s="12" t="s">
        <v>3363</v>
      </c>
      <c r="G605" s="12" t="s">
        <v>1516</v>
      </c>
      <c r="H605" s="12" t="s">
        <v>3387</v>
      </c>
      <c r="I605" s="12" t="s">
        <v>1667</v>
      </c>
      <c r="J605" s="13" t="s">
        <v>3388</v>
      </c>
      <c r="K605" s="12"/>
      <c r="L605" s="12" t="s">
        <v>3395</v>
      </c>
      <c r="M605" s="12" t="s">
        <v>3396</v>
      </c>
      <c r="N605" s="12" t="s">
        <v>352</v>
      </c>
      <c r="O605" s="12" t="s">
        <v>102</v>
      </c>
      <c r="P605" s="12" t="s">
        <v>103</v>
      </c>
      <c r="Q605" s="12" t="s">
        <v>104</v>
      </c>
      <c r="R605" s="14" t="n">
        <v>1.19</v>
      </c>
      <c r="S605" s="14" t="s">
        <v>129</v>
      </c>
      <c r="T605" s="14" t="s">
        <v>106</v>
      </c>
      <c r="U605" s="14" t="n">
        <v>2018</v>
      </c>
      <c r="V605" s="12" t="s">
        <v>157</v>
      </c>
      <c r="W605" s="14" t="s">
        <v>3397</v>
      </c>
      <c r="X605" s="15" t="n">
        <f aca="false">IF(OR($S605="%",$R605=""),"",$R605*INDEX(Cambi!$J$2:$J$5,MATCH($S605,Cambi!$I$2:$I$5,0))/IF($T605="EUR",1,INDEX(Cambi!$D:$D,MATCH($T605&amp;"|"&amp;$U605,Cambi!$C:$C,0))))</f>
        <v>1190</v>
      </c>
      <c r="Y605" s="12" t="s">
        <v>239</v>
      </c>
      <c r="Z605" s="12" t="s">
        <v>109</v>
      </c>
      <c r="AA605" s="12" t="s">
        <v>3369</v>
      </c>
      <c r="AB605" s="16" t="s">
        <v>110</v>
      </c>
      <c r="AC605" s="16" t="s">
        <v>3392</v>
      </c>
      <c r="AD605" s="12" t="s">
        <v>112</v>
      </c>
      <c r="AE605" s="12" t="s">
        <v>3393</v>
      </c>
      <c r="AF605" s="12" t="s">
        <v>3398</v>
      </c>
      <c r="AG605" s="12" t="s">
        <v>284</v>
      </c>
      <c r="AH605" s="12" t="s">
        <v>116</v>
      </c>
      <c r="AI605" s="12" t="s">
        <v>117</v>
      </c>
      <c r="AJ605" s="12" t="s">
        <v>3399</v>
      </c>
      <c r="AK605" s="12" t="s">
        <v>4</v>
      </c>
    </row>
    <row r="606" customFormat="false" ht="15" hidden="false" customHeight="false" outlineLevel="0" collapsed="false">
      <c r="A606" s="11" t="n">
        <v>605</v>
      </c>
      <c r="B606" s="12" t="s">
        <v>3386</v>
      </c>
      <c r="C606" s="12" t="s">
        <v>2850</v>
      </c>
      <c r="D606" s="12" t="s">
        <v>2851</v>
      </c>
      <c r="E606" s="12" t="s">
        <v>759</v>
      </c>
      <c r="F606" s="12" t="s">
        <v>3363</v>
      </c>
      <c r="G606" s="12" t="s">
        <v>1516</v>
      </c>
      <c r="H606" s="12" t="s">
        <v>3387</v>
      </c>
      <c r="I606" s="12" t="s">
        <v>1667</v>
      </c>
      <c r="J606" s="13" t="s">
        <v>3388</v>
      </c>
      <c r="K606" s="12"/>
      <c r="L606" s="12" t="s">
        <v>3400</v>
      </c>
      <c r="M606" s="12" t="s">
        <v>3401</v>
      </c>
      <c r="N606" s="12" t="s">
        <v>352</v>
      </c>
      <c r="O606" s="12" t="s">
        <v>196</v>
      </c>
      <c r="P606" s="12" t="s">
        <v>856</v>
      </c>
      <c r="Q606" s="12" t="s">
        <v>857</v>
      </c>
      <c r="R606" s="14" t="n">
        <v>75</v>
      </c>
      <c r="S606" s="14" t="s">
        <v>197</v>
      </c>
      <c r="T606" s="14"/>
      <c r="U606" s="14" t="n">
        <v>2018</v>
      </c>
      <c r="V606" s="12" t="s">
        <v>157</v>
      </c>
      <c r="W606" s="14"/>
      <c r="X606" s="15" t="str">
        <f aca="false">IF(OR($S606="%",$R606=""),"",$R606*INDEX(Cambi!$J$2:$J$5,MATCH($S606,Cambi!$I$2:$I$5,0))/IF($T606="EUR",1,INDEX(Cambi!$D:$D,MATCH($T606&amp;"|"&amp;$U606,Cambi!$C:$C,0))))</f>
        <v/>
      </c>
      <c r="Y606" s="12" t="s">
        <v>239</v>
      </c>
      <c r="Z606" s="12" t="s">
        <v>109</v>
      </c>
      <c r="AA606" s="12" t="s">
        <v>3369</v>
      </c>
      <c r="AB606" s="16" t="s">
        <v>110</v>
      </c>
      <c r="AC606" s="16" t="s">
        <v>3392</v>
      </c>
      <c r="AD606" s="12" t="s">
        <v>112</v>
      </c>
      <c r="AE606" s="12" t="s">
        <v>3393</v>
      </c>
      <c r="AF606" s="12" t="s">
        <v>3402</v>
      </c>
      <c r="AG606" s="12" t="s">
        <v>284</v>
      </c>
      <c r="AH606" s="12" t="s">
        <v>116</v>
      </c>
      <c r="AI606" s="12" t="s">
        <v>117</v>
      </c>
      <c r="AJ606" s="12" t="s">
        <v>3403</v>
      </c>
      <c r="AK606" s="12" t="s">
        <v>4</v>
      </c>
    </row>
    <row r="607" customFormat="false" ht="15" hidden="false" customHeight="false" outlineLevel="0" collapsed="false">
      <c r="A607" s="11" t="n">
        <v>606</v>
      </c>
      <c r="B607" s="12" t="s">
        <v>3404</v>
      </c>
      <c r="C607" s="12" t="s">
        <v>2850</v>
      </c>
      <c r="D607" s="12" t="s">
        <v>2851</v>
      </c>
      <c r="E607" s="12" t="s">
        <v>759</v>
      </c>
      <c r="F607" s="12" t="s">
        <v>3363</v>
      </c>
      <c r="G607" s="12" t="s">
        <v>1516</v>
      </c>
      <c r="H607" s="12" t="s">
        <v>3405</v>
      </c>
      <c r="I607" s="12" t="s">
        <v>3406</v>
      </c>
      <c r="J607" s="13" t="s">
        <v>3407</v>
      </c>
      <c r="K607" s="12" t="s">
        <v>3408</v>
      </c>
      <c r="L607" s="12" t="s">
        <v>3409</v>
      </c>
      <c r="M607" s="12" t="s">
        <v>3410</v>
      </c>
      <c r="N607" s="12" t="s">
        <v>352</v>
      </c>
      <c r="O607" s="12" t="s">
        <v>213</v>
      </c>
      <c r="P607" s="12" t="s">
        <v>103</v>
      </c>
      <c r="Q607" s="12" t="s">
        <v>104</v>
      </c>
      <c r="R607" s="14" t="n">
        <v>11</v>
      </c>
      <c r="S607" s="14" t="s">
        <v>197</v>
      </c>
      <c r="T607" s="14"/>
      <c r="U607" s="14" t="n">
        <v>2019</v>
      </c>
      <c r="V607" s="12" t="s">
        <v>157</v>
      </c>
      <c r="W607" s="14" t="s">
        <v>3411</v>
      </c>
      <c r="X607" s="15" t="str">
        <f aca="false">IF(OR($S607="%",$R607=""),"",$R607*INDEX(Cambi!$J$2:$J$5,MATCH($S607,Cambi!$I$2:$I$5,0))/IF($T607="EUR",1,INDEX(Cambi!$D:$D,MATCH($T607&amp;"|"&amp;$U607,Cambi!$C:$C,0))))</f>
        <v/>
      </c>
      <c r="Y607" s="12" t="s">
        <v>130</v>
      </c>
      <c r="Z607" s="12" t="s">
        <v>109</v>
      </c>
      <c r="AA607" s="12" t="s">
        <v>3369</v>
      </c>
      <c r="AB607" s="16" t="s">
        <v>110</v>
      </c>
      <c r="AC607" s="16" t="s">
        <v>3412</v>
      </c>
      <c r="AD607" s="12" t="s">
        <v>112</v>
      </c>
      <c r="AE607" s="12" t="s">
        <v>3263</v>
      </c>
      <c r="AF607" s="12" t="s">
        <v>3413</v>
      </c>
      <c r="AG607" s="12" t="s">
        <v>284</v>
      </c>
      <c r="AH607" s="12" t="s">
        <v>499</v>
      </c>
      <c r="AI607" s="12" t="s">
        <v>285</v>
      </c>
      <c r="AJ607" s="12" t="s">
        <v>266</v>
      </c>
      <c r="AK607" s="12" t="s">
        <v>4</v>
      </c>
    </row>
    <row r="608" customFormat="false" ht="15" hidden="false" customHeight="false" outlineLevel="0" collapsed="false">
      <c r="A608" s="11" t="n">
        <v>607</v>
      </c>
      <c r="B608" s="12" t="s">
        <v>3404</v>
      </c>
      <c r="C608" s="12" t="s">
        <v>2850</v>
      </c>
      <c r="D608" s="12" t="s">
        <v>2851</v>
      </c>
      <c r="E608" s="12" t="s">
        <v>759</v>
      </c>
      <c r="F608" s="12" t="s">
        <v>3363</v>
      </c>
      <c r="G608" s="12" t="s">
        <v>1516</v>
      </c>
      <c r="H608" s="12" t="s">
        <v>3405</v>
      </c>
      <c r="I608" s="12" t="s">
        <v>3406</v>
      </c>
      <c r="J608" s="13" t="s">
        <v>3407</v>
      </c>
      <c r="K608" s="12" t="s">
        <v>3408</v>
      </c>
      <c r="L608" s="12" t="s">
        <v>3414</v>
      </c>
      <c r="M608" s="12" t="s">
        <v>3415</v>
      </c>
      <c r="N608" s="12" t="s">
        <v>352</v>
      </c>
      <c r="O608" s="12" t="s">
        <v>102</v>
      </c>
      <c r="P608" s="12" t="s">
        <v>103</v>
      </c>
      <c r="Q608" s="12" t="s">
        <v>104</v>
      </c>
      <c r="R608" s="14" t="n">
        <v>1.3</v>
      </c>
      <c r="S608" s="14" t="s">
        <v>129</v>
      </c>
      <c r="T608" s="14" t="s">
        <v>106</v>
      </c>
      <c r="U608" s="14" t="n">
        <v>2019</v>
      </c>
      <c r="V608" s="12" t="s">
        <v>157</v>
      </c>
      <c r="W608" s="14" t="s">
        <v>3416</v>
      </c>
      <c r="X608" s="15" t="n">
        <f aca="false">IF(OR($S608="%",$R608=""),"",$R608*INDEX(Cambi!$J$2:$J$5,MATCH($S608,Cambi!$I$2:$I$5,0))/IF($T608="EUR",1,INDEX(Cambi!$D:$D,MATCH($T608&amp;"|"&amp;$U608,Cambi!$C:$C,0))))</f>
        <v>1300</v>
      </c>
      <c r="Y608" s="12" t="s">
        <v>130</v>
      </c>
      <c r="Z608" s="12" t="s">
        <v>109</v>
      </c>
      <c r="AA608" s="12" t="s">
        <v>3369</v>
      </c>
      <c r="AB608" s="16" t="s">
        <v>110</v>
      </c>
      <c r="AC608" s="16" t="s">
        <v>3412</v>
      </c>
      <c r="AD608" s="12" t="s">
        <v>112</v>
      </c>
      <c r="AE608" s="12" t="s">
        <v>3263</v>
      </c>
      <c r="AF608" s="12" t="s">
        <v>3413</v>
      </c>
      <c r="AG608" s="12" t="s">
        <v>284</v>
      </c>
      <c r="AH608" s="12" t="s">
        <v>499</v>
      </c>
      <c r="AI608" s="12" t="s">
        <v>285</v>
      </c>
      <c r="AJ608" s="12" t="s">
        <v>3417</v>
      </c>
      <c r="AK608" s="12" t="s">
        <v>4</v>
      </c>
    </row>
    <row r="609" customFormat="false" ht="15" hidden="false" customHeight="false" outlineLevel="0" collapsed="false">
      <c r="A609" s="11" t="n">
        <v>608</v>
      </c>
      <c r="B609" s="12" t="s">
        <v>3418</v>
      </c>
      <c r="C609" s="12" t="s">
        <v>2850</v>
      </c>
      <c r="D609" s="12" t="s">
        <v>2851</v>
      </c>
      <c r="E609" s="12" t="s">
        <v>759</v>
      </c>
      <c r="F609" s="12" t="s">
        <v>3363</v>
      </c>
      <c r="G609" s="12" t="s">
        <v>1516</v>
      </c>
      <c r="H609" s="12" t="s">
        <v>3419</v>
      </c>
      <c r="I609" s="12" t="s">
        <v>3420</v>
      </c>
      <c r="J609" s="13" t="s">
        <v>3421</v>
      </c>
      <c r="K609" s="12" t="s">
        <v>3422</v>
      </c>
      <c r="L609" s="12" t="s">
        <v>3423</v>
      </c>
      <c r="M609" s="12" t="s">
        <v>3424</v>
      </c>
      <c r="N609" s="12" t="s">
        <v>352</v>
      </c>
      <c r="O609" s="12" t="s">
        <v>213</v>
      </c>
      <c r="P609" s="12" t="s">
        <v>103</v>
      </c>
      <c r="Q609" s="12" t="s">
        <v>104</v>
      </c>
      <c r="R609" s="14" t="n">
        <v>4</v>
      </c>
      <c r="S609" s="14" t="s">
        <v>197</v>
      </c>
      <c r="T609" s="14"/>
      <c r="U609" s="14" t="n">
        <v>2020</v>
      </c>
      <c r="V609" s="12" t="s">
        <v>157</v>
      </c>
      <c r="W609" s="14" t="s">
        <v>3425</v>
      </c>
      <c r="X609" s="15" t="str">
        <f aca="false">IF(OR($S609="%",$R609=""),"",$R609*INDEX(Cambi!$J$2:$J$5,MATCH($S609,Cambi!$I$2:$I$5,0))/IF($T609="EUR",1,INDEX(Cambi!$D:$D,MATCH($T609&amp;"|"&amp;$U609,Cambi!$C:$C,0))))</f>
        <v/>
      </c>
      <c r="Y609" s="12" t="s">
        <v>130</v>
      </c>
      <c r="Z609" s="12" t="s">
        <v>109</v>
      </c>
      <c r="AA609" s="12" t="s">
        <v>3369</v>
      </c>
      <c r="AB609" s="16" t="s">
        <v>110</v>
      </c>
      <c r="AC609" s="16" t="s">
        <v>3426</v>
      </c>
      <c r="AD609" s="12" t="s">
        <v>112</v>
      </c>
      <c r="AE609" s="12" t="s">
        <v>3393</v>
      </c>
      <c r="AF609" s="12" t="s">
        <v>3427</v>
      </c>
      <c r="AG609" s="12" t="s">
        <v>284</v>
      </c>
      <c r="AH609" s="12" t="s">
        <v>499</v>
      </c>
      <c r="AI609" s="12" t="s">
        <v>285</v>
      </c>
      <c r="AJ609" s="12" t="s">
        <v>266</v>
      </c>
      <c r="AK609" s="12" t="s">
        <v>4</v>
      </c>
    </row>
    <row r="610" customFormat="false" ht="15" hidden="false" customHeight="false" outlineLevel="0" collapsed="false">
      <c r="A610" s="11" t="n">
        <v>609</v>
      </c>
      <c r="B610" s="12" t="s">
        <v>3418</v>
      </c>
      <c r="C610" s="12" t="s">
        <v>2850</v>
      </c>
      <c r="D610" s="12" t="s">
        <v>2851</v>
      </c>
      <c r="E610" s="12" t="s">
        <v>759</v>
      </c>
      <c r="F610" s="12" t="s">
        <v>3363</v>
      </c>
      <c r="G610" s="12" t="s">
        <v>1516</v>
      </c>
      <c r="H610" s="12" t="s">
        <v>3419</v>
      </c>
      <c r="I610" s="12" t="s">
        <v>3420</v>
      </c>
      <c r="J610" s="13" t="s">
        <v>3421</v>
      </c>
      <c r="K610" s="12" t="s">
        <v>3422</v>
      </c>
      <c r="L610" s="12" t="s">
        <v>3428</v>
      </c>
      <c r="M610" s="12" t="s">
        <v>3429</v>
      </c>
      <c r="N610" s="12" t="s">
        <v>352</v>
      </c>
      <c r="O610" s="12" t="s">
        <v>196</v>
      </c>
      <c r="P610" s="12" t="s">
        <v>155</v>
      </c>
      <c r="Q610" s="12" t="s">
        <v>3430</v>
      </c>
      <c r="R610" s="14" t="n">
        <v>49</v>
      </c>
      <c r="S610" s="14" t="s">
        <v>197</v>
      </c>
      <c r="T610" s="14"/>
      <c r="U610" s="14" t="n">
        <v>2020</v>
      </c>
      <c r="V610" s="12" t="s">
        <v>157</v>
      </c>
      <c r="W610" s="14"/>
      <c r="X610" s="15" t="str">
        <f aca="false">IF(OR($S610="%",$R610=""),"",$R610*INDEX(Cambi!$J$2:$J$5,MATCH($S610,Cambi!$I$2:$I$5,0))/IF($T610="EUR",1,INDEX(Cambi!$D:$D,MATCH($T610&amp;"|"&amp;$U610,Cambi!$C:$C,0))))</f>
        <v/>
      </c>
      <c r="Y610" s="12" t="s">
        <v>130</v>
      </c>
      <c r="Z610" s="12" t="s">
        <v>109</v>
      </c>
      <c r="AA610" s="12" t="s">
        <v>3369</v>
      </c>
      <c r="AB610" s="16" t="s">
        <v>110</v>
      </c>
      <c r="AC610" s="16" t="s">
        <v>3426</v>
      </c>
      <c r="AD610" s="12" t="s">
        <v>112</v>
      </c>
      <c r="AE610" s="12" t="s">
        <v>3393</v>
      </c>
      <c r="AF610" s="12" t="s">
        <v>3431</v>
      </c>
      <c r="AG610" s="12" t="s">
        <v>284</v>
      </c>
      <c r="AH610" s="12" t="s">
        <v>499</v>
      </c>
      <c r="AI610" s="12" t="s">
        <v>285</v>
      </c>
      <c r="AJ610" s="12" t="s">
        <v>3432</v>
      </c>
      <c r="AK610" s="12" t="s">
        <v>4</v>
      </c>
    </row>
    <row r="611" customFormat="false" ht="15" hidden="false" customHeight="false" outlineLevel="0" collapsed="false">
      <c r="A611" s="11" t="n">
        <v>610</v>
      </c>
      <c r="B611" s="12" t="s">
        <v>3418</v>
      </c>
      <c r="C611" s="12" t="s">
        <v>2850</v>
      </c>
      <c r="D611" s="12" t="s">
        <v>2851</v>
      </c>
      <c r="E611" s="12" t="s">
        <v>759</v>
      </c>
      <c r="F611" s="12" t="s">
        <v>3363</v>
      </c>
      <c r="G611" s="12" t="s">
        <v>1516</v>
      </c>
      <c r="H611" s="12" t="s">
        <v>3419</v>
      </c>
      <c r="I611" s="12" t="s">
        <v>3420</v>
      </c>
      <c r="J611" s="13" t="s">
        <v>3421</v>
      </c>
      <c r="K611" s="12" t="s">
        <v>3422</v>
      </c>
      <c r="L611" s="12" t="s">
        <v>3433</v>
      </c>
      <c r="M611" s="12" t="s">
        <v>3434</v>
      </c>
      <c r="N611" s="12" t="s">
        <v>352</v>
      </c>
      <c r="O611" s="12" t="s">
        <v>196</v>
      </c>
      <c r="P611" s="12" t="s">
        <v>155</v>
      </c>
      <c r="Q611" s="12" t="s">
        <v>3435</v>
      </c>
      <c r="R611" s="14" t="n">
        <v>51</v>
      </c>
      <c r="S611" s="14" t="s">
        <v>197</v>
      </c>
      <c r="T611" s="14"/>
      <c r="U611" s="14" t="n">
        <v>2020</v>
      </c>
      <c r="V611" s="12" t="s">
        <v>157</v>
      </c>
      <c r="W611" s="14"/>
      <c r="X611" s="15" t="str">
        <f aca="false">IF(OR($S611="%",$R611=""),"",$R611*INDEX(Cambi!$J$2:$J$5,MATCH($S611,Cambi!$I$2:$I$5,0))/IF($T611="EUR",1,INDEX(Cambi!$D:$D,MATCH($T611&amp;"|"&amp;$U611,Cambi!$C:$C,0))))</f>
        <v/>
      </c>
      <c r="Y611" s="12" t="s">
        <v>130</v>
      </c>
      <c r="Z611" s="12" t="s">
        <v>109</v>
      </c>
      <c r="AA611" s="12" t="s">
        <v>3369</v>
      </c>
      <c r="AB611" s="16" t="s">
        <v>110</v>
      </c>
      <c r="AC611" s="16" t="s">
        <v>3426</v>
      </c>
      <c r="AD611" s="12" t="s">
        <v>112</v>
      </c>
      <c r="AE611" s="12" t="s">
        <v>3393</v>
      </c>
      <c r="AF611" s="12" t="s">
        <v>3436</v>
      </c>
      <c r="AG611" s="12" t="s">
        <v>284</v>
      </c>
      <c r="AH611" s="12" t="s">
        <v>499</v>
      </c>
      <c r="AI611" s="12" t="s">
        <v>285</v>
      </c>
      <c r="AJ611" s="12" t="s">
        <v>3437</v>
      </c>
      <c r="AK611" s="12" t="s">
        <v>4</v>
      </c>
    </row>
    <row r="612" customFormat="false" ht="15" hidden="false" customHeight="false" outlineLevel="0" collapsed="false">
      <c r="A612" s="11" t="n">
        <v>611</v>
      </c>
      <c r="B612" s="12" t="s">
        <v>3418</v>
      </c>
      <c r="C612" s="12" t="s">
        <v>2850</v>
      </c>
      <c r="D612" s="12" t="s">
        <v>2851</v>
      </c>
      <c r="E612" s="12" t="s">
        <v>759</v>
      </c>
      <c r="F612" s="12" t="s">
        <v>3363</v>
      </c>
      <c r="G612" s="12" t="s">
        <v>1516</v>
      </c>
      <c r="H612" s="12" t="s">
        <v>3419</v>
      </c>
      <c r="I612" s="12" t="s">
        <v>3420</v>
      </c>
      <c r="J612" s="13" t="s">
        <v>3421</v>
      </c>
      <c r="K612" s="12" t="s">
        <v>3422</v>
      </c>
      <c r="L612" s="12" t="s">
        <v>3438</v>
      </c>
      <c r="M612" s="12" t="s">
        <v>3439</v>
      </c>
      <c r="N612" s="12" t="s">
        <v>352</v>
      </c>
      <c r="O612" s="12" t="s">
        <v>196</v>
      </c>
      <c r="P612" s="12" t="s">
        <v>155</v>
      </c>
      <c r="Q612" s="12" t="s">
        <v>3440</v>
      </c>
      <c r="R612" s="14" t="n">
        <v>48</v>
      </c>
      <c r="S612" s="14" t="s">
        <v>197</v>
      </c>
      <c r="T612" s="14"/>
      <c r="U612" s="14" t="n">
        <v>2020</v>
      </c>
      <c r="V612" s="12" t="s">
        <v>157</v>
      </c>
      <c r="W612" s="14"/>
      <c r="X612" s="15" t="str">
        <f aca="false">IF(OR($S612="%",$R612=""),"",$R612*INDEX(Cambi!$J$2:$J$5,MATCH($S612,Cambi!$I$2:$I$5,0))/IF($T612="EUR",1,INDEX(Cambi!$D:$D,MATCH($T612&amp;"|"&amp;$U612,Cambi!$C:$C,0))))</f>
        <v/>
      </c>
      <c r="Y612" s="12" t="s">
        <v>130</v>
      </c>
      <c r="Z612" s="12" t="s">
        <v>109</v>
      </c>
      <c r="AA612" s="12" t="s">
        <v>3369</v>
      </c>
      <c r="AB612" s="16" t="s">
        <v>110</v>
      </c>
      <c r="AC612" s="16" t="s">
        <v>3426</v>
      </c>
      <c r="AD612" s="12" t="s">
        <v>112</v>
      </c>
      <c r="AE612" s="12" t="s">
        <v>3393</v>
      </c>
      <c r="AF612" s="12" t="s">
        <v>3441</v>
      </c>
      <c r="AG612" s="12" t="s">
        <v>284</v>
      </c>
      <c r="AH612" s="12" t="s">
        <v>499</v>
      </c>
      <c r="AI612" s="12" t="s">
        <v>285</v>
      </c>
      <c r="AJ612" s="12" t="s">
        <v>266</v>
      </c>
      <c r="AK612" s="12" t="s">
        <v>4</v>
      </c>
    </row>
    <row r="613" customFormat="false" ht="15" hidden="false" customHeight="false" outlineLevel="0" collapsed="false">
      <c r="A613" s="11" t="n">
        <v>612</v>
      </c>
      <c r="B613" s="12" t="s">
        <v>3418</v>
      </c>
      <c r="C613" s="12" t="s">
        <v>2850</v>
      </c>
      <c r="D613" s="12" t="s">
        <v>2851</v>
      </c>
      <c r="E613" s="12" t="s">
        <v>759</v>
      </c>
      <c r="F613" s="12" t="s">
        <v>3363</v>
      </c>
      <c r="G613" s="12" t="s">
        <v>1516</v>
      </c>
      <c r="H613" s="12" t="s">
        <v>3419</v>
      </c>
      <c r="I613" s="12" t="s">
        <v>3420</v>
      </c>
      <c r="J613" s="13" t="s">
        <v>3421</v>
      </c>
      <c r="K613" s="12" t="s">
        <v>3422</v>
      </c>
      <c r="L613" s="12" t="s">
        <v>3442</v>
      </c>
      <c r="M613" s="12" t="s">
        <v>3443</v>
      </c>
      <c r="N613" s="12" t="s">
        <v>352</v>
      </c>
      <c r="O613" s="12" t="s">
        <v>196</v>
      </c>
      <c r="P613" s="12" t="s">
        <v>155</v>
      </c>
      <c r="Q613" s="12" t="s">
        <v>3444</v>
      </c>
      <c r="R613" s="14" t="n">
        <v>52</v>
      </c>
      <c r="S613" s="14" t="s">
        <v>197</v>
      </c>
      <c r="T613" s="14"/>
      <c r="U613" s="14" t="n">
        <v>2020</v>
      </c>
      <c r="V613" s="12" t="s">
        <v>157</v>
      </c>
      <c r="W613" s="14"/>
      <c r="X613" s="15" t="str">
        <f aca="false">IF(OR($S613="%",$R613=""),"",$R613*INDEX(Cambi!$J$2:$J$5,MATCH($S613,Cambi!$I$2:$I$5,0))/IF($T613="EUR",1,INDEX(Cambi!$D:$D,MATCH($T613&amp;"|"&amp;$U613,Cambi!$C:$C,0))))</f>
        <v/>
      </c>
      <c r="Y613" s="12" t="s">
        <v>130</v>
      </c>
      <c r="Z613" s="12" t="s">
        <v>109</v>
      </c>
      <c r="AA613" s="12" t="s">
        <v>3369</v>
      </c>
      <c r="AB613" s="16" t="s">
        <v>110</v>
      </c>
      <c r="AC613" s="16" t="s">
        <v>3426</v>
      </c>
      <c r="AD613" s="12" t="s">
        <v>112</v>
      </c>
      <c r="AE613" s="12" t="s">
        <v>3393</v>
      </c>
      <c r="AF613" s="12" t="s">
        <v>3441</v>
      </c>
      <c r="AG613" s="12" t="s">
        <v>284</v>
      </c>
      <c r="AH613" s="12" t="s">
        <v>499</v>
      </c>
      <c r="AI613" s="12" t="s">
        <v>285</v>
      </c>
      <c r="AJ613" s="12" t="s">
        <v>266</v>
      </c>
      <c r="AK613" s="12" t="s">
        <v>4</v>
      </c>
    </row>
    <row r="614" customFormat="false" ht="15" hidden="false" customHeight="false" outlineLevel="0" collapsed="false">
      <c r="A614" s="11" t="n">
        <v>613</v>
      </c>
      <c r="B614" s="12" t="s">
        <v>3418</v>
      </c>
      <c r="C614" s="12" t="s">
        <v>2850</v>
      </c>
      <c r="D614" s="12" t="s">
        <v>2851</v>
      </c>
      <c r="E614" s="12" t="s">
        <v>759</v>
      </c>
      <c r="F614" s="12" t="s">
        <v>3363</v>
      </c>
      <c r="G614" s="12" t="s">
        <v>1516</v>
      </c>
      <c r="H614" s="12" t="s">
        <v>3419</v>
      </c>
      <c r="I614" s="12" t="s">
        <v>3420</v>
      </c>
      <c r="J614" s="13" t="s">
        <v>3421</v>
      </c>
      <c r="K614" s="12" t="s">
        <v>3422</v>
      </c>
      <c r="L614" s="12" t="s">
        <v>3445</v>
      </c>
      <c r="M614" s="12" t="s">
        <v>3446</v>
      </c>
      <c r="N614" s="12" t="s">
        <v>352</v>
      </c>
      <c r="O614" s="12" t="s">
        <v>102</v>
      </c>
      <c r="P614" s="12" t="s">
        <v>103</v>
      </c>
      <c r="Q614" s="12" t="s">
        <v>104</v>
      </c>
      <c r="R614" s="14" t="n">
        <v>1.37</v>
      </c>
      <c r="S614" s="14" t="s">
        <v>129</v>
      </c>
      <c r="T614" s="14" t="s">
        <v>106</v>
      </c>
      <c r="U614" s="14" t="n">
        <v>2020</v>
      </c>
      <c r="V614" s="12" t="s">
        <v>157</v>
      </c>
      <c r="W614" s="14" t="s">
        <v>3447</v>
      </c>
      <c r="X614" s="15" t="n">
        <f aca="false">IF(OR($S614="%",$R614=""),"",$R614*INDEX(Cambi!$J$2:$J$5,MATCH($S614,Cambi!$I$2:$I$5,0))/IF($T614="EUR",1,INDEX(Cambi!$D:$D,MATCH($T614&amp;"|"&amp;$U614,Cambi!$C:$C,0))))</f>
        <v>1370</v>
      </c>
      <c r="Y614" s="12" t="s">
        <v>130</v>
      </c>
      <c r="Z614" s="12" t="s">
        <v>109</v>
      </c>
      <c r="AA614" s="12" t="s">
        <v>3369</v>
      </c>
      <c r="AB614" s="16" t="s">
        <v>110</v>
      </c>
      <c r="AC614" s="16" t="s">
        <v>3426</v>
      </c>
      <c r="AD614" s="12" t="s">
        <v>112</v>
      </c>
      <c r="AE614" s="12" t="s">
        <v>3393</v>
      </c>
      <c r="AF614" s="12" t="s">
        <v>3448</v>
      </c>
      <c r="AG614" s="12" t="s">
        <v>284</v>
      </c>
      <c r="AH614" s="12" t="s">
        <v>499</v>
      </c>
      <c r="AI614" s="12" t="s">
        <v>285</v>
      </c>
      <c r="AJ614" s="12" t="s">
        <v>3449</v>
      </c>
      <c r="AK614" s="12" t="s">
        <v>4</v>
      </c>
    </row>
    <row r="615" customFormat="false" ht="15" hidden="false" customHeight="false" outlineLevel="0" collapsed="false">
      <c r="A615" s="11" t="n">
        <v>614</v>
      </c>
      <c r="B615" s="12" t="s">
        <v>3450</v>
      </c>
      <c r="C615" s="12" t="s">
        <v>2850</v>
      </c>
      <c r="D615" s="12" t="s">
        <v>2851</v>
      </c>
      <c r="E615" s="12" t="s">
        <v>759</v>
      </c>
      <c r="F615" s="12" t="s">
        <v>3363</v>
      </c>
      <c r="G615" s="12" t="s">
        <v>1516</v>
      </c>
      <c r="H615" s="12" t="s">
        <v>3451</v>
      </c>
      <c r="I615" s="12" t="s">
        <v>3452</v>
      </c>
      <c r="J615" s="13" t="s">
        <v>3453</v>
      </c>
      <c r="K615" s="12" t="s">
        <v>3454</v>
      </c>
      <c r="L615" s="12" t="s">
        <v>3455</v>
      </c>
      <c r="M615" s="12" t="s">
        <v>3456</v>
      </c>
      <c r="N615" s="12" t="s">
        <v>352</v>
      </c>
      <c r="O615" s="12" t="s">
        <v>213</v>
      </c>
      <c r="P615" s="12" t="s">
        <v>103</v>
      </c>
      <c r="Q615" s="12" t="s">
        <v>104</v>
      </c>
      <c r="R615" s="14" t="n">
        <v>13</v>
      </c>
      <c r="S615" s="14" t="s">
        <v>197</v>
      </c>
      <c r="T615" s="14"/>
      <c r="U615" s="14" t="n">
        <v>2021</v>
      </c>
      <c r="V615" s="12" t="s">
        <v>157</v>
      </c>
      <c r="W615" s="14" t="s">
        <v>3457</v>
      </c>
      <c r="X615" s="15" t="str">
        <f aca="false">IF(OR($S615="%",$R615=""),"",$R615*INDEX(Cambi!$J$2:$J$5,MATCH($S615,Cambi!$I$2:$I$5,0))/IF($T615="EUR",1,INDEX(Cambi!$D:$D,MATCH($T615&amp;"|"&amp;$U615,Cambi!$C:$C,0))))</f>
        <v/>
      </c>
      <c r="Y615" s="12" t="s">
        <v>130</v>
      </c>
      <c r="Z615" s="12" t="s">
        <v>109</v>
      </c>
      <c r="AA615" s="12" t="s">
        <v>3369</v>
      </c>
      <c r="AB615" s="16" t="s">
        <v>110</v>
      </c>
      <c r="AC615" s="16" t="s">
        <v>3458</v>
      </c>
      <c r="AD615" s="12" t="s">
        <v>112</v>
      </c>
      <c r="AE615" s="12" t="s">
        <v>3263</v>
      </c>
      <c r="AF615" s="12" t="s">
        <v>3459</v>
      </c>
      <c r="AG615" s="12" t="s">
        <v>284</v>
      </c>
      <c r="AH615" s="12" t="s">
        <v>499</v>
      </c>
      <c r="AI615" s="12" t="s">
        <v>285</v>
      </c>
      <c r="AJ615" s="12" t="s">
        <v>3460</v>
      </c>
      <c r="AK615" s="12" t="s">
        <v>4</v>
      </c>
    </row>
    <row r="616" customFormat="false" ht="15" hidden="false" customHeight="false" outlineLevel="0" collapsed="false">
      <c r="A616" s="11" t="n">
        <v>615</v>
      </c>
      <c r="B616" s="12" t="s">
        <v>3450</v>
      </c>
      <c r="C616" s="12" t="s">
        <v>2850</v>
      </c>
      <c r="D616" s="12" t="s">
        <v>2851</v>
      </c>
      <c r="E616" s="12" t="s">
        <v>759</v>
      </c>
      <c r="F616" s="12" t="s">
        <v>3363</v>
      </c>
      <c r="G616" s="12" t="s">
        <v>1516</v>
      </c>
      <c r="H616" s="12" t="s">
        <v>3451</v>
      </c>
      <c r="I616" s="12" t="s">
        <v>3452</v>
      </c>
      <c r="J616" s="13" t="s">
        <v>3453</v>
      </c>
      <c r="K616" s="12" t="s">
        <v>3454</v>
      </c>
      <c r="L616" s="12" t="s">
        <v>3461</v>
      </c>
      <c r="M616" s="12" t="s">
        <v>3462</v>
      </c>
      <c r="N616" s="12" t="s">
        <v>352</v>
      </c>
      <c r="O616" s="12" t="s">
        <v>102</v>
      </c>
      <c r="P616" s="12" t="s">
        <v>103</v>
      </c>
      <c r="Q616" s="12" t="s">
        <v>104</v>
      </c>
      <c r="R616" s="14" t="n">
        <v>1.55</v>
      </c>
      <c r="S616" s="14" t="s">
        <v>129</v>
      </c>
      <c r="T616" s="14" t="s">
        <v>106</v>
      </c>
      <c r="U616" s="14" t="n">
        <v>2021</v>
      </c>
      <c r="V616" s="12" t="s">
        <v>157</v>
      </c>
      <c r="W616" s="14" t="s">
        <v>3463</v>
      </c>
      <c r="X616" s="15" t="n">
        <f aca="false">IF(OR($S616="%",$R616=""),"",$R616*INDEX(Cambi!$J$2:$J$5,MATCH($S616,Cambi!$I$2:$I$5,0))/IF($T616="EUR",1,INDEX(Cambi!$D:$D,MATCH($T616&amp;"|"&amp;$U616,Cambi!$C:$C,0))))</f>
        <v>1550</v>
      </c>
      <c r="Y616" s="12" t="s">
        <v>130</v>
      </c>
      <c r="Z616" s="12" t="s">
        <v>109</v>
      </c>
      <c r="AA616" s="12" t="s">
        <v>3369</v>
      </c>
      <c r="AB616" s="16" t="s">
        <v>110</v>
      </c>
      <c r="AC616" s="16" t="s">
        <v>3458</v>
      </c>
      <c r="AD616" s="12" t="s">
        <v>112</v>
      </c>
      <c r="AE616" s="12" t="s">
        <v>3263</v>
      </c>
      <c r="AF616" s="12" t="s">
        <v>3464</v>
      </c>
      <c r="AG616" s="12" t="s">
        <v>284</v>
      </c>
      <c r="AH616" s="12" t="s">
        <v>499</v>
      </c>
      <c r="AI616" s="12" t="s">
        <v>285</v>
      </c>
      <c r="AJ616" s="12" t="s">
        <v>3465</v>
      </c>
      <c r="AK616" s="12" t="s">
        <v>4</v>
      </c>
    </row>
    <row r="617" customFormat="false" ht="15" hidden="false" customHeight="false" outlineLevel="0" collapsed="false">
      <c r="A617" s="11" t="n">
        <v>616</v>
      </c>
      <c r="B617" s="12" t="s">
        <v>3450</v>
      </c>
      <c r="C617" s="12" t="s">
        <v>2850</v>
      </c>
      <c r="D617" s="12" t="s">
        <v>2851</v>
      </c>
      <c r="E617" s="12" t="s">
        <v>759</v>
      </c>
      <c r="F617" s="12" t="s">
        <v>3363</v>
      </c>
      <c r="G617" s="12" t="s">
        <v>1516</v>
      </c>
      <c r="H617" s="12" t="s">
        <v>3451</v>
      </c>
      <c r="I617" s="12" t="s">
        <v>3452</v>
      </c>
      <c r="J617" s="13" t="s">
        <v>3453</v>
      </c>
      <c r="K617" s="12" t="s">
        <v>3454</v>
      </c>
      <c r="L617" s="12" t="s">
        <v>3466</v>
      </c>
      <c r="M617" s="12" t="s">
        <v>3467</v>
      </c>
      <c r="N617" s="12" t="s">
        <v>352</v>
      </c>
      <c r="O617" s="12" t="s">
        <v>196</v>
      </c>
      <c r="P617" s="12" t="s">
        <v>155</v>
      </c>
      <c r="Q617" s="12" t="s">
        <v>3440</v>
      </c>
      <c r="R617" s="14" t="n">
        <v>48</v>
      </c>
      <c r="S617" s="14" t="s">
        <v>197</v>
      </c>
      <c r="T617" s="14"/>
      <c r="U617" s="14" t="n">
        <v>2021</v>
      </c>
      <c r="V617" s="12" t="s">
        <v>157</v>
      </c>
      <c r="W617" s="14"/>
      <c r="X617" s="15" t="str">
        <f aca="false">IF(OR($S617="%",$R617=""),"",$R617*INDEX(Cambi!$J$2:$J$5,MATCH($S617,Cambi!$I$2:$I$5,0))/IF($T617="EUR",1,INDEX(Cambi!$D:$D,MATCH($T617&amp;"|"&amp;$U617,Cambi!$C:$C,0))))</f>
        <v/>
      </c>
      <c r="Y617" s="12" t="s">
        <v>130</v>
      </c>
      <c r="Z617" s="12" t="s">
        <v>109</v>
      </c>
      <c r="AA617" s="12" t="s">
        <v>3369</v>
      </c>
      <c r="AB617" s="16" t="s">
        <v>110</v>
      </c>
      <c r="AC617" s="16" t="s">
        <v>3458</v>
      </c>
      <c r="AD617" s="12" t="s">
        <v>112</v>
      </c>
      <c r="AE617" s="12" t="s">
        <v>3263</v>
      </c>
      <c r="AF617" s="12" t="s">
        <v>3468</v>
      </c>
      <c r="AG617" s="12" t="s">
        <v>284</v>
      </c>
      <c r="AH617" s="12" t="s">
        <v>499</v>
      </c>
      <c r="AI617" s="12" t="s">
        <v>285</v>
      </c>
      <c r="AJ617" s="12" t="s">
        <v>266</v>
      </c>
      <c r="AK617" s="12" t="s">
        <v>4</v>
      </c>
    </row>
    <row r="618" customFormat="false" ht="15" hidden="false" customHeight="false" outlineLevel="0" collapsed="false">
      <c r="A618" s="11" t="n">
        <v>617</v>
      </c>
      <c r="B618" s="12" t="s">
        <v>3450</v>
      </c>
      <c r="C618" s="12" t="s">
        <v>2850</v>
      </c>
      <c r="D618" s="12" t="s">
        <v>2851</v>
      </c>
      <c r="E618" s="12" t="s">
        <v>759</v>
      </c>
      <c r="F618" s="12" t="s">
        <v>3363</v>
      </c>
      <c r="G618" s="12" t="s">
        <v>1516</v>
      </c>
      <c r="H618" s="12" t="s">
        <v>3451</v>
      </c>
      <c r="I618" s="12" t="s">
        <v>3452</v>
      </c>
      <c r="J618" s="13" t="s">
        <v>3453</v>
      </c>
      <c r="K618" s="12" t="s">
        <v>3454</v>
      </c>
      <c r="L618" s="12" t="s">
        <v>3442</v>
      </c>
      <c r="M618" s="12" t="s">
        <v>3469</v>
      </c>
      <c r="N618" s="12" t="s">
        <v>352</v>
      </c>
      <c r="O618" s="12" t="s">
        <v>196</v>
      </c>
      <c r="P618" s="12" t="s">
        <v>155</v>
      </c>
      <c r="Q618" s="12" t="s">
        <v>3444</v>
      </c>
      <c r="R618" s="14" t="n">
        <v>52</v>
      </c>
      <c r="S618" s="14" t="s">
        <v>197</v>
      </c>
      <c r="T618" s="14"/>
      <c r="U618" s="14" t="n">
        <v>2021</v>
      </c>
      <c r="V618" s="12" t="s">
        <v>157</v>
      </c>
      <c r="W618" s="14"/>
      <c r="X618" s="15" t="str">
        <f aca="false">IF(OR($S618="%",$R618=""),"",$R618*INDEX(Cambi!$J$2:$J$5,MATCH($S618,Cambi!$I$2:$I$5,0))/IF($T618="EUR",1,INDEX(Cambi!$D:$D,MATCH($T618&amp;"|"&amp;$U618,Cambi!$C:$C,0))))</f>
        <v/>
      </c>
      <c r="Y618" s="12" t="s">
        <v>130</v>
      </c>
      <c r="Z618" s="12" t="s">
        <v>109</v>
      </c>
      <c r="AA618" s="12" t="s">
        <v>3369</v>
      </c>
      <c r="AB618" s="16" t="s">
        <v>110</v>
      </c>
      <c r="AC618" s="16" t="s">
        <v>3458</v>
      </c>
      <c r="AD618" s="12" t="s">
        <v>112</v>
      </c>
      <c r="AE618" s="12" t="s">
        <v>3263</v>
      </c>
      <c r="AF618" s="12" t="s">
        <v>3470</v>
      </c>
      <c r="AG618" s="12" t="s">
        <v>284</v>
      </c>
      <c r="AH618" s="12" t="s">
        <v>499</v>
      </c>
      <c r="AI618" s="12" t="s">
        <v>285</v>
      </c>
      <c r="AJ618" s="12" t="s">
        <v>266</v>
      </c>
      <c r="AK618" s="12" t="s">
        <v>4</v>
      </c>
    </row>
    <row r="619" customFormat="false" ht="15" hidden="false" customHeight="false" outlineLevel="0" collapsed="false">
      <c r="A619" s="11" t="n">
        <v>618</v>
      </c>
      <c r="B619" s="12" t="s">
        <v>3450</v>
      </c>
      <c r="C619" s="12" t="s">
        <v>2850</v>
      </c>
      <c r="D619" s="12" t="s">
        <v>2851</v>
      </c>
      <c r="E619" s="12" t="s">
        <v>759</v>
      </c>
      <c r="F619" s="12" t="s">
        <v>3363</v>
      </c>
      <c r="G619" s="12" t="s">
        <v>1516</v>
      </c>
      <c r="H619" s="12" t="s">
        <v>3451</v>
      </c>
      <c r="I619" s="12" t="s">
        <v>3452</v>
      </c>
      <c r="J619" s="13" t="s">
        <v>3453</v>
      </c>
      <c r="K619" s="12" t="s">
        <v>3454</v>
      </c>
      <c r="L619" s="12" t="s">
        <v>3471</v>
      </c>
      <c r="M619" s="12" t="s">
        <v>3472</v>
      </c>
      <c r="N619" s="12" t="s">
        <v>195</v>
      </c>
      <c r="O619" s="12" t="s">
        <v>196</v>
      </c>
      <c r="P619" s="12" t="s">
        <v>103</v>
      </c>
      <c r="Q619" s="12" t="s">
        <v>104</v>
      </c>
      <c r="R619" s="14" t="n">
        <v>0.08</v>
      </c>
      <c r="S619" s="14" t="s">
        <v>197</v>
      </c>
      <c r="T619" s="14"/>
      <c r="U619" s="14" t="n">
        <v>2021</v>
      </c>
      <c r="V619" s="12" t="s">
        <v>157</v>
      </c>
      <c r="W619" s="14"/>
      <c r="X619" s="15" t="str">
        <f aca="false">IF(OR($S619="%",$R619=""),"",$R619*INDEX(Cambi!$J$2:$J$5,MATCH($S619,Cambi!$I$2:$I$5,0))/IF($T619="EUR",1,INDEX(Cambi!$D:$D,MATCH($T619&amp;"|"&amp;$U619,Cambi!$C:$C,0))))</f>
        <v/>
      </c>
      <c r="Y619" s="12" t="s">
        <v>130</v>
      </c>
      <c r="Z619" s="12" t="s">
        <v>109</v>
      </c>
      <c r="AA619" s="12" t="s">
        <v>3369</v>
      </c>
      <c r="AB619" s="16" t="s">
        <v>110</v>
      </c>
      <c r="AC619" s="16" t="s">
        <v>3458</v>
      </c>
      <c r="AD619" s="12" t="s">
        <v>112</v>
      </c>
      <c r="AE619" s="12" t="s">
        <v>3263</v>
      </c>
      <c r="AF619" s="12" t="s">
        <v>3473</v>
      </c>
      <c r="AG619" s="12" t="s">
        <v>284</v>
      </c>
      <c r="AH619" s="12" t="s">
        <v>499</v>
      </c>
      <c r="AI619" s="12" t="s">
        <v>285</v>
      </c>
      <c r="AJ619" s="12" t="s">
        <v>266</v>
      </c>
      <c r="AK619" s="12" t="s">
        <v>4</v>
      </c>
    </row>
    <row r="620" customFormat="false" ht="15" hidden="false" customHeight="false" outlineLevel="0" collapsed="false">
      <c r="A620" s="11" t="n">
        <v>619</v>
      </c>
      <c r="B620" s="12" t="s">
        <v>3474</v>
      </c>
      <c r="C620" s="12" t="s">
        <v>2850</v>
      </c>
      <c r="D620" s="12" t="s">
        <v>2851</v>
      </c>
      <c r="E620" s="12" t="s">
        <v>759</v>
      </c>
      <c r="F620" s="12" t="s">
        <v>3363</v>
      </c>
      <c r="G620" s="12" t="s">
        <v>1516</v>
      </c>
      <c r="H620" s="12" t="s">
        <v>3475</v>
      </c>
      <c r="I620" s="12" t="s">
        <v>3476</v>
      </c>
      <c r="J620" s="13" t="s">
        <v>3477</v>
      </c>
      <c r="K620" s="12" t="s">
        <v>3422</v>
      </c>
      <c r="L620" s="12" t="s">
        <v>3478</v>
      </c>
      <c r="M620" s="12" t="s">
        <v>3479</v>
      </c>
      <c r="N620" s="12" t="s">
        <v>352</v>
      </c>
      <c r="O620" s="12" t="s">
        <v>213</v>
      </c>
      <c r="P620" s="12" t="s">
        <v>103</v>
      </c>
      <c r="Q620" s="12" t="s">
        <v>104</v>
      </c>
      <c r="R620" s="14" t="n">
        <v>15</v>
      </c>
      <c r="S620" s="14" t="s">
        <v>197</v>
      </c>
      <c r="T620" s="14"/>
      <c r="U620" s="14" t="n">
        <v>2021</v>
      </c>
      <c r="V620" s="12" t="s">
        <v>157</v>
      </c>
      <c r="W620" s="14" t="s">
        <v>3480</v>
      </c>
      <c r="X620" s="15" t="str">
        <f aca="false">IF(OR($S620="%",$R620=""),"",$R620*INDEX(Cambi!$J$2:$J$5,MATCH($S620,Cambi!$I$2:$I$5,0))/IF($T620="EUR",1,INDEX(Cambi!$D:$D,MATCH($T620&amp;"|"&amp;$U620,Cambi!$C:$C,0))))</f>
        <v/>
      </c>
      <c r="Y620" s="12" t="s">
        <v>130</v>
      </c>
      <c r="Z620" s="12" t="s">
        <v>109</v>
      </c>
      <c r="AA620" s="12" t="s">
        <v>3369</v>
      </c>
      <c r="AB620" s="16" t="s">
        <v>110</v>
      </c>
      <c r="AC620" s="16" t="s">
        <v>3458</v>
      </c>
      <c r="AD620" s="12" t="s">
        <v>112</v>
      </c>
      <c r="AE620" s="12" t="s">
        <v>3263</v>
      </c>
      <c r="AF620" s="12" t="s">
        <v>3481</v>
      </c>
      <c r="AG620" s="12" t="s">
        <v>284</v>
      </c>
      <c r="AH620" s="12" t="s">
        <v>499</v>
      </c>
      <c r="AI620" s="12" t="s">
        <v>285</v>
      </c>
      <c r="AJ620" s="12" t="s">
        <v>3482</v>
      </c>
      <c r="AK620" s="12" t="s">
        <v>4</v>
      </c>
    </row>
    <row r="621" customFormat="false" ht="15" hidden="false" customHeight="false" outlineLevel="0" collapsed="false">
      <c r="A621" s="11" t="n">
        <v>620</v>
      </c>
      <c r="B621" s="12" t="s">
        <v>3474</v>
      </c>
      <c r="C621" s="12" t="s">
        <v>2850</v>
      </c>
      <c r="D621" s="12" t="s">
        <v>2851</v>
      </c>
      <c r="E621" s="12" t="s">
        <v>759</v>
      </c>
      <c r="F621" s="12" t="s">
        <v>3363</v>
      </c>
      <c r="G621" s="12" t="s">
        <v>1516</v>
      </c>
      <c r="H621" s="12" t="s">
        <v>3475</v>
      </c>
      <c r="I621" s="12" t="s">
        <v>3476</v>
      </c>
      <c r="J621" s="13" t="s">
        <v>3477</v>
      </c>
      <c r="K621" s="12" t="s">
        <v>3422</v>
      </c>
      <c r="L621" s="12" t="s">
        <v>3455</v>
      </c>
      <c r="M621" s="12" t="s">
        <v>3483</v>
      </c>
      <c r="N621" s="12" t="s">
        <v>352</v>
      </c>
      <c r="O621" s="12" t="s">
        <v>213</v>
      </c>
      <c r="P621" s="12" t="s">
        <v>103</v>
      </c>
      <c r="Q621" s="12" t="s">
        <v>104</v>
      </c>
      <c r="R621" s="14" t="n">
        <v>18</v>
      </c>
      <c r="S621" s="14" t="s">
        <v>197</v>
      </c>
      <c r="T621" s="14"/>
      <c r="U621" s="14" t="n">
        <v>2022</v>
      </c>
      <c r="V621" s="12" t="s">
        <v>157</v>
      </c>
      <c r="W621" s="14" t="s">
        <v>3484</v>
      </c>
      <c r="X621" s="15" t="str">
        <f aca="false">IF(OR($S621="%",$R621=""),"",$R621*INDEX(Cambi!$J$2:$J$5,MATCH($S621,Cambi!$I$2:$I$5,0))/IF($T621="EUR",1,INDEX(Cambi!$D:$D,MATCH($T621&amp;"|"&amp;$U621,Cambi!$C:$C,0))))</f>
        <v/>
      </c>
      <c r="Y621" s="12" t="s">
        <v>130</v>
      </c>
      <c r="Z621" s="12" t="s">
        <v>109</v>
      </c>
      <c r="AA621" s="12" t="s">
        <v>3369</v>
      </c>
      <c r="AB621" s="16" t="s">
        <v>110</v>
      </c>
      <c r="AC621" s="16" t="s">
        <v>3458</v>
      </c>
      <c r="AD621" s="12" t="s">
        <v>112</v>
      </c>
      <c r="AE621" s="12" t="s">
        <v>3263</v>
      </c>
      <c r="AF621" s="12" t="s">
        <v>3485</v>
      </c>
      <c r="AG621" s="12" t="s">
        <v>284</v>
      </c>
      <c r="AH621" s="12" t="s">
        <v>499</v>
      </c>
      <c r="AI621" s="12" t="s">
        <v>285</v>
      </c>
      <c r="AJ621" s="12" t="s">
        <v>266</v>
      </c>
      <c r="AK621" s="12" t="s">
        <v>4</v>
      </c>
    </row>
    <row r="622" customFormat="false" ht="15" hidden="false" customHeight="false" outlineLevel="0" collapsed="false">
      <c r="A622" s="11" t="n">
        <v>621</v>
      </c>
      <c r="B622" s="12" t="s">
        <v>3474</v>
      </c>
      <c r="C622" s="12" t="s">
        <v>2850</v>
      </c>
      <c r="D622" s="12" t="s">
        <v>2851</v>
      </c>
      <c r="E622" s="12" t="s">
        <v>759</v>
      </c>
      <c r="F622" s="12" t="s">
        <v>3363</v>
      </c>
      <c r="G622" s="12" t="s">
        <v>1516</v>
      </c>
      <c r="H622" s="12" t="s">
        <v>3475</v>
      </c>
      <c r="I622" s="12" t="s">
        <v>3476</v>
      </c>
      <c r="J622" s="13" t="s">
        <v>3477</v>
      </c>
      <c r="K622" s="12" t="s">
        <v>3422</v>
      </c>
      <c r="L622" s="12" t="s">
        <v>3486</v>
      </c>
      <c r="M622" s="12" t="s">
        <v>3487</v>
      </c>
      <c r="N622" s="12" t="s">
        <v>352</v>
      </c>
      <c r="O622" s="12" t="s">
        <v>102</v>
      </c>
      <c r="P622" s="12" t="s">
        <v>103</v>
      </c>
      <c r="Q622" s="12" t="s">
        <v>104</v>
      </c>
      <c r="R622" s="14" t="n">
        <v>1855</v>
      </c>
      <c r="S622" s="14" t="s">
        <v>105</v>
      </c>
      <c r="T622" s="14" t="s">
        <v>106</v>
      </c>
      <c r="U622" s="14" t="n">
        <v>2022</v>
      </c>
      <c r="V622" s="12" t="s">
        <v>157</v>
      </c>
      <c r="W622" s="14" t="s">
        <v>3488</v>
      </c>
      <c r="X622" s="15" t="n">
        <f aca="false">IF(OR($S622="%",$R622=""),"",$R622*INDEX(Cambi!$J$2:$J$5,MATCH($S622,Cambi!$I$2:$I$5,0))/IF($T622="EUR",1,INDEX(Cambi!$D:$D,MATCH($T622&amp;"|"&amp;$U622,Cambi!$C:$C,0))))</f>
        <v>1855</v>
      </c>
      <c r="Y622" s="12" t="s">
        <v>130</v>
      </c>
      <c r="Z622" s="12" t="s">
        <v>109</v>
      </c>
      <c r="AA622" s="12" t="s">
        <v>3369</v>
      </c>
      <c r="AB622" s="16" t="s">
        <v>110</v>
      </c>
      <c r="AC622" s="16" t="s">
        <v>3458</v>
      </c>
      <c r="AD622" s="12" t="s">
        <v>112</v>
      </c>
      <c r="AE622" s="12" t="s">
        <v>3263</v>
      </c>
      <c r="AF622" s="12" t="s">
        <v>3489</v>
      </c>
      <c r="AG622" s="12" t="s">
        <v>284</v>
      </c>
      <c r="AH622" s="12" t="s">
        <v>499</v>
      </c>
      <c r="AI622" s="12" t="s">
        <v>285</v>
      </c>
      <c r="AJ622" s="12" t="s">
        <v>3490</v>
      </c>
      <c r="AK622" s="12" t="s">
        <v>4</v>
      </c>
    </row>
    <row r="623" customFormat="false" ht="15" hidden="false" customHeight="false" outlineLevel="0" collapsed="false">
      <c r="A623" s="11" t="n">
        <v>622</v>
      </c>
      <c r="B623" s="12" t="s">
        <v>3474</v>
      </c>
      <c r="C623" s="12" t="s">
        <v>2850</v>
      </c>
      <c r="D623" s="12" t="s">
        <v>2851</v>
      </c>
      <c r="E623" s="12" t="s">
        <v>759</v>
      </c>
      <c r="F623" s="12" t="s">
        <v>3363</v>
      </c>
      <c r="G623" s="12" t="s">
        <v>1516</v>
      </c>
      <c r="H623" s="12" t="s">
        <v>3475</v>
      </c>
      <c r="I623" s="12" t="s">
        <v>3476</v>
      </c>
      <c r="J623" s="13" t="s">
        <v>3477</v>
      </c>
      <c r="K623" s="12" t="s">
        <v>3422</v>
      </c>
      <c r="L623" s="12" t="s">
        <v>3491</v>
      </c>
      <c r="M623" s="12" t="s">
        <v>3492</v>
      </c>
      <c r="N623" s="12" t="s">
        <v>352</v>
      </c>
      <c r="O623" s="12" t="s">
        <v>196</v>
      </c>
      <c r="P623" s="12" t="s">
        <v>155</v>
      </c>
      <c r="Q623" s="12" t="s">
        <v>3493</v>
      </c>
      <c r="R623" s="14" t="n">
        <v>14</v>
      </c>
      <c r="S623" s="14" t="s">
        <v>197</v>
      </c>
      <c r="T623" s="14"/>
      <c r="U623" s="14" t="n">
        <v>2022</v>
      </c>
      <c r="V623" s="12" t="s">
        <v>157</v>
      </c>
      <c r="W623" s="14"/>
      <c r="X623" s="15" t="str">
        <f aca="false">IF(OR($S623="%",$R623=""),"",$R623*INDEX(Cambi!$J$2:$J$5,MATCH($S623,Cambi!$I$2:$I$5,0))/IF($T623="EUR",1,INDEX(Cambi!$D:$D,MATCH($T623&amp;"|"&amp;$U623,Cambi!$C:$C,0))))</f>
        <v/>
      </c>
      <c r="Y623" s="12" t="s">
        <v>130</v>
      </c>
      <c r="Z623" s="12" t="s">
        <v>109</v>
      </c>
      <c r="AA623" s="12" t="s">
        <v>3369</v>
      </c>
      <c r="AB623" s="16" t="s">
        <v>110</v>
      </c>
      <c r="AC623" s="16" t="s">
        <v>3458</v>
      </c>
      <c r="AD623" s="12" t="s">
        <v>112</v>
      </c>
      <c r="AE623" s="12" t="s">
        <v>3263</v>
      </c>
      <c r="AF623" s="12" t="s">
        <v>3494</v>
      </c>
      <c r="AG623" s="12" t="s">
        <v>284</v>
      </c>
      <c r="AH623" s="12" t="s">
        <v>499</v>
      </c>
      <c r="AI623" s="12" t="s">
        <v>285</v>
      </c>
      <c r="AJ623" s="12" t="s">
        <v>266</v>
      </c>
      <c r="AK623" s="12" t="s">
        <v>4</v>
      </c>
    </row>
    <row r="624" customFormat="false" ht="15" hidden="false" customHeight="false" outlineLevel="0" collapsed="false">
      <c r="A624" s="11" t="n">
        <v>623</v>
      </c>
      <c r="B624" s="12" t="s">
        <v>3474</v>
      </c>
      <c r="C624" s="12" t="s">
        <v>2850</v>
      </c>
      <c r="D624" s="12" t="s">
        <v>2851</v>
      </c>
      <c r="E624" s="12" t="s">
        <v>759</v>
      </c>
      <c r="F624" s="12" t="s">
        <v>3363</v>
      </c>
      <c r="G624" s="12" t="s">
        <v>1516</v>
      </c>
      <c r="H624" s="12" t="s">
        <v>3475</v>
      </c>
      <c r="I624" s="12" t="s">
        <v>3476</v>
      </c>
      <c r="J624" s="13" t="s">
        <v>3477</v>
      </c>
      <c r="K624" s="12" t="s">
        <v>3422</v>
      </c>
      <c r="L624" s="12" t="s">
        <v>3495</v>
      </c>
      <c r="M624" s="12" t="s">
        <v>3496</v>
      </c>
      <c r="N624" s="12" t="s">
        <v>352</v>
      </c>
      <c r="O624" s="12" t="s">
        <v>196</v>
      </c>
      <c r="P624" s="12" t="s">
        <v>155</v>
      </c>
      <c r="Q624" s="12" t="s">
        <v>3497</v>
      </c>
      <c r="R624" s="14" t="n">
        <v>23</v>
      </c>
      <c r="S624" s="14" t="s">
        <v>197</v>
      </c>
      <c r="T624" s="14"/>
      <c r="U624" s="14" t="n">
        <v>2022</v>
      </c>
      <c r="V624" s="12" t="s">
        <v>157</v>
      </c>
      <c r="W624" s="14"/>
      <c r="X624" s="15" t="str">
        <f aca="false">IF(OR($S624="%",$R624=""),"",$R624*INDEX(Cambi!$J$2:$J$5,MATCH($S624,Cambi!$I$2:$I$5,0))/IF($T624="EUR",1,INDEX(Cambi!$D:$D,MATCH($T624&amp;"|"&amp;$U624,Cambi!$C:$C,0))))</f>
        <v/>
      </c>
      <c r="Y624" s="12" t="s">
        <v>130</v>
      </c>
      <c r="Z624" s="12" t="s">
        <v>109</v>
      </c>
      <c r="AA624" s="12" t="s">
        <v>3369</v>
      </c>
      <c r="AB624" s="16" t="s">
        <v>110</v>
      </c>
      <c r="AC624" s="16" t="s">
        <v>3458</v>
      </c>
      <c r="AD624" s="12" t="s">
        <v>112</v>
      </c>
      <c r="AE624" s="12" t="s">
        <v>3263</v>
      </c>
      <c r="AF624" s="12" t="s">
        <v>3494</v>
      </c>
      <c r="AG624" s="12" t="s">
        <v>284</v>
      </c>
      <c r="AH624" s="12" t="s">
        <v>499</v>
      </c>
      <c r="AI624" s="12" t="s">
        <v>285</v>
      </c>
      <c r="AJ624" s="12" t="s">
        <v>266</v>
      </c>
      <c r="AK624" s="12" t="s">
        <v>4</v>
      </c>
    </row>
    <row r="625" customFormat="false" ht="15" hidden="false" customHeight="false" outlineLevel="0" collapsed="false">
      <c r="A625" s="11" t="n">
        <v>624</v>
      </c>
      <c r="B625" s="12" t="s">
        <v>3474</v>
      </c>
      <c r="C625" s="12" t="s">
        <v>2850</v>
      </c>
      <c r="D625" s="12" t="s">
        <v>2851</v>
      </c>
      <c r="E625" s="12" t="s">
        <v>759</v>
      </c>
      <c r="F625" s="12" t="s">
        <v>3363</v>
      </c>
      <c r="G625" s="12" t="s">
        <v>1516</v>
      </c>
      <c r="H625" s="12" t="s">
        <v>3475</v>
      </c>
      <c r="I625" s="12" t="s">
        <v>3476</v>
      </c>
      <c r="J625" s="13" t="s">
        <v>3477</v>
      </c>
      <c r="K625" s="12" t="s">
        <v>3422</v>
      </c>
      <c r="L625" s="12" t="s">
        <v>3498</v>
      </c>
      <c r="M625" s="12" t="s">
        <v>3499</v>
      </c>
      <c r="N625" s="12" t="s">
        <v>352</v>
      </c>
      <c r="O625" s="12" t="s">
        <v>196</v>
      </c>
      <c r="P625" s="12" t="s">
        <v>155</v>
      </c>
      <c r="Q625" s="12" t="s">
        <v>3500</v>
      </c>
      <c r="R625" s="14" t="n">
        <v>26</v>
      </c>
      <c r="S625" s="14" t="s">
        <v>197</v>
      </c>
      <c r="T625" s="14"/>
      <c r="U625" s="14" t="n">
        <v>2022</v>
      </c>
      <c r="V625" s="12" t="s">
        <v>157</v>
      </c>
      <c r="W625" s="14"/>
      <c r="X625" s="15" t="str">
        <f aca="false">IF(OR($S625="%",$R625=""),"",$R625*INDEX(Cambi!$J$2:$J$5,MATCH($S625,Cambi!$I$2:$I$5,0))/IF($T625="EUR",1,INDEX(Cambi!$D:$D,MATCH($T625&amp;"|"&amp;$U625,Cambi!$C:$C,0))))</f>
        <v/>
      </c>
      <c r="Y625" s="12" t="s">
        <v>130</v>
      </c>
      <c r="Z625" s="12" t="s">
        <v>109</v>
      </c>
      <c r="AA625" s="12" t="s">
        <v>3369</v>
      </c>
      <c r="AB625" s="16" t="s">
        <v>110</v>
      </c>
      <c r="AC625" s="16" t="s">
        <v>3458</v>
      </c>
      <c r="AD625" s="12" t="s">
        <v>112</v>
      </c>
      <c r="AE625" s="12" t="s">
        <v>3263</v>
      </c>
      <c r="AF625" s="12" t="s">
        <v>3501</v>
      </c>
      <c r="AG625" s="12" t="s">
        <v>284</v>
      </c>
      <c r="AH625" s="12" t="s">
        <v>499</v>
      </c>
      <c r="AI625" s="12" t="s">
        <v>285</v>
      </c>
      <c r="AJ625" s="12" t="s">
        <v>266</v>
      </c>
      <c r="AK625" s="12" t="s">
        <v>4</v>
      </c>
    </row>
    <row r="626" customFormat="false" ht="15" hidden="false" customHeight="false" outlineLevel="0" collapsed="false">
      <c r="A626" s="11" t="n">
        <v>625</v>
      </c>
      <c r="B626" s="12" t="s">
        <v>3474</v>
      </c>
      <c r="C626" s="12" t="s">
        <v>2850</v>
      </c>
      <c r="D626" s="12" t="s">
        <v>2851</v>
      </c>
      <c r="E626" s="12" t="s">
        <v>759</v>
      </c>
      <c r="F626" s="12" t="s">
        <v>3363</v>
      </c>
      <c r="G626" s="12" t="s">
        <v>1516</v>
      </c>
      <c r="H626" s="12" t="s">
        <v>3475</v>
      </c>
      <c r="I626" s="12" t="s">
        <v>3476</v>
      </c>
      <c r="J626" s="13" t="s">
        <v>3477</v>
      </c>
      <c r="K626" s="12" t="s">
        <v>3422</v>
      </c>
      <c r="L626" s="12" t="s">
        <v>3471</v>
      </c>
      <c r="M626" s="12" t="s">
        <v>3502</v>
      </c>
      <c r="N626" s="12" t="s">
        <v>195</v>
      </c>
      <c r="O626" s="12" t="s">
        <v>196</v>
      </c>
      <c r="P626" s="12" t="s">
        <v>103</v>
      </c>
      <c r="Q626" s="12" t="s">
        <v>104</v>
      </c>
      <c r="R626" s="14" t="n">
        <v>0.1</v>
      </c>
      <c r="S626" s="14" t="s">
        <v>197</v>
      </c>
      <c r="T626" s="14"/>
      <c r="U626" s="14" t="n">
        <v>2022</v>
      </c>
      <c r="V626" s="12" t="s">
        <v>157</v>
      </c>
      <c r="W626" s="14"/>
      <c r="X626" s="15" t="str">
        <f aca="false">IF(OR($S626="%",$R626=""),"",$R626*INDEX(Cambi!$J$2:$J$5,MATCH($S626,Cambi!$I$2:$I$5,0))/IF($T626="EUR",1,INDEX(Cambi!$D:$D,MATCH($T626&amp;"|"&amp;$U626,Cambi!$C:$C,0))))</f>
        <v/>
      </c>
      <c r="Y626" s="12" t="s">
        <v>130</v>
      </c>
      <c r="Z626" s="12" t="s">
        <v>109</v>
      </c>
      <c r="AA626" s="12" t="s">
        <v>3369</v>
      </c>
      <c r="AB626" s="16" t="s">
        <v>110</v>
      </c>
      <c r="AC626" s="16" t="s">
        <v>3458</v>
      </c>
      <c r="AD626" s="12" t="s">
        <v>112</v>
      </c>
      <c r="AE626" s="12" t="s">
        <v>3263</v>
      </c>
      <c r="AF626" s="12" t="s">
        <v>3503</v>
      </c>
      <c r="AG626" s="12" t="s">
        <v>284</v>
      </c>
      <c r="AH626" s="12" t="s">
        <v>499</v>
      </c>
      <c r="AI626" s="12" t="s">
        <v>285</v>
      </c>
      <c r="AJ626" s="12" t="s">
        <v>3504</v>
      </c>
      <c r="AK626" s="12" t="s">
        <v>4</v>
      </c>
    </row>
    <row r="627" customFormat="false" ht="15" hidden="false" customHeight="false" outlineLevel="0" collapsed="false">
      <c r="A627" s="11" t="n">
        <v>626</v>
      </c>
      <c r="B627" s="12" t="s">
        <v>3505</v>
      </c>
      <c r="C627" s="12" t="s">
        <v>2850</v>
      </c>
      <c r="D627" s="12" t="s">
        <v>2851</v>
      </c>
      <c r="E627" s="12" t="s">
        <v>759</v>
      </c>
      <c r="F627" s="12" t="s">
        <v>3363</v>
      </c>
      <c r="G627" s="12" t="s">
        <v>1516</v>
      </c>
      <c r="H627" s="12" t="s">
        <v>3506</v>
      </c>
      <c r="I627" s="12" t="s">
        <v>3507</v>
      </c>
      <c r="J627" s="13" t="s">
        <v>3508</v>
      </c>
      <c r="K627" s="12"/>
      <c r="L627" s="12" t="s">
        <v>3455</v>
      </c>
      <c r="M627" s="12" t="s">
        <v>3509</v>
      </c>
      <c r="N627" s="12" t="s">
        <v>352</v>
      </c>
      <c r="O627" s="12" t="s">
        <v>213</v>
      </c>
      <c r="P627" s="12" t="s">
        <v>103</v>
      </c>
      <c r="Q627" s="12" t="s">
        <v>104</v>
      </c>
      <c r="R627" s="14" t="n">
        <v>16</v>
      </c>
      <c r="S627" s="14" t="s">
        <v>197</v>
      </c>
      <c r="T627" s="14"/>
      <c r="U627" s="14" t="n">
        <v>2023</v>
      </c>
      <c r="V627" s="12" t="s">
        <v>157</v>
      </c>
      <c r="W627" s="14" t="s">
        <v>3510</v>
      </c>
      <c r="X627" s="15" t="str">
        <f aca="false">IF(OR($S627="%",$R627=""),"",$R627*INDEX(Cambi!$J$2:$J$5,MATCH($S627,Cambi!$I$2:$I$5,0))/IF($T627="EUR",1,INDEX(Cambi!$D:$D,MATCH($T627&amp;"|"&amp;$U627,Cambi!$C:$C,0))))</f>
        <v/>
      </c>
      <c r="Y627" s="12" t="s">
        <v>130</v>
      </c>
      <c r="Z627" s="12" t="s">
        <v>109</v>
      </c>
      <c r="AA627" s="12" t="s">
        <v>3369</v>
      </c>
      <c r="AB627" s="12" t="s">
        <v>3261</v>
      </c>
      <c r="AC627" s="12" t="s">
        <v>395</v>
      </c>
      <c r="AD627" s="12" t="s">
        <v>617</v>
      </c>
      <c r="AE627" s="12" t="s">
        <v>3511</v>
      </c>
      <c r="AF627" s="12" t="s">
        <v>3512</v>
      </c>
      <c r="AG627" s="12" t="s">
        <v>115</v>
      </c>
      <c r="AH627" s="12" t="s">
        <v>116</v>
      </c>
      <c r="AI627" s="12" t="s">
        <v>117</v>
      </c>
      <c r="AJ627" s="12" t="s">
        <v>266</v>
      </c>
      <c r="AK627" s="12" t="s">
        <v>4</v>
      </c>
    </row>
    <row r="628" customFormat="false" ht="15" hidden="false" customHeight="false" outlineLevel="0" collapsed="false">
      <c r="A628" s="11" t="n">
        <v>627</v>
      </c>
      <c r="B628" s="12" t="s">
        <v>3505</v>
      </c>
      <c r="C628" s="12" t="s">
        <v>2850</v>
      </c>
      <c r="D628" s="12" t="s">
        <v>2851</v>
      </c>
      <c r="E628" s="12" t="s">
        <v>759</v>
      </c>
      <c r="F628" s="12" t="s">
        <v>3363</v>
      </c>
      <c r="G628" s="12" t="s">
        <v>1516</v>
      </c>
      <c r="H628" s="12" t="s">
        <v>3506</v>
      </c>
      <c r="I628" s="12" t="s">
        <v>3507</v>
      </c>
      <c r="J628" s="13" t="s">
        <v>3508</v>
      </c>
      <c r="K628" s="12"/>
      <c r="L628" s="12" t="s">
        <v>3486</v>
      </c>
      <c r="M628" s="12" t="s">
        <v>3513</v>
      </c>
      <c r="N628" s="12" t="s">
        <v>352</v>
      </c>
      <c r="O628" s="12" t="s">
        <v>102</v>
      </c>
      <c r="P628" s="12" t="s">
        <v>103</v>
      </c>
      <c r="Q628" s="12" t="s">
        <v>104</v>
      </c>
      <c r="R628" s="14" t="n">
        <v>2.15</v>
      </c>
      <c r="S628" s="14" t="s">
        <v>129</v>
      </c>
      <c r="T628" s="14" t="s">
        <v>106</v>
      </c>
      <c r="U628" s="14" t="n">
        <v>2023</v>
      </c>
      <c r="V628" s="12" t="s">
        <v>157</v>
      </c>
      <c r="W628" s="14" t="s">
        <v>3514</v>
      </c>
      <c r="X628" s="15" t="n">
        <f aca="false">IF(OR($S628="%",$R628=""),"",$R628*INDEX(Cambi!$J$2:$J$5,MATCH($S628,Cambi!$I$2:$I$5,0))/IF($T628="EUR",1,INDEX(Cambi!$D:$D,MATCH($T628&amp;"|"&amp;$U628,Cambi!$C:$C,0))))</f>
        <v>2150</v>
      </c>
      <c r="Y628" s="12" t="s">
        <v>130</v>
      </c>
      <c r="Z628" s="12" t="s">
        <v>109</v>
      </c>
      <c r="AA628" s="12" t="s">
        <v>3369</v>
      </c>
      <c r="AB628" s="12" t="s">
        <v>3261</v>
      </c>
      <c r="AC628" s="12" t="s">
        <v>395</v>
      </c>
      <c r="AD628" s="12" t="s">
        <v>617</v>
      </c>
      <c r="AE628" s="12" t="s">
        <v>3511</v>
      </c>
      <c r="AF628" s="12" t="s">
        <v>3515</v>
      </c>
      <c r="AG628" s="12" t="s">
        <v>115</v>
      </c>
      <c r="AH628" s="12" t="s">
        <v>116</v>
      </c>
      <c r="AI628" s="12" t="s">
        <v>117</v>
      </c>
      <c r="AJ628" s="12" t="s">
        <v>3516</v>
      </c>
      <c r="AK628" s="12" t="s">
        <v>4</v>
      </c>
    </row>
    <row r="629" customFormat="false" ht="15" hidden="false" customHeight="false" outlineLevel="0" collapsed="false">
      <c r="A629" s="11" t="n">
        <v>628</v>
      </c>
      <c r="B629" s="12" t="s">
        <v>3505</v>
      </c>
      <c r="C629" s="12" t="s">
        <v>2850</v>
      </c>
      <c r="D629" s="12" t="s">
        <v>2851</v>
      </c>
      <c r="E629" s="12" t="s">
        <v>759</v>
      </c>
      <c r="F629" s="12" t="s">
        <v>3363</v>
      </c>
      <c r="G629" s="12" t="s">
        <v>1516</v>
      </c>
      <c r="H629" s="12" t="s">
        <v>3506</v>
      </c>
      <c r="I629" s="12" t="s">
        <v>3507</v>
      </c>
      <c r="J629" s="13" t="s">
        <v>3508</v>
      </c>
      <c r="K629" s="12"/>
      <c r="L629" s="12" t="s">
        <v>3471</v>
      </c>
      <c r="M629" s="12" t="s">
        <v>3517</v>
      </c>
      <c r="N629" s="12" t="s">
        <v>195</v>
      </c>
      <c r="O629" s="12" t="s">
        <v>196</v>
      </c>
      <c r="P629" s="12" t="s">
        <v>103</v>
      </c>
      <c r="Q629" s="12" t="s">
        <v>104</v>
      </c>
      <c r="R629" s="14" t="n">
        <v>0.12</v>
      </c>
      <c r="S629" s="14" t="s">
        <v>197</v>
      </c>
      <c r="T629" s="14"/>
      <c r="U629" s="14" t="n">
        <v>2023</v>
      </c>
      <c r="V629" s="12" t="s">
        <v>157</v>
      </c>
      <c r="W629" s="14"/>
      <c r="X629" s="15" t="str">
        <f aca="false">IF(OR($S629="%",$R629=""),"",$R629*INDEX(Cambi!$J$2:$J$5,MATCH($S629,Cambi!$I$2:$I$5,0))/IF($T629="EUR",1,INDEX(Cambi!$D:$D,MATCH($T629&amp;"|"&amp;$U629,Cambi!$C:$C,0))))</f>
        <v/>
      </c>
      <c r="Y629" s="12" t="s">
        <v>130</v>
      </c>
      <c r="Z629" s="12" t="s">
        <v>109</v>
      </c>
      <c r="AA629" s="12" t="s">
        <v>3369</v>
      </c>
      <c r="AB629" s="12" t="s">
        <v>3261</v>
      </c>
      <c r="AC629" s="12" t="s">
        <v>395</v>
      </c>
      <c r="AD629" s="12" t="s">
        <v>617</v>
      </c>
      <c r="AE629" s="12" t="s">
        <v>3511</v>
      </c>
      <c r="AF629" s="12" t="s">
        <v>3518</v>
      </c>
      <c r="AG629" s="12" t="s">
        <v>115</v>
      </c>
      <c r="AH629" s="12" t="s">
        <v>116</v>
      </c>
      <c r="AI629" s="12" t="s">
        <v>117</v>
      </c>
      <c r="AJ629" s="12" t="s">
        <v>266</v>
      </c>
      <c r="AK629" s="12" t="s">
        <v>4</v>
      </c>
    </row>
    <row r="630" customFormat="false" ht="15" hidden="false" customHeight="false" outlineLevel="0" collapsed="false">
      <c r="A630" s="11" t="n">
        <v>629</v>
      </c>
      <c r="B630" s="12" t="s">
        <v>3519</v>
      </c>
      <c r="C630" s="12" t="s">
        <v>2850</v>
      </c>
      <c r="D630" s="12" t="s">
        <v>2851</v>
      </c>
      <c r="E630" s="12" t="s">
        <v>759</v>
      </c>
      <c r="F630" s="12" t="s">
        <v>3363</v>
      </c>
      <c r="G630" s="12" t="s">
        <v>1516</v>
      </c>
      <c r="H630" s="12" t="s">
        <v>3520</v>
      </c>
      <c r="I630" s="12" t="s">
        <v>1375</v>
      </c>
      <c r="J630" s="13" t="s">
        <v>3521</v>
      </c>
      <c r="K630" s="12" t="s">
        <v>3522</v>
      </c>
      <c r="L630" s="12" t="s">
        <v>3523</v>
      </c>
      <c r="M630" s="12" t="s">
        <v>3524</v>
      </c>
      <c r="N630" s="12" t="s">
        <v>352</v>
      </c>
      <c r="O630" s="12" t="s">
        <v>102</v>
      </c>
      <c r="P630" s="12" t="s">
        <v>103</v>
      </c>
      <c r="Q630" s="12" t="s">
        <v>104</v>
      </c>
      <c r="R630" s="14" t="n">
        <v>1370</v>
      </c>
      <c r="S630" s="14" t="s">
        <v>105</v>
      </c>
      <c r="T630" s="14" t="s">
        <v>106</v>
      </c>
      <c r="U630" s="14" t="n">
        <v>2020</v>
      </c>
      <c r="V630" s="12" t="s">
        <v>157</v>
      </c>
      <c r="W630" s="14"/>
      <c r="X630" s="15" t="n">
        <f aca="false">IF(OR($S630="%",$R630=""),"",$R630*INDEX(Cambi!$J$2:$J$5,MATCH($S630,Cambi!$I$2:$I$5,0))/IF($T630="EUR",1,INDEX(Cambi!$D:$D,MATCH($T630&amp;"|"&amp;$U630,Cambi!$C:$C,0))))</f>
        <v>1370</v>
      </c>
      <c r="Y630" s="12" t="s">
        <v>130</v>
      </c>
      <c r="Z630" s="12" t="s">
        <v>109</v>
      </c>
      <c r="AA630" s="12" t="s">
        <v>3525</v>
      </c>
      <c r="AB630" s="12" t="s">
        <v>3261</v>
      </c>
      <c r="AC630" s="12" t="s">
        <v>395</v>
      </c>
      <c r="AD630" s="12" t="s">
        <v>617</v>
      </c>
      <c r="AE630" s="12" t="s">
        <v>3511</v>
      </c>
      <c r="AF630" s="12" t="s">
        <v>3526</v>
      </c>
      <c r="AG630" s="12" t="s">
        <v>115</v>
      </c>
      <c r="AH630" s="12" t="s">
        <v>499</v>
      </c>
      <c r="AI630" s="12" t="s">
        <v>285</v>
      </c>
      <c r="AJ630" s="12" t="s">
        <v>3527</v>
      </c>
      <c r="AK630" s="12" t="s">
        <v>4</v>
      </c>
    </row>
    <row r="631" customFormat="false" ht="15" hidden="false" customHeight="false" outlineLevel="0" collapsed="false">
      <c r="A631" s="11" t="n">
        <v>630</v>
      </c>
      <c r="B631" s="12" t="s">
        <v>3519</v>
      </c>
      <c r="C631" s="12" t="s">
        <v>2850</v>
      </c>
      <c r="D631" s="12" t="s">
        <v>2851</v>
      </c>
      <c r="E631" s="12" t="s">
        <v>759</v>
      </c>
      <c r="F631" s="12" t="s">
        <v>3363</v>
      </c>
      <c r="G631" s="12" t="s">
        <v>1516</v>
      </c>
      <c r="H631" s="12" t="s">
        <v>3520</v>
      </c>
      <c r="I631" s="12" t="s">
        <v>1375</v>
      </c>
      <c r="J631" s="13" t="s">
        <v>3521</v>
      </c>
      <c r="K631" s="12" t="s">
        <v>3522</v>
      </c>
      <c r="L631" s="12" t="s">
        <v>3523</v>
      </c>
      <c r="M631" s="12" t="s">
        <v>3524</v>
      </c>
      <c r="N631" s="12" t="s">
        <v>352</v>
      </c>
      <c r="O631" s="12" t="s">
        <v>102</v>
      </c>
      <c r="P631" s="12" t="s">
        <v>103</v>
      </c>
      <c r="Q631" s="12" t="s">
        <v>104</v>
      </c>
      <c r="R631" s="14" t="n">
        <v>1576</v>
      </c>
      <c r="S631" s="14" t="s">
        <v>105</v>
      </c>
      <c r="T631" s="14" t="s">
        <v>106</v>
      </c>
      <c r="U631" s="14" t="n">
        <v>2021</v>
      </c>
      <c r="V631" s="12" t="s">
        <v>157</v>
      </c>
      <c r="W631" s="14" t="s">
        <v>3528</v>
      </c>
      <c r="X631" s="15" t="n">
        <f aca="false">IF(OR($S631="%",$R631=""),"",$R631*INDEX(Cambi!$J$2:$J$5,MATCH($S631,Cambi!$I$2:$I$5,0))/IF($T631="EUR",1,INDEX(Cambi!$D:$D,MATCH($T631&amp;"|"&amp;$U631,Cambi!$C:$C,0))))</f>
        <v>1576</v>
      </c>
      <c r="Y631" s="12" t="s">
        <v>130</v>
      </c>
      <c r="Z631" s="12" t="s">
        <v>109</v>
      </c>
      <c r="AA631" s="12" t="s">
        <v>3525</v>
      </c>
      <c r="AB631" s="12" t="s">
        <v>3261</v>
      </c>
      <c r="AC631" s="12" t="s">
        <v>395</v>
      </c>
      <c r="AD631" s="12" t="s">
        <v>617</v>
      </c>
      <c r="AE631" s="12" t="s">
        <v>3511</v>
      </c>
      <c r="AF631" s="12" t="s">
        <v>3526</v>
      </c>
      <c r="AG631" s="12" t="s">
        <v>115</v>
      </c>
      <c r="AH631" s="12" t="s">
        <v>499</v>
      </c>
      <c r="AI631" s="12" t="s">
        <v>285</v>
      </c>
      <c r="AJ631" s="12" t="s">
        <v>3529</v>
      </c>
      <c r="AK631" s="12" t="s">
        <v>4</v>
      </c>
    </row>
    <row r="632" customFormat="false" ht="15" hidden="false" customHeight="false" outlineLevel="0" collapsed="false">
      <c r="A632" s="11" t="n">
        <v>631</v>
      </c>
      <c r="B632" s="12" t="s">
        <v>3519</v>
      </c>
      <c r="C632" s="12" t="s">
        <v>2850</v>
      </c>
      <c r="D632" s="12" t="s">
        <v>2851</v>
      </c>
      <c r="E632" s="12" t="s">
        <v>759</v>
      </c>
      <c r="F632" s="12" t="s">
        <v>3363</v>
      </c>
      <c r="G632" s="12" t="s">
        <v>1516</v>
      </c>
      <c r="H632" s="12" t="s">
        <v>3520</v>
      </c>
      <c r="I632" s="12" t="s">
        <v>1375</v>
      </c>
      <c r="J632" s="13" t="s">
        <v>3521</v>
      </c>
      <c r="K632" s="12" t="s">
        <v>3522</v>
      </c>
      <c r="L632" s="12" t="s">
        <v>3523</v>
      </c>
      <c r="M632" s="12" t="s">
        <v>3524</v>
      </c>
      <c r="N632" s="12" t="s">
        <v>352</v>
      </c>
      <c r="O632" s="12" t="s">
        <v>102</v>
      </c>
      <c r="P632" s="12" t="s">
        <v>103</v>
      </c>
      <c r="Q632" s="12" t="s">
        <v>104</v>
      </c>
      <c r="R632" s="14" t="n">
        <v>1855</v>
      </c>
      <c r="S632" s="14" t="s">
        <v>105</v>
      </c>
      <c r="T632" s="14" t="s">
        <v>106</v>
      </c>
      <c r="U632" s="14" t="n">
        <v>2022</v>
      </c>
      <c r="V632" s="12" t="s">
        <v>157</v>
      </c>
      <c r="W632" s="14" t="s">
        <v>3530</v>
      </c>
      <c r="X632" s="15" t="n">
        <f aca="false">IF(OR($S632="%",$R632=""),"",$R632*INDEX(Cambi!$J$2:$J$5,MATCH($S632,Cambi!$I$2:$I$5,0))/IF($T632="EUR",1,INDEX(Cambi!$D:$D,MATCH($T632&amp;"|"&amp;$U632,Cambi!$C:$C,0))))</f>
        <v>1855</v>
      </c>
      <c r="Y632" s="12" t="s">
        <v>130</v>
      </c>
      <c r="Z632" s="12" t="s">
        <v>109</v>
      </c>
      <c r="AA632" s="12" t="s">
        <v>3525</v>
      </c>
      <c r="AB632" s="12" t="s">
        <v>3261</v>
      </c>
      <c r="AC632" s="12" t="s">
        <v>395</v>
      </c>
      <c r="AD632" s="12" t="s">
        <v>617</v>
      </c>
      <c r="AE632" s="12" t="s">
        <v>3511</v>
      </c>
      <c r="AF632" s="12" t="s">
        <v>3526</v>
      </c>
      <c r="AG632" s="12" t="s">
        <v>115</v>
      </c>
      <c r="AH632" s="12" t="s">
        <v>499</v>
      </c>
      <c r="AI632" s="12" t="s">
        <v>285</v>
      </c>
      <c r="AJ632" s="12" t="s">
        <v>3527</v>
      </c>
      <c r="AK632" s="12" t="s">
        <v>4</v>
      </c>
    </row>
    <row r="633" customFormat="false" ht="15" hidden="false" customHeight="false" outlineLevel="0" collapsed="false">
      <c r="A633" s="11" t="n">
        <v>632</v>
      </c>
      <c r="B633" s="12" t="s">
        <v>3519</v>
      </c>
      <c r="C633" s="12" t="s">
        <v>2850</v>
      </c>
      <c r="D633" s="12" t="s">
        <v>2851</v>
      </c>
      <c r="E633" s="12" t="s">
        <v>759</v>
      </c>
      <c r="F633" s="12" t="s">
        <v>3363</v>
      </c>
      <c r="G633" s="12" t="s">
        <v>1516</v>
      </c>
      <c r="H633" s="12" t="s">
        <v>3520</v>
      </c>
      <c r="I633" s="12" t="s">
        <v>1375</v>
      </c>
      <c r="J633" s="13" t="s">
        <v>3521</v>
      </c>
      <c r="K633" s="12" t="s">
        <v>3522</v>
      </c>
      <c r="L633" s="12" t="s">
        <v>3523</v>
      </c>
      <c r="M633" s="12" t="s">
        <v>3524</v>
      </c>
      <c r="N633" s="12" t="s">
        <v>352</v>
      </c>
      <c r="O633" s="12" t="s">
        <v>102</v>
      </c>
      <c r="P633" s="12" t="s">
        <v>103</v>
      </c>
      <c r="Q633" s="12" t="s">
        <v>104</v>
      </c>
      <c r="R633" s="14" t="n">
        <v>2149</v>
      </c>
      <c r="S633" s="14" t="s">
        <v>105</v>
      </c>
      <c r="T633" s="14" t="s">
        <v>106</v>
      </c>
      <c r="U633" s="14" t="n">
        <v>2023</v>
      </c>
      <c r="V633" s="12" t="s">
        <v>157</v>
      </c>
      <c r="W633" s="14" t="s">
        <v>3531</v>
      </c>
      <c r="X633" s="15" t="n">
        <f aca="false">IF(OR($S633="%",$R633=""),"",$R633*INDEX(Cambi!$J$2:$J$5,MATCH($S633,Cambi!$I$2:$I$5,0))/IF($T633="EUR",1,INDEX(Cambi!$D:$D,MATCH($T633&amp;"|"&amp;$U633,Cambi!$C:$C,0))))</f>
        <v>2149</v>
      </c>
      <c r="Y633" s="12" t="s">
        <v>130</v>
      </c>
      <c r="Z633" s="12" t="s">
        <v>109</v>
      </c>
      <c r="AA633" s="12" t="s">
        <v>3525</v>
      </c>
      <c r="AB633" s="12" t="s">
        <v>3261</v>
      </c>
      <c r="AC633" s="12" t="s">
        <v>395</v>
      </c>
      <c r="AD633" s="12" t="s">
        <v>617</v>
      </c>
      <c r="AE633" s="12" t="s">
        <v>3511</v>
      </c>
      <c r="AF633" s="12" t="s">
        <v>3526</v>
      </c>
      <c r="AG633" s="12" t="s">
        <v>115</v>
      </c>
      <c r="AH633" s="12" t="s">
        <v>499</v>
      </c>
      <c r="AI633" s="12" t="s">
        <v>285</v>
      </c>
      <c r="AJ633" s="12" t="s">
        <v>3527</v>
      </c>
      <c r="AK633" s="12" t="s">
        <v>4</v>
      </c>
    </row>
    <row r="634" customFormat="false" ht="15" hidden="false" customHeight="false" outlineLevel="0" collapsed="false">
      <c r="A634" s="11" t="n">
        <v>633</v>
      </c>
      <c r="B634" s="12" t="s">
        <v>3519</v>
      </c>
      <c r="C634" s="12" t="s">
        <v>2850</v>
      </c>
      <c r="D634" s="12" t="s">
        <v>2851</v>
      </c>
      <c r="E634" s="12" t="s">
        <v>759</v>
      </c>
      <c r="F634" s="12" t="s">
        <v>3363</v>
      </c>
      <c r="G634" s="12" t="s">
        <v>1516</v>
      </c>
      <c r="H634" s="12" t="s">
        <v>3532</v>
      </c>
      <c r="I634" s="12" t="s">
        <v>3533</v>
      </c>
      <c r="J634" s="13" t="s">
        <v>3534</v>
      </c>
      <c r="K634" s="12" t="s">
        <v>3522</v>
      </c>
      <c r="L634" s="12" t="s">
        <v>3455</v>
      </c>
      <c r="M634" s="12" t="s">
        <v>3535</v>
      </c>
      <c r="N634" s="12" t="s">
        <v>352</v>
      </c>
      <c r="O634" s="12" t="s">
        <v>213</v>
      </c>
      <c r="P634" s="12" t="s">
        <v>103</v>
      </c>
      <c r="Q634" s="12" t="s">
        <v>104</v>
      </c>
      <c r="R634" s="14" t="n">
        <v>15</v>
      </c>
      <c r="S634" s="14" t="s">
        <v>197</v>
      </c>
      <c r="T634" s="14"/>
      <c r="U634" s="14" t="n">
        <v>2024</v>
      </c>
      <c r="V634" s="12" t="s">
        <v>157</v>
      </c>
      <c r="W634" s="14" t="s">
        <v>3536</v>
      </c>
      <c r="X634" s="15" t="str">
        <f aca="false">IF(OR($S634="%",$R634=""),"",$R634*INDEX(Cambi!$J$2:$J$5,MATCH($S634,Cambi!$I$2:$I$5,0))/IF($T634="EUR",1,INDEX(Cambi!$D:$D,MATCH($T634&amp;"|"&amp;$U634,Cambi!$C:$C,0))))</f>
        <v/>
      </c>
      <c r="Y634" s="12" t="s">
        <v>130</v>
      </c>
      <c r="Z634" s="12" t="s">
        <v>109</v>
      </c>
      <c r="AA634" s="12" t="s">
        <v>3525</v>
      </c>
      <c r="AB634" s="12" t="s">
        <v>3261</v>
      </c>
      <c r="AC634" s="12" t="s">
        <v>395</v>
      </c>
      <c r="AD634" s="12" t="s">
        <v>617</v>
      </c>
      <c r="AE634" s="12" t="s">
        <v>3511</v>
      </c>
      <c r="AF634" s="12" t="s">
        <v>3537</v>
      </c>
      <c r="AG634" s="12" t="s">
        <v>115</v>
      </c>
      <c r="AH634" s="12" t="s">
        <v>499</v>
      </c>
      <c r="AI634" s="12" t="s">
        <v>285</v>
      </c>
      <c r="AJ634" s="12" t="s">
        <v>3538</v>
      </c>
      <c r="AK634" s="12" t="s">
        <v>4</v>
      </c>
    </row>
    <row r="635" customFormat="false" ht="15" hidden="false" customHeight="false" outlineLevel="0" collapsed="false">
      <c r="A635" s="11" t="n">
        <v>634</v>
      </c>
      <c r="B635" s="12" t="s">
        <v>3519</v>
      </c>
      <c r="C635" s="12" t="s">
        <v>2850</v>
      </c>
      <c r="D635" s="12" t="s">
        <v>2851</v>
      </c>
      <c r="E635" s="12" t="s">
        <v>759</v>
      </c>
      <c r="F635" s="12" t="s">
        <v>3363</v>
      </c>
      <c r="G635" s="12" t="s">
        <v>1516</v>
      </c>
      <c r="H635" s="12" t="s">
        <v>3532</v>
      </c>
      <c r="I635" s="12" t="s">
        <v>3533</v>
      </c>
      <c r="J635" s="13" t="s">
        <v>3534</v>
      </c>
      <c r="K635" s="12" t="s">
        <v>3522</v>
      </c>
      <c r="L635" s="12" t="s">
        <v>3539</v>
      </c>
      <c r="M635" s="12" t="s">
        <v>3540</v>
      </c>
      <c r="N635" s="12" t="s">
        <v>352</v>
      </c>
      <c r="O635" s="12" t="s">
        <v>213</v>
      </c>
      <c r="P635" s="12" t="s">
        <v>214</v>
      </c>
      <c r="Q635" s="12" t="s">
        <v>3541</v>
      </c>
      <c r="R635" s="14" t="n">
        <v>25</v>
      </c>
      <c r="S635" s="14" t="s">
        <v>197</v>
      </c>
      <c r="T635" s="14"/>
      <c r="U635" s="14" t="n">
        <v>2024</v>
      </c>
      <c r="V635" s="12" t="s">
        <v>157</v>
      </c>
      <c r="W635" s="14" t="s">
        <v>3542</v>
      </c>
      <c r="X635" s="15" t="str">
        <f aca="false">IF(OR($S635="%",$R635=""),"",$R635*INDEX(Cambi!$J$2:$J$5,MATCH($S635,Cambi!$I$2:$I$5,0))/IF($T635="EUR",1,INDEX(Cambi!$D:$D,MATCH($T635&amp;"|"&amp;$U635,Cambi!$C:$C,0))))</f>
        <v/>
      </c>
      <c r="Y635" s="12" t="s">
        <v>130</v>
      </c>
      <c r="Z635" s="12" t="s">
        <v>109</v>
      </c>
      <c r="AA635" s="12" t="s">
        <v>3525</v>
      </c>
      <c r="AB635" s="12" t="s">
        <v>3261</v>
      </c>
      <c r="AC635" s="12" t="s">
        <v>395</v>
      </c>
      <c r="AD635" s="12" t="s">
        <v>617</v>
      </c>
      <c r="AE635" s="12" t="s">
        <v>3511</v>
      </c>
      <c r="AF635" s="12" t="s">
        <v>3543</v>
      </c>
      <c r="AG635" s="12" t="s">
        <v>115</v>
      </c>
      <c r="AH635" s="12" t="s">
        <v>499</v>
      </c>
      <c r="AI635" s="12" t="s">
        <v>285</v>
      </c>
      <c r="AJ635" s="12" t="s">
        <v>3544</v>
      </c>
      <c r="AK635" s="12" t="s">
        <v>4</v>
      </c>
    </row>
    <row r="636" customFormat="false" ht="15" hidden="false" customHeight="false" outlineLevel="0" collapsed="false">
      <c r="A636" s="11" t="n">
        <v>635</v>
      </c>
      <c r="B636" s="12" t="s">
        <v>3519</v>
      </c>
      <c r="C636" s="12" t="s">
        <v>2850</v>
      </c>
      <c r="D636" s="12" t="s">
        <v>2851</v>
      </c>
      <c r="E636" s="12" t="s">
        <v>759</v>
      </c>
      <c r="F636" s="12" t="s">
        <v>3363</v>
      </c>
      <c r="G636" s="12" t="s">
        <v>1516</v>
      </c>
      <c r="H636" s="12" t="s">
        <v>3532</v>
      </c>
      <c r="I636" s="12" t="s">
        <v>3533</v>
      </c>
      <c r="J636" s="13" t="s">
        <v>3534</v>
      </c>
      <c r="K636" s="12" t="s">
        <v>3522</v>
      </c>
      <c r="L636" s="12" t="s">
        <v>3545</v>
      </c>
      <c r="M636" s="12" t="s">
        <v>3546</v>
      </c>
      <c r="N636" s="12" t="s">
        <v>352</v>
      </c>
      <c r="O636" s="12" t="s">
        <v>213</v>
      </c>
      <c r="P636" s="12" t="s">
        <v>214</v>
      </c>
      <c r="Q636" s="12" t="s">
        <v>787</v>
      </c>
      <c r="R636" s="14" t="n">
        <v>24</v>
      </c>
      <c r="S636" s="14" t="s">
        <v>197</v>
      </c>
      <c r="T636" s="14"/>
      <c r="U636" s="14" t="n">
        <v>2024</v>
      </c>
      <c r="V636" s="12" t="s">
        <v>157</v>
      </c>
      <c r="W636" s="14" t="s">
        <v>3547</v>
      </c>
      <c r="X636" s="15" t="str">
        <f aca="false">IF(OR($S636="%",$R636=""),"",$R636*INDEX(Cambi!$J$2:$J$5,MATCH($S636,Cambi!$I$2:$I$5,0))/IF($T636="EUR",1,INDEX(Cambi!$D:$D,MATCH($T636&amp;"|"&amp;$U636,Cambi!$C:$C,0))))</f>
        <v/>
      </c>
      <c r="Y636" s="12" t="s">
        <v>130</v>
      </c>
      <c r="Z636" s="12" t="s">
        <v>109</v>
      </c>
      <c r="AA636" s="12" t="s">
        <v>3525</v>
      </c>
      <c r="AB636" s="12" t="s">
        <v>3261</v>
      </c>
      <c r="AC636" s="12" t="s">
        <v>395</v>
      </c>
      <c r="AD636" s="12" t="s">
        <v>617</v>
      </c>
      <c r="AE636" s="12" t="s">
        <v>3511</v>
      </c>
      <c r="AF636" s="12" t="s">
        <v>3543</v>
      </c>
      <c r="AG636" s="12" t="s">
        <v>115</v>
      </c>
      <c r="AH636" s="12" t="s">
        <v>499</v>
      </c>
      <c r="AI636" s="12" t="s">
        <v>285</v>
      </c>
      <c r="AJ636" s="12" t="s">
        <v>266</v>
      </c>
      <c r="AK636" s="12" t="s">
        <v>4</v>
      </c>
    </row>
    <row r="637" customFormat="false" ht="15" hidden="false" customHeight="false" outlineLevel="0" collapsed="false">
      <c r="A637" s="11" t="n">
        <v>636</v>
      </c>
      <c r="B637" s="12" t="s">
        <v>3519</v>
      </c>
      <c r="C637" s="12" t="s">
        <v>2850</v>
      </c>
      <c r="D637" s="12" t="s">
        <v>2851</v>
      </c>
      <c r="E637" s="12" t="s">
        <v>759</v>
      </c>
      <c r="F637" s="12" t="s">
        <v>3363</v>
      </c>
      <c r="G637" s="12" t="s">
        <v>1516</v>
      </c>
      <c r="H637" s="12" t="s">
        <v>3520</v>
      </c>
      <c r="I637" s="12" t="s">
        <v>1375</v>
      </c>
      <c r="J637" s="13" t="s">
        <v>3521</v>
      </c>
      <c r="K637" s="12" t="s">
        <v>3522</v>
      </c>
      <c r="L637" s="12" t="s">
        <v>3523</v>
      </c>
      <c r="M637" s="12" t="s">
        <v>3524</v>
      </c>
      <c r="N637" s="12" t="s">
        <v>352</v>
      </c>
      <c r="O637" s="12" t="s">
        <v>102</v>
      </c>
      <c r="P637" s="12" t="s">
        <v>103</v>
      </c>
      <c r="Q637" s="12" t="s">
        <v>104</v>
      </c>
      <c r="R637" s="14" t="n">
        <v>2480</v>
      </c>
      <c r="S637" s="14" t="s">
        <v>105</v>
      </c>
      <c r="T637" s="14" t="s">
        <v>106</v>
      </c>
      <c r="U637" s="14" t="n">
        <v>2024</v>
      </c>
      <c r="V637" s="12" t="s">
        <v>157</v>
      </c>
      <c r="W637" s="14" t="s">
        <v>3528</v>
      </c>
      <c r="X637" s="15" t="n">
        <f aca="false">IF(OR($S637="%",$R637=""),"",$R637*INDEX(Cambi!$J$2:$J$5,MATCH($S637,Cambi!$I$2:$I$5,0))/IF($T637="EUR",1,INDEX(Cambi!$D:$D,MATCH($T637&amp;"|"&amp;$U637,Cambi!$C:$C,0))))</f>
        <v>2480</v>
      </c>
      <c r="Y637" s="12" t="s">
        <v>130</v>
      </c>
      <c r="Z637" s="12" t="s">
        <v>109</v>
      </c>
      <c r="AA637" s="12" t="s">
        <v>3525</v>
      </c>
      <c r="AB637" s="12" t="s">
        <v>3261</v>
      </c>
      <c r="AC637" s="12" t="s">
        <v>395</v>
      </c>
      <c r="AD637" s="12" t="s">
        <v>617</v>
      </c>
      <c r="AE637" s="12" t="s">
        <v>3511</v>
      </c>
      <c r="AF637" s="12" t="s">
        <v>3526</v>
      </c>
      <c r="AG637" s="12" t="s">
        <v>115</v>
      </c>
      <c r="AH637" s="12" t="s">
        <v>499</v>
      </c>
      <c r="AI637" s="12" t="s">
        <v>285</v>
      </c>
      <c r="AJ637" s="12" t="s">
        <v>3529</v>
      </c>
      <c r="AK637" s="12" t="s">
        <v>4</v>
      </c>
    </row>
    <row r="638" customFormat="false" ht="15" hidden="false" customHeight="false" outlineLevel="0" collapsed="false">
      <c r="A638" s="11" t="n">
        <v>637</v>
      </c>
      <c r="B638" s="12" t="s">
        <v>3519</v>
      </c>
      <c r="C638" s="12" t="s">
        <v>2850</v>
      </c>
      <c r="D638" s="12" t="s">
        <v>2851</v>
      </c>
      <c r="E638" s="12" t="s">
        <v>759</v>
      </c>
      <c r="F638" s="12" t="s">
        <v>3363</v>
      </c>
      <c r="G638" s="12" t="s">
        <v>1516</v>
      </c>
      <c r="H638" s="12" t="s">
        <v>3532</v>
      </c>
      <c r="I638" s="12" t="s">
        <v>3533</v>
      </c>
      <c r="J638" s="13" t="s">
        <v>3534</v>
      </c>
      <c r="K638" s="12" t="s">
        <v>3522</v>
      </c>
      <c r="L638" s="12" t="s">
        <v>3486</v>
      </c>
      <c r="M638" s="12" t="s">
        <v>3548</v>
      </c>
      <c r="N638" s="12" t="s">
        <v>352</v>
      </c>
      <c r="O638" s="12" t="s">
        <v>102</v>
      </c>
      <c r="P638" s="12" t="s">
        <v>103</v>
      </c>
      <c r="Q638" s="12" t="s">
        <v>104</v>
      </c>
      <c r="R638" s="14" t="n">
        <v>2.48</v>
      </c>
      <c r="S638" s="14" t="s">
        <v>129</v>
      </c>
      <c r="T638" s="14" t="s">
        <v>106</v>
      </c>
      <c r="U638" s="14" t="n">
        <v>2024</v>
      </c>
      <c r="V638" s="12" t="s">
        <v>157</v>
      </c>
      <c r="W638" s="14" t="s">
        <v>3549</v>
      </c>
      <c r="X638" s="15" t="n">
        <f aca="false">IF(OR($S638="%",$R638=""),"",$R638*INDEX(Cambi!$J$2:$J$5,MATCH($S638,Cambi!$I$2:$I$5,0))/IF($T638="EUR",1,INDEX(Cambi!$D:$D,MATCH($T638&amp;"|"&amp;$U638,Cambi!$C:$C,0))))</f>
        <v>2480</v>
      </c>
      <c r="Y638" s="12" t="s">
        <v>130</v>
      </c>
      <c r="Z638" s="12" t="s">
        <v>109</v>
      </c>
      <c r="AA638" s="12" t="s">
        <v>3525</v>
      </c>
      <c r="AB638" s="12" t="s">
        <v>3261</v>
      </c>
      <c r="AC638" s="12" t="s">
        <v>395</v>
      </c>
      <c r="AD638" s="12" t="s">
        <v>617</v>
      </c>
      <c r="AE638" s="12" t="s">
        <v>3511</v>
      </c>
      <c r="AF638" s="12" t="s">
        <v>3550</v>
      </c>
      <c r="AG638" s="12" t="s">
        <v>115</v>
      </c>
      <c r="AH638" s="12" t="s">
        <v>499</v>
      </c>
      <c r="AI638" s="12" t="s">
        <v>285</v>
      </c>
      <c r="AJ638" s="12" t="s">
        <v>3551</v>
      </c>
      <c r="AK638" s="12" t="s">
        <v>4</v>
      </c>
    </row>
    <row r="639" customFormat="false" ht="15" hidden="false" customHeight="false" outlineLevel="0" collapsed="false">
      <c r="A639" s="11" t="n">
        <v>638</v>
      </c>
      <c r="B639" s="12" t="s">
        <v>3519</v>
      </c>
      <c r="C639" s="12" t="s">
        <v>2850</v>
      </c>
      <c r="D639" s="12" t="s">
        <v>2851</v>
      </c>
      <c r="E639" s="12" t="s">
        <v>759</v>
      </c>
      <c r="F639" s="12" t="s">
        <v>3363</v>
      </c>
      <c r="G639" s="12" t="s">
        <v>1516</v>
      </c>
      <c r="H639" s="12" t="s">
        <v>3552</v>
      </c>
      <c r="I639" s="12" t="s">
        <v>3533</v>
      </c>
      <c r="J639" s="13" t="s">
        <v>3553</v>
      </c>
      <c r="K639" s="12" t="s">
        <v>3522</v>
      </c>
      <c r="L639" s="12" t="s">
        <v>3554</v>
      </c>
      <c r="M639" s="12" t="s">
        <v>3555</v>
      </c>
      <c r="N639" s="12" t="s">
        <v>352</v>
      </c>
      <c r="O639" s="12" t="s">
        <v>196</v>
      </c>
      <c r="P639" s="12" t="s">
        <v>155</v>
      </c>
      <c r="Q639" s="12" t="s">
        <v>3556</v>
      </c>
      <c r="R639" s="14" t="n">
        <v>14</v>
      </c>
      <c r="S639" s="14" t="s">
        <v>197</v>
      </c>
      <c r="T639" s="14"/>
      <c r="U639" s="14" t="n">
        <v>2024</v>
      </c>
      <c r="V639" s="12" t="s">
        <v>157</v>
      </c>
      <c r="W639" s="14"/>
      <c r="X639" s="15" t="str">
        <f aca="false">IF(OR($S639="%",$R639=""),"",$R639*INDEX(Cambi!$J$2:$J$5,MATCH($S639,Cambi!$I$2:$I$5,0))/IF($T639="EUR",1,INDEX(Cambi!$D:$D,MATCH($T639&amp;"|"&amp;$U639,Cambi!$C:$C,0))))</f>
        <v/>
      </c>
      <c r="Y639" s="12" t="s">
        <v>130</v>
      </c>
      <c r="Z639" s="12" t="s">
        <v>109</v>
      </c>
      <c r="AA639" s="12" t="s">
        <v>3525</v>
      </c>
      <c r="AB639" s="12" t="s">
        <v>3261</v>
      </c>
      <c r="AC639" s="12" t="s">
        <v>395</v>
      </c>
      <c r="AD639" s="12" t="s">
        <v>617</v>
      </c>
      <c r="AE639" s="12" t="s">
        <v>3511</v>
      </c>
      <c r="AF639" s="12" t="s">
        <v>3557</v>
      </c>
      <c r="AG639" s="12" t="s">
        <v>115</v>
      </c>
      <c r="AH639" s="12" t="s">
        <v>499</v>
      </c>
      <c r="AI639" s="12" t="s">
        <v>285</v>
      </c>
      <c r="AJ639" s="12" t="s">
        <v>266</v>
      </c>
      <c r="AK639" s="12" t="s">
        <v>4</v>
      </c>
    </row>
    <row r="640" customFormat="false" ht="15" hidden="false" customHeight="false" outlineLevel="0" collapsed="false">
      <c r="A640" s="11" t="n">
        <v>639</v>
      </c>
      <c r="B640" s="12" t="s">
        <v>3519</v>
      </c>
      <c r="C640" s="12" t="s">
        <v>2850</v>
      </c>
      <c r="D640" s="12" t="s">
        <v>2851</v>
      </c>
      <c r="E640" s="12" t="s">
        <v>759</v>
      </c>
      <c r="F640" s="12" t="s">
        <v>3363</v>
      </c>
      <c r="G640" s="12" t="s">
        <v>1516</v>
      </c>
      <c r="H640" s="12" t="s">
        <v>3552</v>
      </c>
      <c r="I640" s="12" t="s">
        <v>3533</v>
      </c>
      <c r="J640" s="13" t="s">
        <v>3553</v>
      </c>
      <c r="K640" s="12" t="s">
        <v>3522</v>
      </c>
      <c r="L640" s="12" t="s">
        <v>3558</v>
      </c>
      <c r="M640" s="12" t="s">
        <v>3559</v>
      </c>
      <c r="N640" s="12" t="s">
        <v>352</v>
      </c>
      <c r="O640" s="12" t="s">
        <v>196</v>
      </c>
      <c r="P640" s="12" t="s">
        <v>155</v>
      </c>
      <c r="Q640" s="12" t="s">
        <v>787</v>
      </c>
      <c r="R640" s="14" t="n">
        <v>41</v>
      </c>
      <c r="S640" s="14" t="s">
        <v>197</v>
      </c>
      <c r="T640" s="14"/>
      <c r="U640" s="14" t="n">
        <v>2024</v>
      </c>
      <c r="V640" s="12" t="s">
        <v>157</v>
      </c>
      <c r="W640" s="14"/>
      <c r="X640" s="15" t="str">
        <f aca="false">IF(OR($S640="%",$R640=""),"",$R640*INDEX(Cambi!$J$2:$J$5,MATCH($S640,Cambi!$I$2:$I$5,0))/IF($T640="EUR",1,INDEX(Cambi!$D:$D,MATCH($T640&amp;"|"&amp;$U640,Cambi!$C:$C,0))))</f>
        <v/>
      </c>
      <c r="Y640" s="12" t="s">
        <v>130</v>
      </c>
      <c r="Z640" s="12" t="s">
        <v>109</v>
      </c>
      <c r="AA640" s="12" t="s">
        <v>3525</v>
      </c>
      <c r="AB640" s="12" t="s">
        <v>3261</v>
      </c>
      <c r="AC640" s="12" t="s">
        <v>395</v>
      </c>
      <c r="AD640" s="12" t="s">
        <v>617</v>
      </c>
      <c r="AE640" s="12" t="s">
        <v>3511</v>
      </c>
      <c r="AF640" s="12" t="s">
        <v>3560</v>
      </c>
      <c r="AG640" s="12" t="s">
        <v>115</v>
      </c>
      <c r="AH640" s="12" t="s">
        <v>499</v>
      </c>
      <c r="AI640" s="12" t="s">
        <v>285</v>
      </c>
      <c r="AJ640" s="12" t="s">
        <v>3561</v>
      </c>
      <c r="AK640" s="12" t="s">
        <v>4</v>
      </c>
    </row>
    <row r="641" customFormat="false" ht="15" hidden="false" customHeight="false" outlineLevel="0" collapsed="false">
      <c r="A641" s="11" t="n">
        <v>640</v>
      </c>
      <c r="B641" s="12" t="s">
        <v>3519</v>
      </c>
      <c r="C641" s="12" t="s">
        <v>2850</v>
      </c>
      <c r="D641" s="12" t="s">
        <v>2851</v>
      </c>
      <c r="E641" s="12" t="s">
        <v>759</v>
      </c>
      <c r="F641" s="12" t="s">
        <v>3363</v>
      </c>
      <c r="G641" s="12" t="s">
        <v>1516</v>
      </c>
      <c r="H641" s="12" t="s">
        <v>3552</v>
      </c>
      <c r="I641" s="12" t="s">
        <v>3533</v>
      </c>
      <c r="J641" s="13" t="s">
        <v>3553</v>
      </c>
      <c r="K641" s="12" t="s">
        <v>3522</v>
      </c>
      <c r="L641" s="12" t="s">
        <v>3562</v>
      </c>
      <c r="M641" s="12" t="s">
        <v>3563</v>
      </c>
      <c r="N641" s="12" t="s">
        <v>352</v>
      </c>
      <c r="O641" s="12" t="s">
        <v>196</v>
      </c>
      <c r="P641" s="12" t="s">
        <v>155</v>
      </c>
      <c r="Q641" s="12" t="s">
        <v>1027</v>
      </c>
      <c r="R641" s="14" t="n">
        <v>37</v>
      </c>
      <c r="S641" s="14" t="s">
        <v>197</v>
      </c>
      <c r="T641" s="14"/>
      <c r="U641" s="14" t="n">
        <v>2024</v>
      </c>
      <c r="V641" s="12" t="s">
        <v>157</v>
      </c>
      <c r="W641" s="14"/>
      <c r="X641" s="15" t="str">
        <f aca="false">IF(OR($S641="%",$R641=""),"",$R641*INDEX(Cambi!$J$2:$J$5,MATCH($S641,Cambi!$I$2:$I$5,0))/IF($T641="EUR",1,INDEX(Cambi!$D:$D,MATCH($T641&amp;"|"&amp;$U641,Cambi!$C:$C,0))))</f>
        <v/>
      </c>
      <c r="Y641" s="12" t="s">
        <v>130</v>
      </c>
      <c r="Z641" s="12" t="s">
        <v>109</v>
      </c>
      <c r="AA641" s="12" t="s">
        <v>3525</v>
      </c>
      <c r="AB641" s="12" t="s">
        <v>3261</v>
      </c>
      <c r="AC641" s="12" t="s">
        <v>395</v>
      </c>
      <c r="AD641" s="12" t="s">
        <v>617</v>
      </c>
      <c r="AE641" s="12" t="s">
        <v>3511</v>
      </c>
      <c r="AF641" s="12" t="s">
        <v>3560</v>
      </c>
      <c r="AG641" s="12" t="s">
        <v>115</v>
      </c>
      <c r="AH641" s="12" t="s">
        <v>499</v>
      </c>
      <c r="AI641" s="12" t="s">
        <v>285</v>
      </c>
      <c r="AJ641" s="12" t="s">
        <v>266</v>
      </c>
      <c r="AK641" s="12" t="s">
        <v>4</v>
      </c>
    </row>
    <row r="642" customFormat="false" ht="15" hidden="false" customHeight="false" outlineLevel="0" collapsed="false">
      <c r="A642" s="11" t="n">
        <v>641</v>
      </c>
      <c r="B642" s="12" t="s">
        <v>3519</v>
      </c>
      <c r="C642" s="12" t="s">
        <v>2850</v>
      </c>
      <c r="D642" s="12" t="s">
        <v>2851</v>
      </c>
      <c r="E642" s="12" t="s">
        <v>759</v>
      </c>
      <c r="F642" s="12" t="s">
        <v>3363</v>
      </c>
      <c r="G642" s="12" t="s">
        <v>1516</v>
      </c>
      <c r="H642" s="12" t="s">
        <v>3520</v>
      </c>
      <c r="I642" s="12" t="s">
        <v>1375</v>
      </c>
      <c r="J642" s="13" t="s">
        <v>3521</v>
      </c>
      <c r="K642" s="12" t="s">
        <v>3522</v>
      </c>
      <c r="L642" s="12" t="s">
        <v>3564</v>
      </c>
      <c r="M642" s="12" t="s">
        <v>3565</v>
      </c>
      <c r="N642" s="12" t="s">
        <v>352</v>
      </c>
      <c r="O642" s="12" t="s">
        <v>196</v>
      </c>
      <c r="P642" s="12" t="s">
        <v>155</v>
      </c>
      <c r="Q642" s="12" t="s">
        <v>3566</v>
      </c>
      <c r="R642" s="14" t="n">
        <v>8</v>
      </c>
      <c r="S642" s="14" t="s">
        <v>197</v>
      </c>
      <c r="T642" s="14"/>
      <c r="U642" s="14" t="n">
        <v>2024</v>
      </c>
      <c r="V642" s="12" t="s">
        <v>157</v>
      </c>
      <c r="W642" s="14"/>
      <c r="X642" s="15" t="str">
        <f aca="false">IF(OR($S642="%",$R642=""),"",$R642*INDEX(Cambi!$J$2:$J$5,MATCH($S642,Cambi!$I$2:$I$5,0))/IF($T642="EUR",1,INDEX(Cambi!$D:$D,MATCH($T642&amp;"|"&amp;$U642,Cambi!$C:$C,0))))</f>
        <v/>
      </c>
      <c r="Y642" s="12" t="s">
        <v>130</v>
      </c>
      <c r="Z642" s="12" t="s">
        <v>109</v>
      </c>
      <c r="AA642" s="12" t="s">
        <v>3525</v>
      </c>
      <c r="AB642" s="12" t="s">
        <v>3261</v>
      </c>
      <c r="AC642" s="12" t="s">
        <v>395</v>
      </c>
      <c r="AD642" s="12" t="s">
        <v>617</v>
      </c>
      <c r="AE642" s="12" t="s">
        <v>3511</v>
      </c>
      <c r="AF642" s="12" t="s">
        <v>3567</v>
      </c>
      <c r="AG642" s="12" t="s">
        <v>115</v>
      </c>
      <c r="AH642" s="12" t="s">
        <v>499</v>
      </c>
      <c r="AI642" s="12" t="s">
        <v>285</v>
      </c>
      <c r="AJ642" s="12" t="s">
        <v>3568</v>
      </c>
      <c r="AK642" s="12" t="s">
        <v>4</v>
      </c>
    </row>
    <row r="643" customFormat="false" ht="15" hidden="false" customHeight="false" outlineLevel="0" collapsed="false">
      <c r="A643" s="11" t="n">
        <v>642</v>
      </c>
      <c r="B643" s="12" t="s">
        <v>3569</v>
      </c>
      <c r="C643" s="12" t="s">
        <v>2850</v>
      </c>
      <c r="D643" s="12" t="s">
        <v>2851</v>
      </c>
      <c r="E643" s="12" t="s">
        <v>759</v>
      </c>
      <c r="F643" s="12" t="s">
        <v>3363</v>
      </c>
      <c r="G643" s="12" t="s">
        <v>1516</v>
      </c>
      <c r="H643" s="12" t="s">
        <v>3570</v>
      </c>
      <c r="I643" s="12" t="s">
        <v>3571</v>
      </c>
      <c r="J643" s="13" t="s">
        <v>3572</v>
      </c>
      <c r="K643" s="12"/>
      <c r="L643" s="12" t="s">
        <v>3486</v>
      </c>
      <c r="M643" s="12" t="s">
        <v>3573</v>
      </c>
      <c r="N643" s="12" t="s">
        <v>352</v>
      </c>
      <c r="O643" s="12" t="s">
        <v>102</v>
      </c>
      <c r="P643" s="12" t="s">
        <v>103</v>
      </c>
      <c r="Q643" s="12" t="s">
        <v>104</v>
      </c>
      <c r="R643" s="14" t="n">
        <v>2.15</v>
      </c>
      <c r="S643" s="14" t="s">
        <v>129</v>
      </c>
      <c r="T643" s="14" t="s">
        <v>106</v>
      </c>
      <c r="U643" s="14" t="n">
        <v>2023</v>
      </c>
      <c r="V643" s="12" t="s">
        <v>157</v>
      </c>
      <c r="W643" s="14" t="s">
        <v>3514</v>
      </c>
      <c r="X643" s="15" t="n">
        <f aca="false">IF(OR($S643="%",$R643=""),"",$R643*INDEX(Cambi!$J$2:$J$5,MATCH($S643,Cambi!$I$2:$I$5,0))/IF($T643="EUR",1,INDEX(Cambi!$D:$D,MATCH($T643&amp;"|"&amp;$U643,Cambi!$C:$C,0))))</f>
        <v>2150</v>
      </c>
      <c r="Y643" s="12" t="s">
        <v>130</v>
      </c>
      <c r="Z643" s="12" t="s">
        <v>109</v>
      </c>
      <c r="AA643" s="12" t="s">
        <v>3574</v>
      </c>
      <c r="AB643" s="12" t="s">
        <v>3261</v>
      </c>
      <c r="AC643" s="12" t="s">
        <v>395</v>
      </c>
      <c r="AD643" s="12" t="s">
        <v>617</v>
      </c>
      <c r="AE643" s="12" t="s">
        <v>3511</v>
      </c>
      <c r="AF643" s="12" t="s">
        <v>3575</v>
      </c>
      <c r="AG643" s="12" t="s">
        <v>115</v>
      </c>
      <c r="AH643" s="12" t="s">
        <v>116</v>
      </c>
      <c r="AI643" s="12" t="s">
        <v>117</v>
      </c>
      <c r="AJ643" s="12" t="s">
        <v>3576</v>
      </c>
      <c r="AK643" s="12" t="s">
        <v>4</v>
      </c>
    </row>
    <row r="644" customFormat="false" ht="15" hidden="false" customHeight="false" outlineLevel="0" collapsed="false">
      <c r="A644" s="11" t="n">
        <v>643</v>
      </c>
      <c r="B644" s="12" t="s">
        <v>3569</v>
      </c>
      <c r="C644" s="12" t="s">
        <v>2850</v>
      </c>
      <c r="D644" s="12" t="s">
        <v>2851</v>
      </c>
      <c r="E644" s="12" t="s">
        <v>759</v>
      </c>
      <c r="F644" s="12" t="s">
        <v>3363</v>
      </c>
      <c r="G644" s="12" t="s">
        <v>1516</v>
      </c>
      <c r="H644" s="12" t="s">
        <v>3570</v>
      </c>
      <c r="I644" s="12" t="s">
        <v>3571</v>
      </c>
      <c r="J644" s="13" t="s">
        <v>3572</v>
      </c>
      <c r="K644" s="12"/>
      <c r="L644" s="12" t="s">
        <v>3486</v>
      </c>
      <c r="M644" s="12" t="s">
        <v>3577</v>
      </c>
      <c r="N644" s="12" t="s">
        <v>352</v>
      </c>
      <c r="O644" s="12" t="s">
        <v>102</v>
      </c>
      <c r="P644" s="12" t="s">
        <v>103</v>
      </c>
      <c r="Q644" s="12" t="s">
        <v>104</v>
      </c>
      <c r="R644" s="14" t="n">
        <v>2.48</v>
      </c>
      <c r="S644" s="14" t="s">
        <v>129</v>
      </c>
      <c r="T644" s="14" t="s">
        <v>106</v>
      </c>
      <c r="U644" s="14" t="n">
        <v>2024</v>
      </c>
      <c r="V644" s="12" t="s">
        <v>157</v>
      </c>
      <c r="W644" s="14" t="s">
        <v>3549</v>
      </c>
      <c r="X644" s="15" t="n">
        <f aca="false">IF(OR($S644="%",$R644=""),"",$R644*INDEX(Cambi!$J$2:$J$5,MATCH($S644,Cambi!$I$2:$I$5,0))/IF($T644="EUR",1,INDEX(Cambi!$D:$D,MATCH($T644&amp;"|"&amp;$U644,Cambi!$C:$C,0))))</f>
        <v>2480</v>
      </c>
      <c r="Y644" s="12" t="s">
        <v>130</v>
      </c>
      <c r="Z644" s="12" t="s">
        <v>109</v>
      </c>
      <c r="AA644" s="12" t="s">
        <v>3574</v>
      </c>
      <c r="AB644" s="12" t="s">
        <v>3261</v>
      </c>
      <c r="AC644" s="12" t="s">
        <v>395</v>
      </c>
      <c r="AD644" s="12" t="s">
        <v>617</v>
      </c>
      <c r="AE644" s="12" t="s">
        <v>3511</v>
      </c>
      <c r="AF644" s="12" t="s">
        <v>3575</v>
      </c>
      <c r="AG644" s="12" t="s">
        <v>115</v>
      </c>
      <c r="AH644" s="12" t="s">
        <v>116</v>
      </c>
      <c r="AI644" s="12" t="s">
        <v>117</v>
      </c>
      <c r="AJ644" s="12" t="s">
        <v>266</v>
      </c>
      <c r="AK644" s="12" t="s">
        <v>4</v>
      </c>
    </row>
    <row r="645" customFormat="false" ht="15" hidden="false" customHeight="false" outlineLevel="0" collapsed="false">
      <c r="A645" s="11" t="n">
        <v>644</v>
      </c>
      <c r="B645" s="12" t="s">
        <v>3569</v>
      </c>
      <c r="C645" s="12" t="s">
        <v>2850</v>
      </c>
      <c r="D645" s="12" t="s">
        <v>2851</v>
      </c>
      <c r="E645" s="12" t="s">
        <v>759</v>
      </c>
      <c r="F645" s="12" t="s">
        <v>3363</v>
      </c>
      <c r="G645" s="12" t="s">
        <v>1516</v>
      </c>
      <c r="H645" s="12" t="s">
        <v>3570</v>
      </c>
      <c r="I645" s="12" t="s">
        <v>3571</v>
      </c>
      <c r="J645" s="13" t="s">
        <v>3572</v>
      </c>
      <c r="K645" s="12"/>
      <c r="L645" s="12" t="s">
        <v>3578</v>
      </c>
      <c r="M645" s="12" t="s">
        <v>3579</v>
      </c>
      <c r="N645" s="12" t="s">
        <v>352</v>
      </c>
      <c r="O645" s="12" t="s">
        <v>213</v>
      </c>
      <c r="P645" s="12" t="s">
        <v>214</v>
      </c>
      <c r="Q645" s="12" t="s">
        <v>3580</v>
      </c>
      <c r="R645" s="14" t="n">
        <v>22</v>
      </c>
      <c r="S645" s="14" t="s">
        <v>197</v>
      </c>
      <c r="T645" s="14"/>
      <c r="U645" s="14" t="n">
        <v>2025</v>
      </c>
      <c r="V645" s="12" t="s">
        <v>157</v>
      </c>
      <c r="W645" s="14" t="s">
        <v>3581</v>
      </c>
      <c r="X645" s="15" t="str">
        <f aca="false">IF(OR($S645="%",$R645=""),"",$R645*INDEX(Cambi!$J$2:$J$5,MATCH($S645,Cambi!$I$2:$I$5,0))/IF($T645="EUR",1,INDEX(Cambi!$D:$D,MATCH($T645&amp;"|"&amp;$U645,Cambi!$C:$C,0))))</f>
        <v/>
      </c>
      <c r="Y645" s="12" t="s">
        <v>130</v>
      </c>
      <c r="Z645" s="12" t="s">
        <v>109</v>
      </c>
      <c r="AA645" s="12" t="s">
        <v>3574</v>
      </c>
      <c r="AB645" s="12" t="s">
        <v>3261</v>
      </c>
      <c r="AC645" s="12" t="s">
        <v>395</v>
      </c>
      <c r="AD645" s="12" t="s">
        <v>617</v>
      </c>
      <c r="AE645" s="12" t="s">
        <v>3511</v>
      </c>
      <c r="AF645" s="12" t="s">
        <v>3582</v>
      </c>
      <c r="AG645" s="12" t="s">
        <v>115</v>
      </c>
      <c r="AH645" s="12" t="s">
        <v>116</v>
      </c>
      <c r="AI645" s="12" t="s">
        <v>117</v>
      </c>
      <c r="AJ645" s="12" t="s">
        <v>3583</v>
      </c>
      <c r="AK645" s="12" t="s">
        <v>4</v>
      </c>
    </row>
    <row r="646" customFormat="false" ht="15" hidden="false" customHeight="false" outlineLevel="0" collapsed="false">
      <c r="A646" s="11" t="n">
        <v>645</v>
      </c>
      <c r="B646" s="12" t="s">
        <v>3569</v>
      </c>
      <c r="C646" s="12" t="s">
        <v>2850</v>
      </c>
      <c r="D646" s="12" t="s">
        <v>2851</v>
      </c>
      <c r="E646" s="12" t="s">
        <v>759</v>
      </c>
      <c r="F646" s="12" t="s">
        <v>3363</v>
      </c>
      <c r="G646" s="12" t="s">
        <v>1516</v>
      </c>
      <c r="H646" s="12" t="s">
        <v>3570</v>
      </c>
      <c r="I646" s="12" t="s">
        <v>3571</v>
      </c>
      <c r="J646" s="13" t="s">
        <v>3572</v>
      </c>
      <c r="K646" s="12"/>
      <c r="L646" s="12" t="s">
        <v>3584</v>
      </c>
      <c r="M646" s="12" t="s">
        <v>3585</v>
      </c>
      <c r="N646" s="12" t="s">
        <v>352</v>
      </c>
      <c r="O646" s="12" t="s">
        <v>213</v>
      </c>
      <c r="P646" s="12" t="s">
        <v>214</v>
      </c>
      <c r="Q646" s="12" t="s">
        <v>3541</v>
      </c>
      <c r="R646" s="14" t="n">
        <v>18</v>
      </c>
      <c r="S646" s="14" t="s">
        <v>197</v>
      </c>
      <c r="T646" s="14"/>
      <c r="U646" s="14" t="n">
        <v>2025</v>
      </c>
      <c r="V646" s="12" t="s">
        <v>157</v>
      </c>
      <c r="W646" s="14" t="s">
        <v>3586</v>
      </c>
      <c r="X646" s="15" t="str">
        <f aca="false">IF(OR($S646="%",$R646=""),"",$R646*INDEX(Cambi!$J$2:$J$5,MATCH($S646,Cambi!$I$2:$I$5,0))/IF($T646="EUR",1,INDEX(Cambi!$D:$D,MATCH($T646&amp;"|"&amp;$U646,Cambi!$C:$C,0))))</f>
        <v/>
      </c>
      <c r="Y646" s="12" t="s">
        <v>130</v>
      </c>
      <c r="Z646" s="12" t="s">
        <v>109</v>
      </c>
      <c r="AA646" s="12" t="s">
        <v>3574</v>
      </c>
      <c r="AB646" s="12" t="s">
        <v>3261</v>
      </c>
      <c r="AC646" s="12" t="s">
        <v>395</v>
      </c>
      <c r="AD646" s="12" t="s">
        <v>617</v>
      </c>
      <c r="AE646" s="12" t="s">
        <v>3511</v>
      </c>
      <c r="AF646" s="12" t="s">
        <v>3587</v>
      </c>
      <c r="AG646" s="12" t="s">
        <v>115</v>
      </c>
      <c r="AH646" s="12" t="s">
        <v>116</v>
      </c>
      <c r="AI646" s="12" t="s">
        <v>117</v>
      </c>
      <c r="AJ646" s="12" t="s">
        <v>266</v>
      </c>
      <c r="AK646" s="12" t="s">
        <v>4</v>
      </c>
    </row>
    <row r="647" customFormat="false" ht="15" hidden="false" customHeight="false" outlineLevel="0" collapsed="false">
      <c r="A647" s="11" t="n">
        <v>646</v>
      </c>
      <c r="B647" s="12" t="s">
        <v>3569</v>
      </c>
      <c r="C647" s="12" t="s">
        <v>2850</v>
      </c>
      <c r="D647" s="12" t="s">
        <v>2851</v>
      </c>
      <c r="E647" s="12" t="s">
        <v>759</v>
      </c>
      <c r="F647" s="12" t="s">
        <v>3363</v>
      </c>
      <c r="G647" s="12" t="s">
        <v>1516</v>
      </c>
      <c r="H647" s="12" t="s">
        <v>3570</v>
      </c>
      <c r="I647" s="12" t="s">
        <v>3571</v>
      </c>
      <c r="J647" s="13" t="s">
        <v>3572</v>
      </c>
      <c r="K647" s="12"/>
      <c r="L647" s="12" t="s">
        <v>3588</v>
      </c>
      <c r="M647" s="12" t="s">
        <v>3589</v>
      </c>
      <c r="N647" s="12" t="s">
        <v>352</v>
      </c>
      <c r="O647" s="12" t="s">
        <v>213</v>
      </c>
      <c r="P647" s="12" t="s">
        <v>214</v>
      </c>
      <c r="Q647" s="12" t="s">
        <v>3055</v>
      </c>
      <c r="R647" s="14" t="n">
        <v>28</v>
      </c>
      <c r="S647" s="14" t="s">
        <v>197</v>
      </c>
      <c r="T647" s="14"/>
      <c r="U647" s="14" t="n">
        <v>2025</v>
      </c>
      <c r="V647" s="12" t="s">
        <v>157</v>
      </c>
      <c r="W647" s="14" t="s">
        <v>3590</v>
      </c>
      <c r="X647" s="15" t="str">
        <f aca="false">IF(OR($S647="%",$R647=""),"",$R647*INDEX(Cambi!$J$2:$J$5,MATCH($S647,Cambi!$I$2:$I$5,0))/IF($T647="EUR",1,INDEX(Cambi!$D:$D,MATCH($T647&amp;"|"&amp;$U647,Cambi!$C:$C,0))))</f>
        <v/>
      </c>
      <c r="Y647" s="12" t="s">
        <v>130</v>
      </c>
      <c r="Z647" s="12" t="s">
        <v>109</v>
      </c>
      <c r="AA647" s="12" t="s">
        <v>3574</v>
      </c>
      <c r="AB647" s="12" t="s">
        <v>3261</v>
      </c>
      <c r="AC647" s="12" t="s">
        <v>395</v>
      </c>
      <c r="AD647" s="12" t="s">
        <v>617</v>
      </c>
      <c r="AE647" s="12" t="s">
        <v>3511</v>
      </c>
      <c r="AF647" s="12" t="s">
        <v>3591</v>
      </c>
      <c r="AG647" s="12" t="s">
        <v>115</v>
      </c>
      <c r="AH647" s="12" t="s">
        <v>116</v>
      </c>
      <c r="AI647" s="12" t="s">
        <v>117</v>
      </c>
      <c r="AJ647" s="12" t="s">
        <v>266</v>
      </c>
      <c r="AK647" s="12" t="s">
        <v>4</v>
      </c>
    </row>
    <row r="648" customFormat="false" ht="15" hidden="false" customHeight="false" outlineLevel="0" collapsed="false">
      <c r="A648" s="11" t="n">
        <v>647</v>
      </c>
      <c r="B648" s="12" t="s">
        <v>3569</v>
      </c>
      <c r="C648" s="12" t="s">
        <v>2850</v>
      </c>
      <c r="D648" s="12" t="s">
        <v>2851</v>
      </c>
      <c r="E648" s="12" t="s">
        <v>759</v>
      </c>
      <c r="F648" s="12" t="s">
        <v>3363</v>
      </c>
      <c r="G648" s="12" t="s">
        <v>1516</v>
      </c>
      <c r="H648" s="12" t="s">
        <v>3570</v>
      </c>
      <c r="I648" s="12" t="s">
        <v>3571</v>
      </c>
      <c r="J648" s="13" t="s">
        <v>3572</v>
      </c>
      <c r="K648" s="12"/>
      <c r="L648" s="12" t="s">
        <v>3486</v>
      </c>
      <c r="M648" s="12" t="s">
        <v>3592</v>
      </c>
      <c r="N648" s="12" t="s">
        <v>352</v>
      </c>
      <c r="O648" s="12" t="s">
        <v>102</v>
      </c>
      <c r="P648" s="12" t="s">
        <v>103</v>
      </c>
      <c r="Q648" s="12" t="s">
        <v>104</v>
      </c>
      <c r="R648" s="14" t="n">
        <v>2.78</v>
      </c>
      <c r="S648" s="14" t="s">
        <v>129</v>
      </c>
      <c r="T648" s="14" t="s">
        <v>106</v>
      </c>
      <c r="U648" s="14" t="n">
        <v>2025</v>
      </c>
      <c r="V648" s="12" t="s">
        <v>157</v>
      </c>
      <c r="W648" s="14" t="s">
        <v>3121</v>
      </c>
      <c r="X648" s="15" t="n">
        <f aca="false">IF(OR($S648="%",$R648=""),"",$R648*INDEX(Cambi!$J$2:$J$5,MATCH($S648,Cambi!$I$2:$I$5,0))/IF($T648="EUR",1,INDEX(Cambi!$D:$D,MATCH($T648&amp;"|"&amp;$U648,Cambi!$C:$C,0))))</f>
        <v>2780</v>
      </c>
      <c r="Y648" s="12" t="s">
        <v>130</v>
      </c>
      <c r="Z648" s="12" t="s">
        <v>109</v>
      </c>
      <c r="AA648" s="12" t="s">
        <v>3574</v>
      </c>
      <c r="AB648" s="12" t="s">
        <v>3261</v>
      </c>
      <c r="AC648" s="12" t="s">
        <v>395</v>
      </c>
      <c r="AD648" s="12" t="s">
        <v>617</v>
      </c>
      <c r="AE648" s="12" t="s">
        <v>3511</v>
      </c>
      <c r="AF648" s="12" t="s">
        <v>3593</v>
      </c>
      <c r="AG648" s="12" t="s">
        <v>115</v>
      </c>
      <c r="AH648" s="12" t="s">
        <v>116</v>
      </c>
      <c r="AI648" s="12" t="s">
        <v>117</v>
      </c>
      <c r="AJ648" s="12" t="s">
        <v>3594</v>
      </c>
      <c r="AK648" s="12" t="s">
        <v>4</v>
      </c>
    </row>
    <row r="649" customFormat="false" ht="15" hidden="false" customHeight="false" outlineLevel="0" collapsed="false">
      <c r="A649" s="11" t="n">
        <v>648</v>
      </c>
      <c r="B649" s="12" t="s">
        <v>3569</v>
      </c>
      <c r="C649" s="12" t="s">
        <v>2850</v>
      </c>
      <c r="D649" s="12" t="s">
        <v>2851</v>
      </c>
      <c r="E649" s="12" t="s">
        <v>759</v>
      </c>
      <c r="F649" s="12" t="s">
        <v>3363</v>
      </c>
      <c r="G649" s="12" t="s">
        <v>1516</v>
      </c>
      <c r="H649" s="12" t="s">
        <v>3570</v>
      </c>
      <c r="I649" s="12" t="s">
        <v>3571</v>
      </c>
      <c r="J649" s="13" t="s">
        <v>3572</v>
      </c>
      <c r="K649" s="12"/>
      <c r="L649" s="12" t="s">
        <v>3595</v>
      </c>
      <c r="M649" s="12" t="s">
        <v>3596</v>
      </c>
      <c r="N649" s="12" t="s">
        <v>352</v>
      </c>
      <c r="O649" s="12" t="s">
        <v>213</v>
      </c>
      <c r="P649" s="12" t="s">
        <v>103</v>
      </c>
      <c r="Q649" s="12" t="s">
        <v>104</v>
      </c>
      <c r="R649" s="14" t="n">
        <v>12</v>
      </c>
      <c r="S649" s="14" t="s">
        <v>197</v>
      </c>
      <c r="T649" s="14"/>
      <c r="U649" s="14" t="n">
        <v>2025</v>
      </c>
      <c r="V649" s="12" t="s">
        <v>157</v>
      </c>
      <c r="W649" s="14" t="s">
        <v>3597</v>
      </c>
      <c r="X649" s="15" t="str">
        <f aca="false">IF(OR($S649="%",$R649=""),"",$R649*INDEX(Cambi!$J$2:$J$5,MATCH($S649,Cambi!$I$2:$I$5,0))/IF($T649="EUR",1,INDEX(Cambi!$D:$D,MATCH($T649&amp;"|"&amp;$U649,Cambi!$C:$C,0))))</f>
        <v/>
      </c>
      <c r="Y649" s="12" t="s">
        <v>130</v>
      </c>
      <c r="Z649" s="12" t="s">
        <v>109</v>
      </c>
      <c r="AA649" s="12" t="s">
        <v>3574</v>
      </c>
      <c r="AB649" s="12" t="s">
        <v>3261</v>
      </c>
      <c r="AC649" s="12" t="s">
        <v>395</v>
      </c>
      <c r="AD649" s="12" t="s">
        <v>617</v>
      </c>
      <c r="AE649" s="12" t="s">
        <v>3511</v>
      </c>
      <c r="AF649" s="12" t="s">
        <v>3598</v>
      </c>
      <c r="AG649" s="12" t="s">
        <v>115</v>
      </c>
      <c r="AH649" s="12" t="s">
        <v>116</v>
      </c>
      <c r="AI649" s="12" t="s">
        <v>117</v>
      </c>
      <c r="AJ649" s="12" t="s">
        <v>3599</v>
      </c>
      <c r="AK649" s="12" t="s">
        <v>4</v>
      </c>
    </row>
    <row r="650" customFormat="false" ht="15" hidden="false" customHeight="false" outlineLevel="0" collapsed="false">
      <c r="A650" s="11" t="n">
        <v>649</v>
      </c>
      <c r="B650" s="12" t="s">
        <v>625</v>
      </c>
      <c r="C650" s="12" t="s">
        <v>2850</v>
      </c>
      <c r="D650" s="12" t="s">
        <v>2851</v>
      </c>
      <c r="E650" s="12" t="s">
        <v>759</v>
      </c>
      <c r="F650" s="12" t="s">
        <v>626</v>
      </c>
      <c r="G650" s="12" t="s">
        <v>95</v>
      </c>
      <c r="H650" s="12" t="s">
        <v>627</v>
      </c>
      <c r="I650" s="12" t="s">
        <v>628</v>
      </c>
      <c r="J650" s="13" t="s">
        <v>629</v>
      </c>
      <c r="K650" s="12" t="s">
        <v>630</v>
      </c>
      <c r="L650" s="12" t="s">
        <v>1110</v>
      </c>
      <c r="M650" s="12" t="s">
        <v>1111</v>
      </c>
      <c r="N650" s="12" t="s">
        <v>101</v>
      </c>
      <c r="O650" s="12" t="s">
        <v>102</v>
      </c>
      <c r="P650" s="12" t="s">
        <v>103</v>
      </c>
      <c r="Q650" s="12" t="s">
        <v>104</v>
      </c>
      <c r="R650" s="14" t="n">
        <v>623</v>
      </c>
      <c r="S650" s="14" t="s">
        <v>105</v>
      </c>
      <c r="T650" s="14" t="s">
        <v>106</v>
      </c>
      <c r="U650" s="14" t="n">
        <v>2026</v>
      </c>
      <c r="V650" s="12" t="s">
        <v>107</v>
      </c>
      <c r="W650" s="14"/>
      <c r="X650" s="15" t="n">
        <f aca="false">IF(OR($S650="%",$R650=""),"",$R650*INDEX(Cambi!$J$2:$J$5,MATCH($S650,Cambi!$I$2:$I$5,0))/IF($T650="EUR",1,INDEX(Cambi!$D:$D,MATCH($T650&amp;"|"&amp;$U650,Cambi!$C:$C,0))))</f>
        <v>623</v>
      </c>
      <c r="Y650" s="12" t="s">
        <v>130</v>
      </c>
      <c r="Z650" s="12" t="s">
        <v>109</v>
      </c>
      <c r="AA650" s="12" t="s">
        <v>633</v>
      </c>
      <c r="AB650" s="16" t="s">
        <v>110</v>
      </c>
      <c r="AC650" s="16" t="s">
        <v>634</v>
      </c>
      <c r="AD650" s="12" t="s">
        <v>281</v>
      </c>
      <c r="AE650" s="12" t="s">
        <v>635</v>
      </c>
      <c r="AF650" s="12" t="s">
        <v>3600</v>
      </c>
      <c r="AG650" s="12" t="s">
        <v>115</v>
      </c>
      <c r="AH650" s="12" t="s">
        <v>116</v>
      </c>
      <c r="AI650" s="12" t="s">
        <v>285</v>
      </c>
      <c r="AJ650" s="12" t="s">
        <v>1113</v>
      </c>
      <c r="AK650" s="12" t="s">
        <v>4</v>
      </c>
    </row>
    <row r="651" customFormat="false" ht="15" hidden="false" customHeight="false" outlineLevel="0" collapsed="false">
      <c r="A651" s="11" t="n">
        <v>650</v>
      </c>
      <c r="B651" s="12" t="s">
        <v>3601</v>
      </c>
      <c r="C651" s="12" t="s">
        <v>2850</v>
      </c>
      <c r="D651" s="12" t="s">
        <v>2851</v>
      </c>
      <c r="E651" s="12" t="s">
        <v>759</v>
      </c>
      <c r="F651" s="12" t="s">
        <v>3602</v>
      </c>
      <c r="G651" s="12" t="s">
        <v>830</v>
      </c>
      <c r="H651" s="12" t="s">
        <v>3603</v>
      </c>
      <c r="I651" s="12" t="s">
        <v>3604</v>
      </c>
      <c r="J651" s="13" t="s">
        <v>3605</v>
      </c>
      <c r="K651" s="12"/>
      <c r="L651" s="12" t="s">
        <v>3606</v>
      </c>
      <c r="M651" s="12" t="s">
        <v>3607</v>
      </c>
      <c r="N651" s="12" t="s">
        <v>352</v>
      </c>
      <c r="O651" s="12" t="s">
        <v>102</v>
      </c>
      <c r="P651" s="12" t="s">
        <v>103</v>
      </c>
      <c r="Q651" s="12" t="s">
        <v>104</v>
      </c>
      <c r="R651" s="14" t="n">
        <v>3.5</v>
      </c>
      <c r="S651" s="14" t="s">
        <v>129</v>
      </c>
      <c r="T651" s="14" t="s">
        <v>106</v>
      </c>
      <c r="U651" s="14" t="n">
        <v>2029</v>
      </c>
      <c r="V651" s="12" t="s">
        <v>107</v>
      </c>
      <c r="W651" s="14"/>
      <c r="X651" s="15" t="n">
        <f aca="false">IF(OR($S651="%",$R651=""),"",$R651*INDEX(Cambi!$J$2:$J$5,MATCH($S651,Cambi!$I$2:$I$5,0))/IF($T651="EUR",1,INDEX(Cambi!$D:$D,MATCH($T651&amp;"|"&amp;$U651,Cambi!$C:$C,0))))</f>
        <v>3500</v>
      </c>
      <c r="Y651" s="12" t="s">
        <v>654</v>
      </c>
      <c r="Z651" s="12" t="s">
        <v>109</v>
      </c>
      <c r="AA651" s="12" t="s">
        <v>1301</v>
      </c>
      <c r="AB651" s="12" t="s">
        <v>679</v>
      </c>
      <c r="AC651" s="12" t="s">
        <v>395</v>
      </c>
      <c r="AD651" s="12" t="s">
        <v>201</v>
      </c>
      <c r="AE651" s="12" t="s">
        <v>3608</v>
      </c>
      <c r="AF651" s="12" t="s">
        <v>3609</v>
      </c>
      <c r="AG651" s="12" t="s">
        <v>498</v>
      </c>
      <c r="AH651" s="12" t="s">
        <v>838</v>
      </c>
      <c r="AI651" s="12" t="s">
        <v>117</v>
      </c>
      <c r="AJ651" s="12" t="s">
        <v>3610</v>
      </c>
      <c r="AK651" s="12" t="s">
        <v>4</v>
      </c>
    </row>
    <row r="652" customFormat="false" ht="15" hidden="false" customHeight="false" outlineLevel="0" collapsed="false">
      <c r="A652" s="11" t="n">
        <v>651</v>
      </c>
      <c r="B652" s="12" t="s">
        <v>3611</v>
      </c>
      <c r="C652" s="12" t="s">
        <v>3612</v>
      </c>
      <c r="D652" s="12" t="s">
        <v>3613</v>
      </c>
      <c r="E652" s="12" t="s">
        <v>759</v>
      </c>
      <c r="F652" s="12" t="s">
        <v>3614</v>
      </c>
      <c r="G652" s="12" t="s">
        <v>771</v>
      </c>
      <c r="H652" s="12" t="s">
        <v>3615</v>
      </c>
      <c r="I652" s="12" t="s">
        <v>3616</v>
      </c>
      <c r="J652" s="13" t="s">
        <v>3617</v>
      </c>
      <c r="K652" s="12"/>
      <c r="L652" s="12" t="s">
        <v>3618</v>
      </c>
      <c r="M652" s="12" t="s">
        <v>3619</v>
      </c>
      <c r="N652" s="12" t="s">
        <v>101</v>
      </c>
      <c r="O652" s="12" t="s">
        <v>102</v>
      </c>
      <c r="P652" s="12" t="s">
        <v>103</v>
      </c>
      <c r="Q652" s="12" t="s">
        <v>104</v>
      </c>
      <c r="R652" s="14" t="n">
        <v>4031872</v>
      </c>
      <c r="S652" s="14" t="s">
        <v>432</v>
      </c>
      <c r="T652" s="14" t="s">
        <v>106</v>
      </c>
      <c r="U652" s="14" t="n">
        <v>2023</v>
      </c>
      <c r="V652" s="12" t="s">
        <v>157</v>
      </c>
      <c r="W652" s="14"/>
      <c r="X652" s="15" t="n">
        <f aca="false">IF(OR($S652="%",$R652=""),"",$R652*INDEX(Cambi!$J$2:$J$5,MATCH($S652,Cambi!$I$2:$I$5,0))/IF($T652="EUR",1,INDEX(Cambi!$D:$D,MATCH($T652&amp;"|"&amp;$U652,Cambi!$C:$C,0))))</f>
        <v>4.031872</v>
      </c>
      <c r="Y652" s="12" t="s">
        <v>654</v>
      </c>
      <c r="Z652" s="12" t="s">
        <v>109</v>
      </c>
      <c r="AA652" s="12" t="s">
        <v>109</v>
      </c>
      <c r="AB652" s="16" t="s">
        <v>394</v>
      </c>
      <c r="AC652" s="16" t="s">
        <v>1438</v>
      </c>
      <c r="AD652" s="12" t="s">
        <v>112</v>
      </c>
      <c r="AE652" s="12" t="s">
        <v>3620</v>
      </c>
      <c r="AF652" s="12" t="s">
        <v>3621</v>
      </c>
      <c r="AG652" s="12" t="s">
        <v>115</v>
      </c>
      <c r="AH652" s="12" t="s">
        <v>116</v>
      </c>
      <c r="AI652" s="12" t="s">
        <v>117</v>
      </c>
      <c r="AJ652" s="12" t="s">
        <v>3622</v>
      </c>
      <c r="AK652" s="12" t="s">
        <v>4</v>
      </c>
    </row>
    <row r="653" customFormat="false" ht="15" hidden="false" customHeight="false" outlineLevel="0" collapsed="false">
      <c r="A653" s="11" t="n">
        <v>652</v>
      </c>
      <c r="B653" s="12" t="s">
        <v>3611</v>
      </c>
      <c r="C653" s="12" t="s">
        <v>3612</v>
      </c>
      <c r="D653" s="12" t="s">
        <v>3613</v>
      </c>
      <c r="E653" s="12" t="s">
        <v>759</v>
      </c>
      <c r="F653" s="12" t="s">
        <v>3614</v>
      </c>
      <c r="G653" s="12" t="s">
        <v>771</v>
      </c>
      <c r="H653" s="12" t="s">
        <v>3615</v>
      </c>
      <c r="I653" s="12" t="s">
        <v>3616</v>
      </c>
      <c r="J653" s="13" t="s">
        <v>3617</v>
      </c>
      <c r="K653" s="12"/>
      <c r="L653" s="12" t="s">
        <v>3618</v>
      </c>
      <c r="M653" s="12" t="s">
        <v>3619</v>
      </c>
      <c r="N653" s="12" t="s">
        <v>101</v>
      </c>
      <c r="O653" s="12" t="s">
        <v>102</v>
      </c>
      <c r="P653" s="12" t="s">
        <v>103</v>
      </c>
      <c r="Q653" s="12" t="s">
        <v>104</v>
      </c>
      <c r="R653" s="14" t="n">
        <v>5210269</v>
      </c>
      <c r="S653" s="14" t="s">
        <v>432</v>
      </c>
      <c r="T653" s="14" t="s">
        <v>106</v>
      </c>
      <c r="U653" s="14" t="n">
        <v>2024</v>
      </c>
      <c r="V653" s="12" t="s">
        <v>157</v>
      </c>
      <c r="W653" s="14"/>
      <c r="X653" s="15" t="n">
        <f aca="false">IF(OR($S653="%",$R653=""),"",$R653*INDEX(Cambi!$J$2:$J$5,MATCH($S653,Cambi!$I$2:$I$5,0))/IF($T653="EUR",1,INDEX(Cambi!$D:$D,MATCH($T653&amp;"|"&amp;$U653,Cambi!$C:$C,0))))</f>
        <v>5.210269</v>
      </c>
      <c r="Y653" s="12" t="s">
        <v>654</v>
      </c>
      <c r="Z653" s="12" t="s">
        <v>109</v>
      </c>
      <c r="AA653" s="12" t="s">
        <v>109</v>
      </c>
      <c r="AB653" s="16" t="s">
        <v>394</v>
      </c>
      <c r="AC653" s="16" t="s">
        <v>1438</v>
      </c>
      <c r="AD653" s="12" t="s">
        <v>112</v>
      </c>
      <c r="AE653" s="12" t="s">
        <v>3620</v>
      </c>
      <c r="AF653" s="12" t="s">
        <v>3621</v>
      </c>
      <c r="AG653" s="12" t="s">
        <v>115</v>
      </c>
      <c r="AH653" s="12" t="s">
        <v>116</v>
      </c>
      <c r="AI653" s="12" t="s">
        <v>117</v>
      </c>
      <c r="AJ653" s="12" t="s">
        <v>3622</v>
      </c>
      <c r="AK653" s="12" t="s">
        <v>4</v>
      </c>
    </row>
    <row r="654" customFormat="false" ht="15" hidden="false" customHeight="false" outlineLevel="0" collapsed="false">
      <c r="A654" s="11" t="n">
        <v>653</v>
      </c>
      <c r="B654" s="12" t="s">
        <v>3611</v>
      </c>
      <c r="C654" s="12" t="s">
        <v>3612</v>
      </c>
      <c r="D654" s="12" t="s">
        <v>3613</v>
      </c>
      <c r="E654" s="12" t="s">
        <v>759</v>
      </c>
      <c r="F654" s="12" t="s">
        <v>3614</v>
      </c>
      <c r="G654" s="12" t="s">
        <v>771</v>
      </c>
      <c r="H654" s="12" t="s">
        <v>3615</v>
      </c>
      <c r="I654" s="12" t="s">
        <v>3616</v>
      </c>
      <c r="J654" s="13" t="s">
        <v>3617</v>
      </c>
      <c r="K654" s="12"/>
      <c r="L654" s="12" t="s">
        <v>3618</v>
      </c>
      <c r="M654" s="12" t="s">
        <v>3619</v>
      </c>
      <c r="N654" s="12" t="s">
        <v>101</v>
      </c>
      <c r="O654" s="12" t="s">
        <v>102</v>
      </c>
      <c r="P654" s="12" t="s">
        <v>103</v>
      </c>
      <c r="Q654" s="12" t="s">
        <v>104</v>
      </c>
      <c r="R654" s="14" t="n">
        <v>5611654</v>
      </c>
      <c r="S654" s="14" t="s">
        <v>432</v>
      </c>
      <c r="T654" s="14" t="s">
        <v>106</v>
      </c>
      <c r="U654" s="14" t="n">
        <v>2025</v>
      </c>
      <c r="V654" s="12" t="s">
        <v>157</v>
      </c>
      <c r="W654" s="14"/>
      <c r="X654" s="15" t="n">
        <f aca="false">IF(OR($S654="%",$R654=""),"",$R654*INDEX(Cambi!$J$2:$J$5,MATCH($S654,Cambi!$I$2:$I$5,0))/IF($T654="EUR",1,INDEX(Cambi!$D:$D,MATCH($T654&amp;"|"&amp;$U654,Cambi!$C:$C,0))))</f>
        <v>5.611654</v>
      </c>
      <c r="Y654" s="12" t="s">
        <v>654</v>
      </c>
      <c r="Z654" s="12" t="s">
        <v>109</v>
      </c>
      <c r="AA654" s="12" t="s">
        <v>109</v>
      </c>
      <c r="AB654" s="16" t="s">
        <v>394</v>
      </c>
      <c r="AC654" s="16" t="s">
        <v>1438</v>
      </c>
      <c r="AD654" s="12" t="s">
        <v>112</v>
      </c>
      <c r="AE654" s="12" t="s">
        <v>3620</v>
      </c>
      <c r="AF654" s="12" t="s">
        <v>3621</v>
      </c>
      <c r="AG654" s="12" t="s">
        <v>115</v>
      </c>
      <c r="AH654" s="12" t="s">
        <v>116</v>
      </c>
      <c r="AI654" s="12" t="s">
        <v>117</v>
      </c>
      <c r="AJ654" s="12" t="s">
        <v>3623</v>
      </c>
      <c r="AK654" s="12" t="s">
        <v>4</v>
      </c>
    </row>
    <row r="655" customFormat="false" ht="15" hidden="false" customHeight="false" outlineLevel="0" collapsed="false">
      <c r="A655" s="11" t="n">
        <v>654</v>
      </c>
      <c r="B655" s="12" t="s">
        <v>3611</v>
      </c>
      <c r="C655" s="12" t="s">
        <v>3612</v>
      </c>
      <c r="D655" s="12" t="s">
        <v>3613</v>
      </c>
      <c r="E655" s="12" t="s">
        <v>759</v>
      </c>
      <c r="F655" s="12" t="s">
        <v>3614</v>
      </c>
      <c r="G655" s="12" t="s">
        <v>771</v>
      </c>
      <c r="H655" s="12" t="s">
        <v>3615</v>
      </c>
      <c r="I655" s="12" t="s">
        <v>3616</v>
      </c>
      <c r="J655" s="13" t="s">
        <v>3617</v>
      </c>
      <c r="K655" s="12"/>
      <c r="L655" s="12" t="s">
        <v>3618</v>
      </c>
      <c r="M655" s="12" t="s">
        <v>3619</v>
      </c>
      <c r="N655" s="12" t="s">
        <v>101</v>
      </c>
      <c r="O655" s="12" t="s">
        <v>102</v>
      </c>
      <c r="P655" s="12" t="s">
        <v>103</v>
      </c>
      <c r="Q655" s="12" t="s">
        <v>104</v>
      </c>
      <c r="R655" s="14" t="n">
        <v>5611654</v>
      </c>
      <c r="S655" s="14" t="s">
        <v>432</v>
      </c>
      <c r="T655" s="14" t="s">
        <v>106</v>
      </c>
      <c r="U655" s="14" t="n">
        <v>2026</v>
      </c>
      <c r="V655" s="12" t="s">
        <v>198</v>
      </c>
      <c r="W655" s="14"/>
      <c r="X655" s="15" t="n">
        <f aca="false">IF(OR($S655="%",$R655=""),"",$R655*INDEX(Cambi!$J$2:$J$5,MATCH($S655,Cambi!$I$2:$I$5,0))/IF($T655="EUR",1,INDEX(Cambi!$D:$D,MATCH($T655&amp;"|"&amp;$U655,Cambi!$C:$C,0))))</f>
        <v>5.611654</v>
      </c>
      <c r="Y655" s="12" t="s">
        <v>654</v>
      </c>
      <c r="Z655" s="12" t="s">
        <v>109</v>
      </c>
      <c r="AA655" s="12" t="s">
        <v>109</v>
      </c>
      <c r="AB655" s="16" t="s">
        <v>394</v>
      </c>
      <c r="AC655" s="16" t="s">
        <v>1438</v>
      </c>
      <c r="AD655" s="12" t="s">
        <v>112</v>
      </c>
      <c r="AE655" s="12" t="s">
        <v>3620</v>
      </c>
      <c r="AF655" s="12" t="s">
        <v>3621</v>
      </c>
      <c r="AG655" s="12" t="s">
        <v>115</v>
      </c>
      <c r="AH655" s="12" t="s">
        <v>116</v>
      </c>
      <c r="AI655" s="12" t="s">
        <v>117</v>
      </c>
      <c r="AJ655" s="12" t="s">
        <v>3622</v>
      </c>
      <c r="AK655" s="12" t="s">
        <v>4</v>
      </c>
    </row>
    <row r="656" customFormat="false" ht="15" hidden="false" customHeight="false" outlineLevel="0" collapsed="false">
      <c r="A656" s="11" t="n">
        <v>655</v>
      </c>
      <c r="B656" s="12" t="s">
        <v>3611</v>
      </c>
      <c r="C656" s="12" t="s">
        <v>3612</v>
      </c>
      <c r="D656" s="12" t="s">
        <v>3613</v>
      </c>
      <c r="E656" s="12" t="s">
        <v>759</v>
      </c>
      <c r="F656" s="12" t="s">
        <v>3614</v>
      </c>
      <c r="G656" s="12" t="s">
        <v>771</v>
      </c>
      <c r="H656" s="12" t="s">
        <v>3615</v>
      </c>
      <c r="I656" s="12" t="s">
        <v>3616</v>
      </c>
      <c r="J656" s="13" t="s">
        <v>3617</v>
      </c>
      <c r="K656" s="12"/>
      <c r="L656" s="12" t="s">
        <v>3624</v>
      </c>
      <c r="M656" s="12" t="s">
        <v>3625</v>
      </c>
      <c r="N656" s="12" t="s">
        <v>101</v>
      </c>
      <c r="O656" s="12" t="s">
        <v>102</v>
      </c>
      <c r="P656" s="12" t="s">
        <v>103</v>
      </c>
      <c r="Q656" s="12" t="s">
        <v>104</v>
      </c>
      <c r="R656" s="14" t="n">
        <v>20465449</v>
      </c>
      <c r="S656" s="14" t="s">
        <v>432</v>
      </c>
      <c r="T656" s="14" t="s">
        <v>106</v>
      </c>
      <c r="U656" s="14" t="n">
        <v>2026</v>
      </c>
      <c r="V656" s="12" t="s">
        <v>198</v>
      </c>
      <c r="W656" s="14"/>
      <c r="X656" s="15" t="n">
        <f aca="false">IF(OR($S656="%",$R656=""),"",$R656*INDEX(Cambi!$J$2:$J$5,MATCH($S656,Cambi!$I$2:$I$5,0))/IF($T656="EUR",1,INDEX(Cambi!$D:$D,MATCH($T656&amp;"|"&amp;$U656,Cambi!$C:$C,0))))</f>
        <v>20.465449</v>
      </c>
      <c r="Y656" s="12" t="s">
        <v>654</v>
      </c>
      <c r="Z656" s="12" t="s">
        <v>109</v>
      </c>
      <c r="AA656" s="12" t="s">
        <v>109</v>
      </c>
      <c r="AB656" s="16" t="s">
        <v>394</v>
      </c>
      <c r="AC656" s="16" t="s">
        <v>1438</v>
      </c>
      <c r="AD656" s="12" t="s">
        <v>112</v>
      </c>
      <c r="AE656" s="12" t="s">
        <v>3620</v>
      </c>
      <c r="AF656" s="12" t="s">
        <v>3626</v>
      </c>
      <c r="AG656" s="12" t="s">
        <v>115</v>
      </c>
      <c r="AH656" s="12" t="s">
        <v>116</v>
      </c>
      <c r="AI656" s="12" t="s">
        <v>117</v>
      </c>
      <c r="AJ656" s="12" t="s">
        <v>3627</v>
      </c>
      <c r="AK656" s="12" t="s">
        <v>4</v>
      </c>
    </row>
    <row r="657" customFormat="false" ht="15" hidden="false" customHeight="false" outlineLevel="0" collapsed="false">
      <c r="A657" s="11" t="n">
        <v>656</v>
      </c>
      <c r="B657" s="12" t="s">
        <v>3628</v>
      </c>
      <c r="C657" s="12" t="s">
        <v>3612</v>
      </c>
      <c r="D657" s="12" t="s">
        <v>3613</v>
      </c>
      <c r="E657" s="12" t="s">
        <v>759</v>
      </c>
      <c r="F657" s="12" t="s">
        <v>3629</v>
      </c>
      <c r="G657" s="12" t="s">
        <v>771</v>
      </c>
      <c r="H657" s="12" t="s">
        <v>3630</v>
      </c>
      <c r="I657" s="12" t="s">
        <v>3631</v>
      </c>
      <c r="J657" s="13" t="s">
        <v>3632</v>
      </c>
      <c r="K657" s="12"/>
      <c r="L657" s="12" t="s">
        <v>3633</v>
      </c>
      <c r="M657" s="12" t="s">
        <v>3634</v>
      </c>
      <c r="N657" s="12" t="s">
        <v>101</v>
      </c>
      <c r="O657" s="12" t="s">
        <v>102</v>
      </c>
      <c r="P657" s="12" t="s">
        <v>103</v>
      </c>
      <c r="Q657" s="12" t="s">
        <v>104</v>
      </c>
      <c r="R657" s="14" t="n">
        <v>33.3</v>
      </c>
      <c r="S657" s="14" t="s">
        <v>105</v>
      </c>
      <c r="T657" s="14" t="s">
        <v>106</v>
      </c>
      <c r="U657" s="14" t="n">
        <v>2025</v>
      </c>
      <c r="V657" s="12" t="s">
        <v>157</v>
      </c>
      <c r="W657" s="14"/>
      <c r="X657" s="15" t="n">
        <f aca="false">IF(OR($S657="%",$R657=""),"",$R657*INDEX(Cambi!$J$2:$J$5,MATCH($S657,Cambi!$I$2:$I$5,0))/IF($T657="EUR",1,INDEX(Cambi!$D:$D,MATCH($T657&amp;"|"&amp;$U657,Cambi!$C:$C,0))))</f>
        <v>33.3</v>
      </c>
      <c r="Y657" s="12" t="s">
        <v>108</v>
      </c>
      <c r="Z657" s="12" t="s">
        <v>109</v>
      </c>
      <c r="AA657" s="12" t="s">
        <v>109</v>
      </c>
      <c r="AB657" s="16" t="s">
        <v>394</v>
      </c>
      <c r="AC657" s="16" t="s">
        <v>1438</v>
      </c>
      <c r="AD657" s="12" t="s">
        <v>112</v>
      </c>
      <c r="AE657" s="12" t="s">
        <v>3635</v>
      </c>
      <c r="AF657" s="12" t="s">
        <v>3636</v>
      </c>
      <c r="AG657" s="12" t="s">
        <v>115</v>
      </c>
      <c r="AH657" s="12" t="s">
        <v>116</v>
      </c>
      <c r="AI657" s="12" t="s">
        <v>117</v>
      </c>
      <c r="AJ657" s="12" t="s">
        <v>3637</v>
      </c>
      <c r="AK657" s="12" t="s">
        <v>4</v>
      </c>
    </row>
    <row r="658" customFormat="false" ht="15" hidden="false" customHeight="false" outlineLevel="0" collapsed="false">
      <c r="A658" s="11" t="n">
        <v>657</v>
      </c>
      <c r="B658" s="12" t="s">
        <v>3638</v>
      </c>
      <c r="C658" s="12" t="s">
        <v>3612</v>
      </c>
      <c r="D658" s="12" t="s">
        <v>3613</v>
      </c>
      <c r="E658" s="12" t="s">
        <v>759</v>
      </c>
      <c r="F658" s="12" t="s">
        <v>3639</v>
      </c>
      <c r="G658" s="12" t="s">
        <v>771</v>
      </c>
      <c r="H658" s="12" t="s">
        <v>3640</v>
      </c>
      <c r="I658" s="12" t="s">
        <v>3641</v>
      </c>
      <c r="J658" s="13" t="s">
        <v>3642</v>
      </c>
      <c r="K658" s="12"/>
      <c r="L658" s="12" t="s">
        <v>3643</v>
      </c>
      <c r="M658" s="12" t="s">
        <v>3644</v>
      </c>
      <c r="N658" s="12" t="s">
        <v>101</v>
      </c>
      <c r="O658" s="12" t="s">
        <v>102</v>
      </c>
      <c r="P658" s="12" t="s">
        <v>103</v>
      </c>
      <c r="Q658" s="12" t="s">
        <v>104</v>
      </c>
      <c r="R658" s="14" t="n">
        <v>2.5</v>
      </c>
      <c r="S658" s="14" t="s">
        <v>105</v>
      </c>
      <c r="T658" s="14" t="s">
        <v>106</v>
      </c>
      <c r="U658" s="14" t="n">
        <v>2026</v>
      </c>
      <c r="V658" s="12" t="s">
        <v>198</v>
      </c>
      <c r="W658" s="14"/>
      <c r="X658" s="15" t="n">
        <f aca="false">IF(OR($S658="%",$R658=""),"",$R658*INDEX(Cambi!$J$2:$J$5,MATCH($S658,Cambi!$I$2:$I$5,0))/IF($T658="EUR",1,INDEX(Cambi!$D:$D,MATCH($T658&amp;"|"&amp;$U658,Cambi!$C:$C,0))))</f>
        <v>2.5</v>
      </c>
      <c r="Y658" s="12" t="s">
        <v>108</v>
      </c>
      <c r="Z658" s="12" t="s">
        <v>109</v>
      </c>
      <c r="AA658" s="12" t="s">
        <v>109</v>
      </c>
      <c r="AB658" s="16" t="s">
        <v>394</v>
      </c>
      <c r="AC658" s="16" t="s">
        <v>1438</v>
      </c>
      <c r="AD658" s="12" t="s">
        <v>112</v>
      </c>
      <c r="AE658" s="12" t="s">
        <v>1196</v>
      </c>
      <c r="AF658" s="12" t="s">
        <v>3645</v>
      </c>
      <c r="AG658" s="12" t="s">
        <v>284</v>
      </c>
      <c r="AH658" s="12" t="s">
        <v>116</v>
      </c>
      <c r="AI658" s="12" t="s">
        <v>117</v>
      </c>
      <c r="AJ658" s="12" t="s">
        <v>3646</v>
      </c>
      <c r="AK658" s="12" t="s">
        <v>4</v>
      </c>
    </row>
    <row r="659" customFormat="false" ht="15" hidden="false" customHeight="false" outlineLevel="0" collapsed="false">
      <c r="A659" s="11" t="n">
        <v>658</v>
      </c>
      <c r="B659" s="12" t="s">
        <v>3647</v>
      </c>
      <c r="C659" s="12" t="s">
        <v>3648</v>
      </c>
      <c r="D659" s="12" t="s">
        <v>3649</v>
      </c>
      <c r="E659" s="12" t="s">
        <v>759</v>
      </c>
      <c r="F659" s="12" t="s">
        <v>3650</v>
      </c>
      <c r="G659" s="12" t="s">
        <v>771</v>
      </c>
      <c r="H659" s="12" t="s">
        <v>3651</v>
      </c>
      <c r="I659" s="12" t="s">
        <v>3652</v>
      </c>
      <c r="J659" s="13" t="s">
        <v>3653</v>
      </c>
      <c r="K659" s="12"/>
      <c r="L659" s="12" t="s">
        <v>3654</v>
      </c>
      <c r="M659" s="12" t="s">
        <v>3655</v>
      </c>
      <c r="N659" s="12" t="s">
        <v>101</v>
      </c>
      <c r="O659" s="12" t="s">
        <v>102</v>
      </c>
      <c r="P659" s="12" t="s">
        <v>103</v>
      </c>
      <c r="Q659" s="12" t="s">
        <v>104</v>
      </c>
      <c r="R659" s="14" t="n">
        <v>3.7</v>
      </c>
      <c r="S659" s="14" t="s">
        <v>105</v>
      </c>
      <c r="T659" s="14" t="s">
        <v>106</v>
      </c>
      <c r="U659" s="14" t="n">
        <v>2027</v>
      </c>
      <c r="V659" s="12" t="s">
        <v>107</v>
      </c>
      <c r="W659" s="14"/>
      <c r="X659" s="15" t="n">
        <f aca="false">IF(OR($S659="%",$R659=""),"",$R659*INDEX(Cambi!$J$2:$J$5,MATCH($S659,Cambi!$I$2:$I$5,0))/IF($T659="EUR",1,INDEX(Cambi!$D:$D,MATCH($T659&amp;"|"&amp;$U659,Cambi!$C:$C,0))))</f>
        <v>3.7</v>
      </c>
      <c r="Y659" s="12" t="s">
        <v>130</v>
      </c>
      <c r="Z659" s="12" t="s">
        <v>109</v>
      </c>
      <c r="AA659" s="12" t="s">
        <v>109</v>
      </c>
      <c r="AB659" s="16" t="s">
        <v>394</v>
      </c>
      <c r="AC659" s="16" t="s">
        <v>1438</v>
      </c>
      <c r="AD659" s="12" t="s">
        <v>112</v>
      </c>
      <c r="AE659" s="12" t="s">
        <v>3656</v>
      </c>
      <c r="AF659" s="12" t="s">
        <v>3657</v>
      </c>
      <c r="AG659" s="12" t="s">
        <v>115</v>
      </c>
      <c r="AH659" s="12" t="s">
        <v>116</v>
      </c>
      <c r="AI659" s="12" t="s">
        <v>117</v>
      </c>
      <c r="AJ659" s="12" t="s">
        <v>3658</v>
      </c>
      <c r="AK659" s="12" t="s">
        <v>4</v>
      </c>
    </row>
    <row r="660" customFormat="false" ht="15" hidden="false" customHeight="false" outlineLevel="0" collapsed="false">
      <c r="A660" s="11" t="n">
        <v>659</v>
      </c>
      <c r="B660" s="12" t="s">
        <v>3647</v>
      </c>
      <c r="C660" s="12" t="s">
        <v>3648</v>
      </c>
      <c r="D660" s="12" t="s">
        <v>3649</v>
      </c>
      <c r="E660" s="12" t="s">
        <v>759</v>
      </c>
      <c r="F660" s="12" t="s">
        <v>3650</v>
      </c>
      <c r="G660" s="12" t="s">
        <v>771</v>
      </c>
      <c r="H660" s="12" t="s">
        <v>3651</v>
      </c>
      <c r="I660" s="12" t="s">
        <v>3652</v>
      </c>
      <c r="J660" s="13" t="s">
        <v>3653</v>
      </c>
      <c r="K660" s="12"/>
      <c r="L660" s="12" t="s">
        <v>3659</v>
      </c>
      <c r="M660" s="12" t="s">
        <v>3660</v>
      </c>
      <c r="N660" s="12" t="s">
        <v>101</v>
      </c>
      <c r="O660" s="12" t="s">
        <v>102</v>
      </c>
      <c r="P660" s="12" t="s">
        <v>103</v>
      </c>
      <c r="Q660" s="12" t="s">
        <v>104</v>
      </c>
      <c r="R660" s="14" t="n">
        <v>40.15</v>
      </c>
      <c r="S660" s="14" t="s">
        <v>105</v>
      </c>
      <c r="T660" s="14" t="s">
        <v>106</v>
      </c>
      <c r="U660" s="14" t="n">
        <v>2030</v>
      </c>
      <c r="V660" s="12" t="s">
        <v>107</v>
      </c>
      <c r="W660" s="14"/>
      <c r="X660" s="15" t="n">
        <f aca="false">IF(OR($S660="%",$R660=""),"",$R660*INDEX(Cambi!$J$2:$J$5,MATCH($S660,Cambi!$I$2:$I$5,0))/IF($T660="EUR",1,INDEX(Cambi!$D:$D,MATCH($T660&amp;"|"&amp;$U660,Cambi!$C:$C,0))))</f>
        <v>40.15</v>
      </c>
      <c r="Y660" s="12" t="s">
        <v>130</v>
      </c>
      <c r="Z660" s="12" t="s">
        <v>109</v>
      </c>
      <c r="AA660" s="12" t="s">
        <v>109</v>
      </c>
      <c r="AB660" s="16" t="s">
        <v>394</v>
      </c>
      <c r="AC660" s="16" t="s">
        <v>1438</v>
      </c>
      <c r="AD660" s="12" t="s">
        <v>112</v>
      </c>
      <c r="AE660" s="12" t="s">
        <v>3656</v>
      </c>
      <c r="AF660" s="12" t="s">
        <v>3661</v>
      </c>
      <c r="AG660" s="12" t="s">
        <v>115</v>
      </c>
      <c r="AH660" s="12" t="s">
        <v>116</v>
      </c>
      <c r="AI660" s="12" t="s">
        <v>117</v>
      </c>
      <c r="AJ660" s="12" t="s">
        <v>3662</v>
      </c>
      <c r="AK660" s="12" t="s">
        <v>4</v>
      </c>
    </row>
    <row r="661" customFormat="false" ht="15" hidden="false" customHeight="false" outlineLevel="0" collapsed="false">
      <c r="A661" s="11" t="n">
        <v>660</v>
      </c>
      <c r="B661" s="12" t="s">
        <v>3663</v>
      </c>
      <c r="C661" s="12" t="s">
        <v>3648</v>
      </c>
      <c r="D661" s="12" t="s">
        <v>3649</v>
      </c>
      <c r="E661" s="12" t="s">
        <v>759</v>
      </c>
      <c r="F661" s="12" t="s">
        <v>3650</v>
      </c>
      <c r="G661" s="12" t="s">
        <v>771</v>
      </c>
      <c r="H661" s="12" t="s">
        <v>3664</v>
      </c>
      <c r="I661" s="12" t="s">
        <v>3665</v>
      </c>
      <c r="J661" s="13" t="s">
        <v>3666</v>
      </c>
      <c r="K661" s="12"/>
      <c r="L661" s="12" t="s">
        <v>3667</v>
      </c>
      <c r="M661" s="12" t="s">
        <v>3668</v>
      </c>
      <c r="N661" s="12" t="s">
        <v>101</v>
      </c>
      <c r="O661" s="12" t="s">
        <v>102</v>
      </c>
      <c r="P661" s="12" t="s">
        <v>103</v>
      </c>
      <c r="Q661" s="12" t="s">
        <v>104</v>
      </c>
      <c r="R661" s="14" t="n">
        <v>540000</v>
      </c>
      <c r="S661" s="14" t="s">
        <v>432</v>
      </c>
      <c r="T661" s="14" t="s">
        <v>106</v>
      </c>
      <c r="U661" s="14" t="n">
        <v>2025</v>
      </c>
      <c r="V661" s="12" t="s">
        <v>157</v>
      </c>
      <c r="W661" s="14"/>
      <c r="X661" s="15" t="n">
        <f aca="false">IF(OR($S661="%",$R661=""),"",$R661*INDEX(Cambi!$J$2:$J$5,MATCH($S661,Cambi!$I$2:$I$5,0))/IF($T661="EUR",1,INDEX(Cambi!$D:$D,MATCH($T661&amp;"|"&amp;$U661,Cambi!$C:$C,0))))</f>
        <v>0.54</v>
      </c>
      <c r="Y661" s="12" t="s">
        <v>239</v>
      </c>
      <c r="Z661" s="12" t="s">
        <v>109</v>
      </c>
      <c r="AA661" s="12" t="s">
        <v>109</v>
      </c>
      <c r="AB661" s="16" t="s">
        <v>394</v>
      </c>
      <c r="AC661" s="16" t="s">
        <v>1438</v>
      </c>
      <c r="AD661" s="12" t="s">
        <v>112</v>
      </c>
      <c r="AE661" s="12" t="s">
        <v>3669</v>
      </c>
      <c r="AF661" s="12" t="s">
        <v>3670</v>
      </c>
      <c r="AG661" s="12" t="s">
        <v>407</v>
      </c>
      <c r="AH661" s="12" t="s">
        <v>116</v>
      </c>
      <c r="AI661" s="12" t="s">
        <v>117</v>
      </c>
      <c r="AJ661" s="12" t="s">
        <v>3671</v>
      </c>
      <c r="AK661" s="12" t="s">
        <v>4</v>
      </c>
    </row>
    <row r="662" customFormat="false" ht="15" hidden="false" customHeight="false" outlineLevel="0" collapsed="false">
      <c r="A662" s="11" t="n">
        <v>661</v>
      </c>
      <c r="B662" s="12" t="s">
        <v>3672</v>
      </c>
      <c r="C662" s="12" t="s">
        <v>3648</v>
      </c>
      <c r="D662" s="12" t="s">
        <v>3649</v>
      </c>
      <c r="E662" s="12" t="s">
        <v>759</v>
      </c>
      <c r="F662" s="12" t="s">
        <v>3673</v>
      </c>
      <c r="G662" s="12" t="s">
        <v>771</v>
      </c>
      <c r="H662" s="12" t="s">
        <v>3674</v>
      </c>
      <c r="I662" s="12" t="s">
        <v>294</v>
      </c>
      <c r="J662" s="13" t="s">
        <v>3675</v>
      </c>
      <c r="K662" s="12"/>
      <c r="L662" s="12" t="s">
        <v>3676</v>
      </c>
      <c r="M662" s="12" t="s">
        <v>3677</v>
      </c>
      <c r="N662" s="12" t="s">
        <v>101</v>
      </c>
      <c r="O662" s="12" t="s">
        <v>102</v>
      </c>
      <c r="P662" s="12" t="s">
        <v>103</v>
      </c>
      <c r="Q662" s="12" t="s">
        <v>104</v>
      </c>
      <c r="R662" s="14" t="n">
        <v>34</v>
      </c>
      <c r="S662" s="14" t="s">
        <v>105</v>
      </c>
      <c r="T662" s="14" t="s">
        <v>106</v>
      </c>
      <c r="U662" s="14" t="n">
        <v>2025</v>
      </c>
      <c r="V662" s="12" t="s">
        <v>157</v>
      </c>
      <c r="W662" s="14"/>
      <c r="X662" s="15" t="n">
        <f aca="false">IF(OR($S662="%",$R662=""),"",$R662*INDEX(Cambi!$J$2:$J$5,MATCH($S662,Cambi!$I$2:$I$5,0))/IF($T662="EUR",1,INDEX(Cambi!$D:$D,MATCH($T662&amp;"|"&amp;$U662,Cambi!$C:$C,0))))</f>
        <v>34</v>
      </c>
      <c r="Y662" s="12" t="s">
        <v>108</v>
      </c>
      <c r="Z662" s="12" t="s">
        <v>109</v>
      </c>
      <c r="AA662" s="12" t="s">
        <v>109</v>
      </c>
      <c r="AB662" s="16" t="s">
        <v>394</v>
      </c>
      <c r="AC662" s="16" t="s">
        <v>1438</v>
      </c>
      <c r="AD662" s="12" t="s">
        <v>112</v>
      </c>
      <c r="AE662" s="12" t="s">
        <v>1196</v>
      </c>
      <c r="AF662" s="12" t="s">
        <v>3678</v>
      </c>
      <c r="AG662" s="12" t="s">
        <v>284</v>
      </c>
      <c r="AH662" s="12" t="s">
        <v>116</v>
      </c>
      <c r="AI662" s="12" t="s">
        <v>117</v>
      </c>
      <c r="AJ662" s="12" t="s">
        <v>3679</v>
      </c>
      <c r="AK662" s="12" t="s">
        <v>4</v>
      </c>
    </row>
    <row r="663" customFormat="false" ht="15" hidden="false" customHeight="false" outlineLevel="0" collapsed="false">
      <c r="A663" s="11" t="n">
        <v>662</v>
      </c>
      <c r="B663" s="12" t="s">
        <v>3680</v>
      </c>
      <c r="C663" s="12" t="s">
        <v>3648</v>
      </c>
      <c r="D663" s="12" t="s">
        <v>3649</v>
      </c>
      <c r="E663" s="12" t="s">
        <v>759</v>
      </c>
      <c r="F663" s="12" t="s">
        <v>3681</v>
      </c>
      <c r="G663" s="12" t="s">
        <v>1055</v>
      </c>
      <c r="H663" s="12" t="s">
        <v>3682</v>
      </c>
      <c r="I663" s="12" t="s">
        <v>3683</v>
      </c>
      <c r="J663" s="13" t="s">
        <v>3684</v>
      </c>
      <c r="K663" s="12" t="s">
        <v>3685</v>
      </c>
      <c r="L663" s="12" t="s">
        <v>3686</v>
      </c>
      <c r="M663" s="12" t="s">
        <v>3687</v>
      </c>
      <c r="N663" s="12" t="s">
        <v>101</v>
      </c>
      <c r="O663" s="12" t="s">
        <v>102</v>
      </c>
      <c r="P663" s="12" t="s">
        <v>103</v>
      </c>
      <c r="Q663" s="12" t="s">
        <v>104</v>
      </c>
      <c r="R663" s="14" t="n">
        <v>19</v>
      </c>
      <c r="S663" s="14" t="s">
        <v>105</v>
      </c>
      <c r="T663" s="14" t="s">
        <v>106</v>
      </c>
      <c r="U663" s="14" t="n">
        <v>2024</v>
      </c>
      <c r="V663" s="12" t="s">
        <v>157</v>
      </c>
      <c r="W663" s="14"/>
      <c r="X663" s="15" t="n">
        <f aca="false">IF(OR($S663="%",$R663=""),"",$R663*INDEX(Cambi!$J$2:$J$5,MATCH($S663,Cambi!$I$2:$I$5,0))/IF($T663="EUR",1,INDEX(Cambi!$D:$D,MATCH($T663&amp;"|"&amp;$U663,Cambi!$C:$C,0))))</f>
        <v>19</v>
      </c>
      <c r="Y663" s="12" t="s">
        <v>108</v>
      </c>
      <c r="Z663" s="12" t="s">
        <v>109</v>
      </c>
      <c r="AA663" s="12" t="s">
        <v>109</v>
      </c>
      <c r="AB663" s="16" t="s">
        <v>394</v>
      </c>
      <c r="AC663" s="16" t="s">
        <v>1438</v>
      </c>
      <c r="AD663" s="12" t="s">
        <v>112</v>
      </c>
      <c r="AE663" s="12" t="s">
        <v>1196</v>
      </c>
      <c r="AF663" s="12" t="s">
        <v>3688</v>
      </c>
      <c r="AG663" s="12" t="s">
        <v>284</v>
      </c>
      <c r="AH663" s="12" t="s">
        <v>499</v>
      </c>
      <c r="AI663" s="12" t="s">
        <v>285</v>
      </c>
      <c r="AJ663" s="12" t="s">
        <v>3689</v>
      </c>
      <c r="AK663" s="12" t="s">
        <v>4</v>
      </c>
    </row>
    <row r="664" customFormat="false" ht="15" hidden="false" customHeight="false" outlineLevel="0" collapsed="false">
      <c r="A664" s="11" t="n">
        <v>663</v>
      </c>
      <c r="B664" s="12" t="s">
        <v>3690</v>
      </c>
      <c r="C664" s="12" t="s">
        <v>3648</v>
      </c>
      <c r="D664" s="12" t="s">
        <v>3649</v>
      </c>
      <c r="E664" s="12" t="s">
        <v>759</v>
      </c>
      <c r="F664" s="12" t="s">
        <v>3691</v>
      </c>
      <c r="G664" s="12" t="s">
        <v>771</v>
      </c>
      <c r="H664" s="12" t="s">
        <v>3692</v>
      </c>
      <c r="I664" s="12" t="s">
        <v>3693</v>
      </c>
      <c r="J664" s="13" t="s">
        <v>3694</v>
      </c>
      <c r="K664" s="12"/>
      <c r="L664" s="12" t="s">
        <v>3695</v>
      </c>
      <c r="M664" s="12" t="s">
        <v>3696</v>
      </c>
      <c r="N664" s="12" t="s">
        <v>101</v>
      </c>
      <c r="O664" s="12" t="s">
        <v>102</v>
      </c>
      <c r="P664" s="12" t="s">
        <v>103</v>
      </c>
      <c r="Q664" s="12" t="s">
        <v>104</v>
      </c>
      <c r="R664" s="14" t="n">
        <v>17002995.92</v>
      </c>
      <c r="S664" s="14" t="s">
        <v>432</v>
      </c>
      <c r="T664" s="14" t="s">
        <v>106</v>
      </c>
      <c r="U664" s="14" t="n">
        <v>2026</v>
      </c>
      <c r="V664" s="12" t="s">
        <v>198</v>
      </c>
      <c r="W664" s="14"/>
      <c r="X664" s="15" t="n">
        <f aca="false">IF(OR($S664="%",$R664=""),"",$R664*INDEX(Cambi!$J$2:$J$5,MATCH($S664,Cambi!$I$2:$I$5,0))/IF($T664="EUR",1,INDEX(Cambi!$D:$D,MATCH($T664&amp;"|"&amp;$U664,Cambi!$C:$C,0))))</f>
        <v>17.00299592</v>
      </c>
      <c r="Y664" s="12" t="s">
        <v>108</v>
      </c>
      <c r="Z664" s="12" t="s">
        <v>109</v>
      </c>
      <c r="AA664" s="12" t="s">
        <v>109</v>
      </c>
      <c r="AB664" s="16" t="s">
        <v>394</v>
      </c>
      <c r="AC664" s="16" t="s">
        <v>1438</v>
      </c>
      <c r="AD664" s="12" t="s">
        <v>112</v>
      </c>
      <c r="AE664" s="12" t="s">
        <v>3697</v>
      </c>
      <c r="AF664" s="12" t="s">
        <v>3698</v>
      </c>
      <c r="AG664" s="12" t="s">
        <v>115</v>
      </c>
      <c r="AH664" s="12" t="s">
        <v>116</v>
      </c>
      <c r="AI664" s="12" t="s">
        <v>117</v>
      </c>
      <c r="AJ664" s="12" t="s">
        <v>3699</v>
      </c>
      <c r="AK664" s="12" t="s">
        <v>4</v>
      </c>
    </row>
    <row r="665" customFormat="false" ht="15" hidden="false" customHeight="false" outlineLevel="0" collapsed="false">
      <c r="A665" s="11" t="n">
        <v>664</v>
      </c>
      <c r="B665" s="12" t="s">
        <v>625</v>
      </c>
      <c r="C665" s="12" t="s">
        <v>3648</v>
      </c>
      <c r="D665" s="12" t="s">
        <v>3649</v>
      </c>
      <c r="E665" s="12" t="s">
        <v>759</v>
      </c>
      <c r="F665" s="12" t="s">
        <v>626</v>
      </c>
      <c r="G665" s="12" t="s">
        <v>95</v>
      </c>
      <c r="H665" s="12" t="s">
        <v>627</v>
      </c>
      <c r="I665" s="12" t="s">
        <v>628</v>
      </c>
      <c r="J665" s="13" t="s">
        <v>629</v>
      </c>
      <c r="K665" s="12" t="s">
        <v>630</v>
      </c>
      <c r="L665" s="12" t="s">
        <v>1110</v>
      </c>
      <c r="M665" s="12" t="s">
        <v>1111</v>
      </c>
      <c r="N665" s="12" t="s">
        <v>101</v>
      </c>
      <c r="O665" s="12" t="s">
        <v>102</v>
      </c>
      <c r="P665" s="12" t="s">
        <v>103</v>
      </c>
      <c r="Q665" s="12" t="s">
        <v>104</v>
      </c>
      <c r="R665" s="14" t="n">
        <v>40.2</v>
      </c>
      <c r="S665" s="14" t="s">
        <v>105</v>
      </c>
      <c r="T665" s="14" t="s">
        <v>106</v>
      </c>
      <c r="U665" s="14" t="n">
        <v>2026</v>
      </c>
      <c r="V665" s="12" t="s">
        <v>107</v>
      </c>
      <c r="W665" s="14"/>
      <c r="X665" s="15" t="n">
        <f aca="false">IF(OR($S665="%",$R665=""),"",$R665*INDEX(Cambi!$J$2:$J$5,MATCH($S665,Cambi!$I$2:$I$5,0))/IF($T665="EUR",1,INDEX(Cambi!$D:$D,MATCH($T665&amp;"|"&amp;$U665,Cambi!$C:$C,0))))</f>
        <v>40.2</v>
      </c>
      <c r="Y665" s="12" t="s">
        <v>130</v>
      </c>
      <c r="Z665" s="12" t="s">
        <v>109</v>
      </c>
      <c r="AA665" s="12" t="s">
        <v>633</v>
      </c>
      <c r="AB665" s="16" t="s">
        <v>110</v>
      </c>
      <c r="AC665" s="16" t="s">
        <v>634</v>
      </c>
      <c r="AD665" s="12" t="s">
        <v>281</v>
      </c>
      <c r="AE665" s="12" t="s">
        <v>635</v>
      </c>
      <c r="AF665" s="12" t="s">
        <v>3700</v>
      </c>
      <c r="AG665" s="12" t="s">
        <v>115</v>
      </c>
      <c r="AH665" s="12" t="s">
        <v>116</v>
      </c>
      <c r="AI665" s="12" t="s">
        <v>285</v>
      </c>
      <c r="AJ665" s="12" t="s">
        <v>1113</v>
      </c>
      <c r="AK665" s="12" t="s">
        <v>4</v>
      </c>
    </row>
    <row r="666" customFormat="false" ht="15" hidden="false" customHeight="false" outlineLevel="0" collapsed="false">
      <c r="A666" s="11" t="n">
        <v>665</v>
      </c>
      <c r="B666" s="12" t="s">
        <v>3701</v>
      </c>
      <c r="C666" s="12" t="s">
        <v>3702</v>
      </c>
      <c r="D666" s="12" t="s">
        <v>3703</v>
      </c>
      <c r="E666" s="12" t="s">
        <v>759</v>
      </c>
      <c r="F666" s="12" t="s">
        <v>3704</v>
      </c>
      <c r="G666" s="12" t="s">
        <v>771</v>
      </c>
      <c r="H666" s="12" t="s">
        <v>3705</v>
      </c>
      <c r="I666" s="12" t="s">
        <v>3706</v>
      </c>
      <c r="J666" s="13" t="s">
        <v>3707</v>
      </c>
      <c r="K666" s="12"/>
      <c r="L666" s="12" t="s">
        <v>3708</v>
      </c>
      <c r="M666" s="12" t="s">
        <v>3709</v>
      </c>
      <c r="N666" s="12" t="s">
        <v>101</v>
      </c>
      <c r="O666" s="12" t="s">
        <v>102</v>
      </c>
      <c r="P666" s="12" t="s">
        <v>103</v>
      </c>
      <c r="Q666" s="12" t="s">
        <v>104</v>
      </c>
      <c r="R666" s="14" t="n">
        <v>1270191</v>
      </c>
      <c r="S666" s="14" t="s">
        <v>432</v>
      </c>
      <c r="T666" s="14" t="s">
        <v>106</v>
      </c>
      <c r="U666" s="14" t="n">
        <v>2023</v>
      </c>
      <c r="V666" s="12" t="s">
        <v>157</v>
      </c>
      <c r="W666" s="14"/>
      <c r="X666" s="15" t="n">
        <f aca="false">IF(OR($S666="%",$R666=""),"",$R666*INDEX(Cambi!$J$2:$J$5,MATCH($S666,Cambi!$I$2:$I$5,0))/IF($T666="EUR",1,INDEX(Cambi!$D:$D,MATCH($T666&amp;"|"&amp;$U666,Cambi!$C:$C,0))))</f>
        <v>1.270191</v>
      </c>
      <c r="Y666" s="12" t="s">
        <v>108</v>
      </c>
      <c r="Z666" s="12" t="s">
        <v>285</v>
      </c>
      <c r="AA666" s="12" t="s">
        <v>109</v>
      </c>
      <c r="AB666" s="16" t="s">
        <v>394</v>
      </c>
      <c r="AC666" s="16" t="s">
        <v>3710</v>
      </c>
      <c r="AD666" s="12" t="s">
        <v>112</v>
      </c>
      <c r="AE666" s="12" t="s">
        <v>3711</v>
      </c>
      <c r="AF666" s="12" t="s">
        <v>3712</v>
      </c>
      <c r="AG666" s="12" t="s">
        <v>115</v>
      </c>
      <c r="AH666" s="12" t="s">
        <v>116</v>
      </c>
      <c r="AI666" s="12" t="s">
        <v>117</v>
      </c>
      <c r="AJ666" s="12" t="s">
        <v>3713</v>
      </c>
      <c r="AK666" s="12" t="s">
        <v>4</v>
      </c>
    </row>
    <row r="667" customFormat="false" ht="15" hidden="false" customHeight="false" outlineLevel="0" collapsed="false">
      <c r="A667" s="11" t="n">
        <v>666</v>
      </c>
      <c r="B667" s="12" t="s">
        <v>3701</v>
      </c>
      <c r="C667" s="12" t="s">
        <v>3702</v>
      </c>
      <c r="D667" s="12" t="s">
        <v>3703</v>
      </c>
      <c r="E667" s="12" t="s">
        <v>759</v>
      </c>
      <c r="F667" s="12" t="s">
        <v>3704</v>
      </c>
      <c r="G667" s="12" t="s">
        <v>771</v>
      </c>
      <c r="H667" s="12" t="s">
        <v>3705</v>
      </c>
      <c r="I667" s="12" t="s">
        <v>3706</v>
      </c>
      <c r="J667" s="13" t="s">
        <v>3707</v>
      </c>
      <c r="K667" s="12"/>
      <c r="L667" s="12" t="s">
        <v>3708</v>
      </c>
      <c r="M667" s="12" t="s">
        <v>3714</v>
      </c>
      <c r="N667" s="12" t="s">
        <v>101</v>
      </c>
      <c r="O667" s="12" t="s">
        <v>102</v>
      </c>
      <c r="P667" s="12" t="s">
        <v>103</v>
      </c>
      <c r="Q667" s="12" t="s">
        <v>104</v>
      </c>
      <c r="R667" s="14" t="n">
        <v>2853750</v>
      </c>
      <c r="S667" s="14" t="s">
        <v>432</v>
      </c>
      <c r="T667" s="14" t="s">
        <v>106</v>
      </c>
      <c r="U667" s="14" t="n">
        <v>2024</v>
      </c>
      <c r="V667" s="12" t="s">
        <v>107</v>
      </c>
      <c r="W667" s="14"/>
      <c r="X667" s="15" t="n">
        <f aca="false">IF(OR($S667="%",$R667=""),"",$R667*INDEX(Cambi!$J$2:$J$5,MATCH($S667,Cambi!$I$2:$I$5,0))/IF($T667="EUR",1,INDEX(Cambi!$D:$D,MATCH($T667&amp;"|"&amp;$U667,Cambi!$C:$C,0))))</f>
        <v>2.85375</v>
      </c>
      <c r="Y667" s="12" t="s">
        <v>108</v>
      </c>
      <c r="Z667" s="12" t="s">
        <v>285</v>
      </c>
      <c r="AA667" s="12" t="s">
        <v>109</v>
      </c>
      <c r="AB667" s="16" t="s">
        <v>394</v>
      </c>
      <c r="AC667" s="16" t="s">
        <v>3710</v>
      </c>
      <c r="AD667" s="12" t="s">
        <v>112</v>
      </c>
      <c r="AE667" s="12" t="s">
        <v>3711</v>
      </c>
      <c r="AF667" s="12" t="s">
        <v>3715</v>
      </c>
      <c r="AG667" s="12" t="s">
        <v>115</v>
      </c>
      <c r="AH667" s="12" t="s">
        <v>116</v>
      </c>
      <c r="AI667" s="12" t="s">
        <v>117</v>
      </c>
      <c r="AJ667" s="12" t="s">
        <v>3716</v>
      </c>
      <c r="AK667" s="12" t="s">
        <v>4</v>
      </c>
    </row>
    <row r="668" customFormat="false" ht="15" hidden="false" customHeight="false" outlineLevel="0" collapsed="false">
      <c r="A668" s="11" t="n">
        <v>667</v>
      </c>
      <c r="B668" s="12" t="s">
        <v>3701</v>
      </c>
      <c r="C668" s="12" t="s">
        <v>3702</v>
      </c>
      <c r="D668" s="12" t="s">
        <v>3703</v>
      </c>
      <c r="E668" s="12" t="s">
        <v>759</v>
      </c>
      <c r="F668" s="12" t="s">
        <v>3704</v>
      </c>
      <c r="G668" s="12" t="s">
        <v>771</v>
      </c>
      <c r="H668" s="12" t="s">
        <v>3705</v>
      </c>
      <c r="I668" s="12" t="s">
        <v>3706</v>
      </c>
      <c r="J668" s="13" t="s">
        <v>3707</v>
      </c>
      <c r="K668" s="12"/>
      <c r="L668" s="12" t="s">
        <v>3708</v>
      </c>
      <c r="M668" s="12" t="s">
        <v>3717</v>
      </c>
      <c r="N668" s="12" t="s">
        <v>101</v>
      </c>
      <c r="O668" s="12" t="s">
        <v>102</v>
      </c>
      <c r="P668" s="12" t="s">
        <v>103</v>
      </c>
      <c r="Q668" s="12" t="s">
        <v>104</v>
      </c>
      <c r="R668" s="14" t="n">
        <v>2832750</v>
      </c>
      <c r="S668" s="14" t="s">
        <v>432</v>
      </c>
      <c r="T668" s="14" t="s">
        <v>106</v>
      </c>
      <c r="U668" s="14" t="n">
        <v>2025</v>
      </c>
      <c r="V668" s="12" t="s">
        <v>107</v>
      </c>
      <c r="W668" s="14"/>
      <c r="X668" s="15" t="n">
        <f aca="false">IF(OR($S668="%",$R668=""),"",$R668*INDEX(Cambi!$J$2:$J$5,MATCH($S668,Cambi!$I$2:$I$5,0))/IF($T668="EUR",1,INDEX(Cambi!$D:$D,MATCH($T668&amp;"|"&amp;$U668,Cambi!$C:$C,0))))</f>
        <v>2.83275</v>
      </c>
      <c r="Y668" s="12" t="s">
        <v>108</v>
      </c>
      <c r="Z668" s="12" t="s">
        <v>285</v>
      </c>
      <c r="AA668" s="12" t="s">
        <v>109</v>
      </c>
      <c r="AB668" s="16" t="s">
        <v>394</v>
      </c>
      <c r="AC668" s="16" t="s">
        <v>3710</v>
      </c>
      <c r="AD668" s="12" t="s">
        <v>112</v>
      </c>
      <c r="AE668" s="12" t="s">
        <v>3711</v>
      </c>
      <c r="AF668" s="12" t="s">
        <v>3718</v>
      </c>
      <c r="AG668" s="12" t="s">
        <v>115</v>
      </c>
      <c r="AH668" s="12" t="s">
        <v>116</v>
      </c>
      <c r="AI668" s="12" t="s">
        <v>117</v>
      </c>
      <c r="AJ668" s="12" t="s">
        <v>3716</v>
      </c>
      <c r="AK668" s="12" t="s">
        <v>4</v>
      </c>
    </row>
    <row r="669" customFormat="false" ht="15" hidden="false" customHeight="false" outlineLevel="0" collapsed="false">
      <c r="A669" s="11" t="n">
        <v>668</v>
      </c>
      <c r="B669" s="12" t="s">
        <v>3701</v>
      </c>
      <c r="C669" s="12" t="s">
        <v>3702</v>
      </c>
      <c r="D669" s="12" t="s">
        <v>3703</v>
      </c>
      <c r="E669" s="12" t="s">
        <v>759</v>
      </c>
      <c r="F669" s="12" t="s">
        <v>3704</v>
      </c>
      <c r="G669" s="12" t="s">
        <v>771</v>
      </c>
      <c r="H669" s="12" t="s">
        <v>3705</v>
      </c>
      <c r="I669" s="12" t="s">
        <v>3706</v>
      </c>
      <c r="J669" s="13" t="s">
        <v>3707</v>
      </c>
      <c r="K669" s="12"/>
      <c r="L669" s="12" t="s">
        <v>3708</v>
      </c>
      <c r="M669" s="12" t="s">
        <v>3719</v>
      </c>
      <c r="N669" s="12" t="s">
        <v>101</v>
      </c>
      <c r="O669" s="12" t="s">
        <v>102</v>
      </c>
      <c r="P669" s="12" t="s">
        <v>103</v>
      </c>
      <c r="Q669" s="12" t="s">
        <v>104</v>
      </c>
      <c r="R669" s="14" t="n">
        <v>2726250</v>
      </c>
      <c r="S669" s="14" t="s">
        <v>432</v>
      </c>
      <c r="T669" s="14" t="s">
        <v>106</v>
      </c>
      <c r="U669" s="14" t="n">
        <v>2026</v>
      </c>
      <c r="V669" s="12" t="s">
        <v>198</v>
      </c>
      <c r="W669" s="14"/>
      <c r="X669" s="15" t="n">
        <f aca="false">IF(OR($S669="%",$R669=""),"",$R669*INDEX(Cambi!$J$2:$J$5,MATCH($S669,Cambi!$I$2:$I$5,0))/IF($T669="EUR",1,INDEX(Cambi!$D:$D,MATCH($T669&amp;"|"&amp;$U669,Cambi!$C:$C,0))))</f>
        <v>2.72625</v>
      </c>
      <c r="Y669" s="12" t="s">
        <v>108</v>
      </c>
      <c r="Z669" s="12" t="s">
        <v>285</v>
      </c>
      <c r="AA669" s="12" t="s">
        <v>109</v>
      </c>
      <c r="AB669" s="16" t="s">
        <v>394</v>
      </c>
      <c r="AC669" s="16" t="s">
        <v>3710</v>
      </c>
      <c r="AD669" s="12" t="s">
        <v>112</v>
      </c>
      <c r="AE669" s="12" t="s">
        <v>3711</v>
      </c>
      <c r="AF669" s="12" t="s">
        <v>3720</v>
      </c>
      <c r="AG669" s="12" t="s">
        <v>115</v>
      </c>
      <c r="AH669" s="12" t="s">
        <v>116</v>
      </c>
      <c r="AI669" s="12" t="s">
        <v>117</v>
      </c>
      <c r="AJ669" s="12" t="s">
        <v>3716</v>
      </c>
      <c r="AK669" s="12" t="s">
        <v>4</v>
      </c>
    </row>
    <row r="670" customFormat="false" ht="15" hidden="false" customHeight="false" outlineLevel="0" collapsed="false">
      <c r="A670" s="11" t="n">
        <v>669</v>
      </c>
      <c r="B670" s="12" t="s">
        <v>3701</v>
      </c>
      <c r="C670" s="12" t="s">
        <v>3702</v>
      </c>
      <c r="D670" s="12" t="s">
        <v>3703</v>
      </c>
      <c r="E670" s="12" t="s">
        <v>759</v>
      </c>
      <c r="F670" s="12" t="s">
        <v>3704</v>
      </c>
      <c r="G670" s="12" t="s">
        <v>771</v>
      </c>
      <c r="H670" s="12" t="s">
        <v>3705</v>
      </c>
      <c r="I670" s="12" t="s">
        <v>3706</v>
      </c>
      <c r="J670" s="13" t="s">
        <v>3707</v>
      </c>
      <c r="K670" s="12"/>
      <c r="L670" s="12" t="s">
        <v>3708</v>
      </c>
      <c r="M670" s="12" t="s">
        <v>3721</v>
      </c>
      <c r="N670" s="12" t="s">
        <v>101</v>
      </c>
      <c r="O670" s="12" t="s">
        <v>102</v>
      </c>
      <c r="P670" s="12" t="s">
        <v>103</v>
      </c>
      <c r="Q670" s="12" t="s">
        <v>104</v>
      </c>
      <c r="R670" s="14" t="n">
        <v>2596735</v>
      </c>
      <c r="S670" s="14" t="s">
        <v>432</v>
      </c>
      <c r="T670" s="14" t="s">
        <v>106</v>
      </c>
      <c r="U670" s="14" t="n">
        <v>2027</v>
      </c>
      <c r="V670" s="12" t="s">
        <v>107</v>
      </c>
      <c r="W670" s="14"/>
      <c r="X670" s="15" t="n">
        <f aca="false">IF(OR($S670="%",$R670=""),"",$R670*INDEX(Cambi!$J$2:$J$5,MATCH($S670,Cambi!$I$2:$I$5,0))/IF($T670="EUR",1,INDEX(Cambi!$D:$D,MATCH($T670&amp;"|"&amp;$U670,Cambi!$C:$C,0))))</f>
        <v>2.596735</v>
      </c>
      <c r="Y670" s="12" t="s">
        <v>108</v>
      </c>
      <c r="Z670" s="12" t="s">
        <v>285</v>
      </c>
      <c r="AA670" s="12" t="s">
        <v>109</v>
      </c>
      <c r="AB670" s="16" t="s">
        <v>394</v>
      </c>
      <c r="AC670" s="16" t="s">
        <v>3710</v>
      </c>
      <c r="AD670" s="12" t="s">
        <v>112</v>
      </c>
      <c r="AE670" s="12" t="s">
        <v>3711</v>
      </c>
      <c r="AF670" s="12" t="s">
        <v>3722</v>
      </c>
      <c r="AG670" s="12" t="s">
        <v>115</v>
      </c>
      <c r="AH670" s="12" t="s">
        <v>116</v>
      </c>
      <c r="AI670" s="12" t="s">
        <v>117</v>
      </c>
      <c r="AJ670" s="12" t="s">
        <v>3716</v>
      </c>
      <c r="AK670" s="12" t="s">
        <v>4</v>
      </c>
    </row>
    <row r="671" customFormat="false" ht="15" hidden="false" customHeight="false" outlineLevel="0" collapsed="false">
      <c r="A671" s="11" t="n">
        <v>670</v>
      </c>
      <c r="B671" s="12" t="s">
        <v>3701</v>
      </c>
      <c r="C671" s="12" t="s">
        <v>3702</v>
      </c>
      <c r="D671" s="12" t="s">
        <v>3703</v>
      </c>
      <c r="E671" s="12" t="s">
        <v>759</v>
      </c>
      <c r="F671" s="12" t="s">
        <v>3704</v>
      </c>
      <c r="G671" s="12" t="s">
        <v>771</v>
      </c>
      <c r="H671" s="12" t="s">
        <v>3705</v>
      </c>
      <c r="I671" s="12" t="s">
        <v>3706</v>
      </c>
      <c r="J671" s="13" t="s">
        <v>3707</v>
      </c>
      <c r="K671" s="12"/>
      <c r="L671" s="12" t="s">
        <v>3708</v>
      </c>
      <c r="M671" s="12" t="s">
        <v>3723</v>
      </c>
      <c r="N671" s="12" t="s">
        <v>101</v>
      </c>
      <c r="O671" s="12" t="s">
        <v>102</v>
      </c>
      <c r="P671" s="12" t="s">
        <v>103</v>
      </c>
      <c r="Q671" s="12" t="s">
        <v>104</v>
      </c>
      <c r="R671" s="14" t="n">
        <v>2674634</v>
      </c>
      <c r="S671" s="14" t="s">
        <v>432</v>
      </c>
      <c r="T671" s="14" t="s">
        <v>106</v>
      </c>
      <c r="U671" s="14" t="n">
        <v>2028</v>
      </c>
      <c r="V671" s="12" t="s">
        <v>107</v>
      </c>
      <c r="W671" s="14"/>
      <c r="X671" s="15" t="n">
        <f aca="false">IF(OR($S671="%",$R671=""),"",$R671*INDEX(Cambi!$J$2:$J$5,MATCH($S671,Cambi!$I$2:$I$5,0))/IF($T671="EUR",1,INDEX(Cambi!$D:$D,MATCH($T671&amp;"|"&amp;$U671,Cambi!$C:$C,0))))</f>
        <v>2.674634</v>
      </c>
      <c r="Y671" s="12" t="s">
        <v>108</v>
      </c>
      <c r="Z671" s="12" t="s">
        <v>285</v>
      </c>
      <c r="AA671" s="12" t="s">
        <v>109</v>
      </c>
      <c r="AB671" s="16" t="s">
        <v>394</v>
      </c>
      <c r="AC671" s="16" t="s">
        <v>3710</v>
      </c>
      <c r="AD671" s="12" t="s">
        <v>112</v>
      </c>
      <c r="AE671" s="12" t="s">
        <v>3711</v>
      </c>
      <c r="AF671" s="12" t="s">
        <v>3724</v>
      </c>
      <c r="AG671" s="12" t="s">
        <v>115</v>
      </c>
      <c r="AH671" s="12" t="s">
        <v>116</v>
      </c>
      <c r="AI671" s="12" t="s">
        <v>117</v>
      </c>
      <c r="AJ671" s="12" t="s">
        <v>3716</v>
      </c>
      <c r="AK671" s="12" t="s">
        <v>4</v>
      </c>
    </row>
    <row r="672" customFormat="false" ht="15" hidden="false" customHeight="false" outlineLevel="0" collapsed="false">
      <c r="A672" s="11" t="n">
        <v>671</v>
      </c>
      <c r="B672" s="12" t="s">
        <v>3725</v>
      </c>
      <c r="C672" s="12" t="s">
        <v>3702</v>
      </c>
      <c r="D672" s="12" t="s">
        <v>3703</v>
      </c>
      <c r="E672" s="12" t="s">
        <v>759</v>
      </c>
      <c r="F672" s="12" t="s">
        <v>3704</v>
      </c>
      <c r="G672" s="12" t="s">
        <v>771</v>
      </c>
      <c r="H672" s="12" t="s">
        <v>3726</v>
      </c>
      <c r="I672" s="12" t="s">
        <v>978</v>
      </c>
      <c r="J672" s="13" t="s">
        <v>3727</v>
      </c>
      <c r="K672" s="12"/>
      <c r="L672" s="12" t="s">
        <v>3728</v>
      </c>
      <c r="M672" s="12" t="s">
        <v>3729</v>
      </c>
      <c r="N672" s="12" t="s">
        <v>101</v>
      </c>
      <c r="O672" s="12" t="s">
        <v>102</v>
      </c>
      <c r="P672" s="12" t="s">
        <v>103</v>
      </c>
      <c r="Q672" s="12" t="s">
        <v>104</v>
      </c>
      <c r="R672" s="14" t="n">
        <v>3786913</v>
      </c>
      <c r="S672" s="14" t="s">
        <v>432</v>
      </c>
      <c r="T672" s="14" t="s">
        <v>106</v>
      </c>
      <c r="U672" s="14" t="n">
        <v>2024</v>
      </c>
      <c r="V672" s="12" t="s">
        <v>157</v>
      </c>
      <c r="W672" s="14"/>
      <c r="X672" s="15" t="n">
        <f aca="false">IF(OR($S672="%",$R672=""),"",$R672*INDEX(Cambi!$J$2:$J$5,MATCH($S672,Cambi!$I$2:$I$5,0))/IF($T672="EUR",1,INDEX(Cambi!$D:$D,MATCH($T672&amp;"|"&amp;$U672,Cambi!$C:$C,0))))</f>
        <v>3.786913</v>
      </c>
      <c r="Y672" s="12" t="s">
        <v>108</v>
      </c>
      <c r="Z672" s="12" t="s">
        <v>117</v>
      </c>
      <c r="AA672" s="12" t="s">
        <v>109</v>
      </c>
      <c r="AB672" s="16" t="s">
        <v>394</v>
      </c>
      <c r="AC672" s="16" t="s">
        <v>3730</v>
      </c>
      <c r="AD672" s="12" t="s">
        <v>112</v>
      </c>
      <c r="AE672" s="12" t="s">
        <v>3731</v>
      </c>
      <c r="AF672" s="12" t="s">
        <v>3732</v>
      </c>
      <c r="AG672" s="12" t="s">
        <v>115</v>
      </c>
      <c r="AH672" s="12" t="s">
        <v>116</v>
      </c>
      <c r="AI672" s="12" t="s">
        <v>117</v>
      </c>
      <c r="AJ672" s="12" t="s">
        <v>3733</v>
      </c>
      <c r="AK672" s="12" t="s">
        <v>4</v>
      </c>
    </row>
    <row r="673" customFormat="false" ht="15" hidden="false" customHeight="false" outlineLevel="0" collapsed="false">
      <c r="A673" s="11" t="n">
        <v>672</v>
      </c>
      <c r="B673" s="12" t="s">
        <v>3725</v>
      </c>
      <c r="C673" s="12" t="s">
        <v>3702</v>
      </c>
      <c r="D673" s="12" t="s">
        <v>3703</v>
      </c>
      <c r="E673" s="12" t="s">
        <v>759</v>
      </c>
      <c r="F673" s="12" t="s">
        <v>3704</v>
      </c>
      <c r="G673" s="12" t="s">
        <v>771</v>
      </c>
      <c r="H673" s="12" t="s">
        <v>3726</v>
      </c>
      <c r="I673" s="12" t="s">
        <v>978</v>
      </c>
      <c r="J673" s="13" t="s">
        <v>3727</v>
      </c>
      <c r="K673" s="12"/>
      <c r="L673" s="12" t="s">
        <v>3728</v>
      </c>
      <c r="M673" s="12" t="s">
        <v>3734</v>
      </c>
      <c r="N673" s="12" t="s">
        <v>101</v>
      </c>
      <c r="O673" s="12" t="s">
        <v>102</v>
      </c>
      <c r="P673" s="12" t="s">
        <v>103</v>
      </c>
      <c r="Q673" s="12" t="s">
        <v>104</v>
      </c>
      <c r="R673" s="14" t="n">
        <v>4591500</v>
      </c>
      <c r="S673" s="14" t="s">
        <v>432</v>
      </c>
      <c r="T673" s="14" t="s">
        <v>106</v>
      </c>
      <c r="U673" s="14" t="n">
        <v>2025</v>
      </c>
      <c r="V673" s="12" t="s">
        <v>107</v>
      </c>
      <c r="W673" s="14"/>
      <c r="X673" s="15" t="n">
        <f aca="false">IF(OR($S673="%",$R673=""),"",$R673*INDEX(Cambi!$J$2:$J$5,MATCH($S673,Cambi!$I$2:$I$5,0))/IF($T673="EUR",1,INDEX(Cambi!$D:$D,MATCH($T673&amp;"|"&amp;$U673,Cambi!$C:$C,0))))</f>
        <v>4.5915</v>
      </c>
      <c r="Y673" s="12" t="s">
        <v>108</v>
      </c>
      <c r="Z673" s="12" t="s">
        <v>117</v>
      </c>
      <c r="AA673" s="12" t="s">
        <v>109</v>
      </c>
      <c r="AB673" s="16" t="s">
        <v>394</v>
      </c>
      <c r="AC673" s="16" t="s">
        <v>3730</v>
      </c>
      <c r="AD673" s="12" t="s">
        <v>112</v>
      </c>
      <c r="AE673" s="12" t="s">
        <v>3731</v>
      </c>
      <c r="AF673" s="12" t="s">
        <v>3735</v>
      </c>
      <c r="AG673" s="12" t="s">
        <v>115</v>
      </c>
      <c r="AH673" s="12" t="s">
        <v>116</v>
      </c>
      <c r="AI673" s="12" t="s">
        <v>117</v>
      </c>
      <c r="AJ673" s="12" t="s">
        <v>3736</v>
      </c>
      <c r="AK673" s="12" t="s">
        <v>4</v>
      </c>
    </row>
    <row r="674" customFormat="false" ht="15" hidden="false" customHeight="false" outlineLevel="0" collapsed="false">
      <c r="A674" s="11" t="n">
        <v>673</v>
      </c>
      <c r="B674" s="12" t="s">
        <v>3725</v>
      </c>
      <c r="C674" s="12" t="s">
        <v>3702</v>
      </c>
      <c r="D674" s="12" t="s">
        <v>3703</v>
      </c>
      <c r="E674" s="12" t="s">
        <v>759</v>
      </c>
      <c r="F674" s="12" t="s">
        <v>3704</v>
      </c>
      <c r="G674" s="12" t="s">
        <v>771</v>
      </c>
      <c r="H674" s="12" t="s">
        <v>3726</v>
      </c>
      <c r="I674" s="12" t="s">
        <v>978</v>
      </c>
      <c r="J674" s="13" t="s">
        <v>3727</v>
      </c>
      <c r="K674" s="12"/>
      <c r="L674" s="12" t="s">
        <v>3728</v>
      </c>
      <c r="M674" s="12" t="s">
        <v>3737</v>
      </c>
      <c r="N674" s="12" t="s">
        <v>101</v>
      </c>
      <c r="O674" s="12" t="s">
        <v>102</v>
      </c>
      <c r="P674" s="12" t="s">
        <v>103</v>
      </c>
      <c r="Q674" s="12" t="s">
        <v>104</v>
      </c>
      <c r="R674" s="14" t="n">
        <v>4813546</v>
      </c>
      <c r="S674" s="14" t="s">
        <v>432</v>
      </c>
      <c r="T674" s="14" t="s">
        <v>106</v>
      </c>
      <c r="U674" s="14" t="n">
        <v>2026</v>
      </c>
      <c r="V674" s="12" t="s">
        <v>198</v>
      </c>
      <c r="W674" s="14"/>
      <c r="X674" s="15" t="n">
        <f aca="false">IF(OR($S674="%",$R674=""),"",$R674*INDEX(Cambi!$J$2:$J$5,MATCH($S674,Cambi!$I$2:$I$5,0))/IF($T674="EUR",1,INDEX(Cambi!$D:$D,MATCH($T674&amp;"|"&amp;$U674,Cambi!$C:$C,0))))</f>
        <v>4.813546</v>
      </c>
      <c r="Y674" s="12" t="s">
        <v>108</v>
      </c>
      <c r="Z674" s="12" t="s">
        <v>117</v>
      </c>
      <c r="AA674" s="12" t="s">
        <v>109</v>
      </c>
      <c r="AB674" s="16" t="s">
        <v>394</v>
      </c>
      <c r="AC674" s="16" t="s">
        <v>3730</v>
      </c>
      <c r="AD674" s="12" t="s">
        <v>112</v>
      </c>
      <c r="AE674" s="12" t="s">
        <v>3731</v>
      </c>
      <c r="AF674" s="12" t="s">
        <v>3738</v>
      </c>
      <c r="AG674" s="12" t="s">
        <v>115</v>
      </c>
      <c r="AH674" s="12" t="s">
        <v>116</v>
      </c>
      <c r="AI674" s="12" t="s">
        <v>117</v>
      </c>
      <c r="AJ674" s="12" t="s">
        <v>3739</v>
      </c>
      <c r="AK674" s="12" t="s">
        <v>4</v>
      </c>
    </row>
    <row r="675" customFormat="false" ht="15" hidden="false" customHeight="false" outlineLevel="0" collapsed="false">
      <c r="A675" s="11" t="n">
        <v>674</v>
      </c>
      <c r="B675" s="12" t="s">
        <v>3725</v>
      </c>
      <c r="C675" s="12" t="s">
        <v>3702</v>
      </c>
      <c r="D675" s="12" t="s">
        <v>3703</v>
      </c>
      <c r="E675" s="12" t="s">
        <v>759</v>
      </c>
      <c r="F675" s="12" t="s">
        <v>3704</v>
      </c>
      <c r="G675" s="12" t="s">
        <v>771</v>
      </c>
      <c r="H675" s="12" t="s">
        <v>3726</v>
      </c>
      <c r="I675" s="12" t="s">
        <v>978</v>
      </c>
      <c r="J675" s="13" t="s">
        <v>3727</v>
      </c>
      <c r="K675" s="12"/>
      <c r="L675" s="12" t="s">
        <v>3728</v>
      </c>
      <c r="M675" s="12" t="s">
        <v>3740</v>
      </c>
      <c r="N675" s="12" t="s">
        <v>101</v>
      </c>
      <c r="O675" s="12" t="s">
        <v>102</v>
      </c>
      <c r="P675" s="12" t="s">
        <v>103</v>
      </c>
      <c r="Q675" s="12" t="s">
        <v>104</v>
      </c>
      <c r="R675" s="14" t="n">
        <v>5105004</v>
      </c>
      <c r="S675" s="14" t="s">
        <v>432</v>
      </c>
      <c r="T675" s="14" t="s">
        <v>106</v>
      </c>
      <c r="U675" s="14" t="n">
        <v>2027</v>
      </c>
      <c r="V675" s="12" t="s">
        <v>107</v>
      </c>
      <c r="W675" s="14"/>
      <c r="X675" s="15" t="n">
        <f aca="false">IF(OR($S675="%",$R675=""),"",$R675*INDEX(Cambi!$J$2:$J$5,MATCH($S675,Cambi!$I$2:$I$5,0))/IF($T675="EUR",1,INDEX(Cambi!$D:$D,MATCH($T675&amp;"|"&amp;$U675,Cambi!$C:$C,0))))</f>
        <v>5.105004</v>
      </c>
      <c r="Y675" s="12" t="s">
        <v>108</v>
      </c>
      <c r="Z675" s="12" t="s">
        <v>117</v>
      </c>
      <c r="AA675" s="12" t="s">
        <v>109</v>
      </c>
      <c r="AB675" s="16" t="s">
        <v>394</v>
      </c>
      <c r="AC675" s="16" t="s">
        <v>3730</v>
      </c>
      <c r="AD675" s="12" t="s">
        <v>112</v>
      </c>
      <c r="AE675" s="12" t="s">
        <v>3731</v>
      </c>
      <c r="AF675" s="12" t="s">
        <v>3741</v>
      </c>
      <c r="AG675" s="12" t="s">
        <v>115</v>
      </c>
      <c r="AH675" s="12" t="s">
        <v>116</v>
      </c>
      <c r="AI675" s="12" t="s">
        <v>117</v>
      </c>
      <c r="AJ675" s="12" t="s">
        <v>3739</v>
      </c>
      <c r="AK675" s="12" t="s">
        <v>4</v>
      </c>
    </row>
    <row r="676" customFormat="false" ht="15" hidden="false" customHeight="false" outlineLevel="0" collapsed="false">
      <c r="A676" s="11" t="n">
        <v>675</v>
      </c>
      <c r="B676" s="12" t="s">
        <v>3725</v>
      </c>
      <c r="C676" s="12" t="s">
        <v>3702</v>
      </c>
      <c r="D676" s="12" t="s">
        <v>3703</v>
      </c>
      <c r="E676" s="12" t="s">
        <v>759</v>
      </c>
      <c r="F676" s="12" t="s">
        <v>3704</v>
      </c>
      <c r="G676" s="12" t="s">
        <v>771</v>
      </c>
      <c r="H676" s="12" t="s">
        <v>3726</v>
      </c>
      <c r="I676" s="12" t="s">
        <v>978</v>
      </c>
      <c r="J676" s="13" t="s">
        <v>3727</v>
      </c>
      <c r="K676" s="12"/>
      <c r="L676" s="12" t="s">
        <v>3728</v>
      </c>
      <c r="M676" s="12" t="s">
        <v>3742</v>
      </c>
      <c r="N676" s="12" t="s">
        <v>101</v>
      </c>
      <c r="O676" s="12" t="s">
        <v>102</v>
      </c>
      <c r="P676" s="12" t="s">
        <v>103</v>
      </c>
      <c r="Q676" s="12" t="s">
        <v>104</v>
      </c>
      <c r="R676" s="14" t="n">
        <v>5436475</v>
      </c>
      <c r="S676" s="14" t="s">
        <v>432</v>
      </c>
      <c r="T676" s="14" t="s">
        <v>106</v>
      </c>
      <c r="U676" s="14" t="n">
        <v>2028</v>
      </c>
      <c r="V676" s="12" t="s">
        <v>107</v>
      </c>
      <c r="W676" s="14"/>
      <c r="X676" s="15" t="n">
        <f aca="false">IF(OR($S676="%",$R676=""),"",$R676*INDEX(Cambi!$J$2:$J$5,MATCH($S676,Cambi!$I$2:$I$5,0))/IF($T676="EUR",1,INDEX(Cambi!$D:$D,MATCH($T676&amp;"|"&amp;$U676,Cambi!$C:$C,0))))</f>
        <v>5.436475</v>
      </c>
      <c r="Y676" s="12" t="s">
        <v>108</v>
      </c>
      <c r="Z676" s="12" t="s">
        <v>117</v>
      </c>
      <c r="AA676" s="12" t="s">
        <v>109</v>
      </c>
      <c r="AB676" s="16" t="s">
        <v>394</v>
      </c>
      <c r="AC676" s="16" t="s">
        <v>3730</v>
      </c>
      <c r="AD676" s="12" t="s">
        <v>112</v>
      </c>
      <c r="AE676" s="12" t="s">
        <v>3731</v>
      </c>
      <c r="AF676" s="12" t="s">
        <v>3743</v>
      </c>
      <c r="AG676" s="12" t="s">
        <v>115</v>
      </c>
      <c r="AH676" s="12" t="s">
        <v>116</v>
      </c>
      <c r="AI676" s="12" t="s">
        <v>117</v>
      </c>
      <c r="AJ676" s="12" t="s">
        <v>3739</v>
      </c>
      <c r="AK676" s="12" t="s">
        <v>4</v>
      </c>
    </row>
    <row r="677" customFormat="false" ht="15" hidden="false" customHeight="false" outlineLevel="0" collapsed="false">
      <c r="A677" s="11" t="n">
        <v>676</v>
      </c>
      <c r="B677" s="12" t="s">
        <v>3725</v>
      </c>
      <c r="C677" s="12" t="s">
        <v>3702</v>
      </c>
      <c r="D677" s="12" t="s">
        <v>3703</v>
      </c>
      <c r="E677" s="12" t="s">
        <v>759</v>
      </c>
      <c r="F677" s="12" t="s">
        <v>3704</v>
      </c>
      <c r="G677" s="12" t="s">
        <v>771</v>
      </c>
      <c r="H677" s="12" t="s">
        <v>3726</v>
      </c>
      <c r="I677" s="12" t="s">
        <v>978</v>
      </c>
      <c r="J677" s="13" t="s">
        <v>3727</v>
      </c>
      <c r="K677" s="12"/>
      <c r="L677" s="12" t="s">
        <v>3728</v>
      </c>
      <c r="M677" s="12" t="s">
        <v>3744</v>
      </c>
      <c r="N677" s="12" t="s">
        <v>101</v>
      </c>
      <c r="O677" s="12" t="s">
        <v>102</v>
      </c>
      <c r="P677" s="12" t="s">
        <v>103</v>
      </c>
      <c r="Q677" s="12" t="s">
        <v>104</v>
      </c>
      <c r="R677" s="14" t="n">
        <v>5459216</v>
      </c>
      <c r="S677" s="14" t="s">
        <v>432</v>
      </c>
      <c r="T677" s="14" t="s">
        <v>106</v>
      </c>
      <c r="U677" s="14" t="n">
        <v>2029</v>
      </c>
      <c r="V677" s="12" t="s">
        <v>107</v>
      </c>
      <c r="W677" s="14"/>
      <c r="X677" s="15" t="n">
        <f aca="false">IF(OR($S677="%",$R677=""),"",$R677*INDEX(Cambi!$J$2:$J$5,MATCH($S677,Cambi!$I$2:$I$5,0))/IF($T677="EUR",1,INDEX(Cambi!$D:$D,MATCH($T677&amp;"|"&amp;$U677,Cambi!$C:$C,0))))</f>
        <v>5.459216</v>
      </c>
      <c r="Y677" s="12" t="s">
        <v>108</v>
      </c>
      <c r="Z677" s="12" t="s">
        <v>117</v>
      </c>
      <c r="AA677" s="12" t="s">
        <v>109</v>
      </c>
      <c r="AB677" s="16" t="s">
        <v>394</v>
      </c>
      <c r="AC677" s="16" t="s">
        <v>3730</v>
      </c>
      <c r="AD677" s="12" t="s">
        <v>112</v>
      </c>
      <c r="AE677" s="12" t="s">
        <v>3731</v>
      </c>
      <c r="AF677" s="12" t="s">
        <v>3745</v>
      </c>
      <c r="AG677" s="12" t="s">
        <v>115</v>
      </c>
      <c r="AH677" s="12" t="s">
        <v>116</v>
      </c>
      <c r="AI677" s="12" t="s">
        <v>117</v>
      </c>
      <c r="AJ677" s="12" t="s">
        <v>3739</v>
      </c>
      <c r="AK677" s="12" t="s">
        <v>4</v>
      </c>
    </row>
    <row r="678" customFormat="false" ht="15" hidden="false" customHeight="false" outlineLevel="0" collapsed="false">
      <c r="A678" s="11" t="n">
        <v>677</v>
      </c>
      <c r="B678" s="12" t="s">
        <v>3746</v>
      </c>
      <c r="C678" s="12" t="s">
        <v>3747</v>
      </c>
      <c r="D678" s="12" t="s">
        <v>3748</v>
      </c>
      <c r="E678" s="12" t="s">
        <v>759</v>
      </c>
      <c r="F678" s="12" t="s">
        <v>3749</v>
      </c>
      <c r="G678" s="12" t="s">
        <v>95</v>
      </c>
      <c r="H678" s="12" t="s">
        <v>3750</v>
      </c>
      <c r="I678" s="12" t="s">
        <v>583</v>
      </c>
      <c r="J678" s="13" t="s">
        <v>3751</v>
      </c>
      <c r="K678" s="12"/>
      <c r="L678" s="12" t="s">
        <v>3752</v>
      </c>
      <c r="M678" s="12" t="s">
        <v>3753</v>
      </c>
      <c r="N678" s="12" t="s">
        <v>101</v>
      </c>
      <c r="O678" s="12" t="s">
        <v>102</v>
      </c>
      <c r="P678" s="12" t="s">
        <v>103</v>
      </c>
      <c r="Q678" s="12" t="s">
        <v>104</v>
      </c>
      <c r="R678" s="14" t="n">
        <v>10000</v>
      </c>
      <c r="S678" s="14" t="s">
        <v>432</v>
      </c>
      <c r="T678" s="14" t="s">
        <v>106</v>
      </c>
      <c r="U678" s="14" t="n">
        <v>2023</v>
      </c>
      <c r="V678" s="12" t="s">
        <v>157</v>
      </c>
      <c r="W678" s="14"/>
      <c r="X678" s="15" t="n">
        <f aca="false">IF(OR($S678="%",$R678=""),"",$R678*INDEX(Cambi!$J$2:$J$5,MATCH($S678,Cambi!$I$2:$I$5,0))/IF($T678="EUR",1,INDEX(Cambi!$D:$D,MATCH($T678&amp;"|"&amp;$U678,Cambi!$C:$C,0))))</f>
        <v>0.01</v>
      </c>
      <c r="Y678" s="12" t="s">
        <v>239</v>
      </c>
      <c r="Z678" s="12" t="s">
        <v>109</v>
      </c>
      <c r="AA678" s="12" t="s">
        <v>109</v>
      </c>
      <c r="AB678" s="16" t="s">
        <v>394</v>
      </c>
      <c r="AC678" s="16" t="s">
        <v>3754</v>
      </c>
      <c r="AD678" s="12" t="s">
        <v>112</v>
      </c>
      <c r="AE678" s="12" t="s">
        <v>3755</v>
      </c>
      <c r="AF678" s="12" t="s">
        <v>3756</v>
      </c>
      <c r="AG678" s="12" t="s">
        <v>498</v>
      </c>
      <c r="AH678" s="12" t="s">
        <v>116</v>
      </c>
      <c r="AI678" s="12" t="s">
        <v>285</v>
      </c>
      <c r="AJ678" s="12" t="s">
        <v>3757</v>
      </c>
      <c r="AK678" s="12" t="s">
        <v>4</v>
      </c>
    </row>
    <row r="679" customFormat="false" ht="15" hidden="false" customHeight="false" outlineLevel="0" collapsed="false">
      <c r="A679" s="11" t="n">
        <v>678</v>
      </c>
      <c r="B679" s="12" t="s">
        <v>3746</v>
      </c>
      <c r="C679" s="12" t="s">
        <v>3747</v>
      </c>
      <c r="D679" s="12" t="s">
        <v>3748</v>
      </c>
      <c r="E679" s="12" t="s">
        <v>759</v>
      </c>
      <c r="F679" s="12" t="s">
        <v>3749</v>
      </c>
      <c r="G679" s="12" t="s">
        <v>95</v>
      </c>
      <c r="H679" s="12" t="s">
        <v>3750</v>
      </c>
      <c r="I679" s="12" t="s">
        <v>583</v>
      </c>
      <c r="J679" s="13" t="s">
        <v>3751</v>
      </c>
      <c r="K679" s="12"/>
      <c r="L679" s="12" t="s">
        <v>3758</v>
      </c>
      <c r="M679" s="12" t="s">
        <v>3759</v>
      </c>
      <c r="N679" s="12" t="s">
        <v>101</v>
      </c>
      <c r="O679" s="12" t="s">
        <v>102</v>
      </c>
      <c r="P679" s="12" t="s">
        <v>103</v>
      </c>
      <c r="Q679" s="12" t="s">
        <v>104</v>
      </c>
      <c r="R679" s="14" t="n">
        <v>3</v>
      </c>
      <c r="S679" s="14" t="s">
        <v>105</v>
      </c>
      <c r="T679" s="14" t="s">
        <v>106</v>
      </c>
      <c r="U679" s="14" t="n">
        <v>2023</v>
      </c>
      <c r="V679" s="12" t="s">
        <v>157</v>
      </c>
      <c r="W679" s="14"/>
      <c r="X679" s="15" t="n">
        <f aca="false">IF(OR($S679="%",$R679=""),"",$R679*INDEX(Cambi!$J$2:$J$5,MATCH($S679,Cambi!$I$2:$I$5,0))/IF($T679="EUR",1,INDEX(Cambi!$D:$D,MATCH($T679&amp;"|"&amp;$U679,Cambi!$C:$C,0))))</f>
        <v>3</v>
      </c>
      <c r="Y679" s="12" t="s">
        <v>108</v>
      </c>
      <c r="Z679" s="12" t="s">
        <v>109</v>
      </c>
      <c r="AA679" s="12" t="s">
        <v>109</v>
      </c>
      <c r="AB679" s="16" t="s">
        <v>394</v>
      </c>
      <c r="AC679" s="16" t="s">
        <v>3754</v>
      </c>
      <c r="AD679" s="12" t="s">
        <v>112</v>
      </c>
      <c r="AE679" s="12" t="s">
        <v>3755</v>
      </c>
      <c r="AF679" s="12" t="s">
        <v>3760</v>
      </c>
      <c r="AG679" s="12" t="s">
        <v>498</v>
      </c>
      <c r="AH679" s="12" t="s">
        <v>116</v>
      </c>
      <c r="AI679" s="12" t="s">
        <v>285</v>
      </c>
      <c r="AJ679" s="12" t="s">
        <v>3761</v>
      </c>
      <c r="AK679" s="12" t="s">
        <v>4</v>
      </c>
    </row>
    <row r="680" customFormat="false" ht="15" hidden="false" customHeight="false" outlineLevel="0" collapsed="false">
      <c r="A680" s="11" t="n">
        <v>679</v>
      </c>
      <c r="B680" s="12" t="s">
        <v>1009</v>
      </c>
      <c r="C680" s="12" t="s">
        <v>3762</v>
      </c>
      <c r="D680" s="12" t="s">
        <v>3763</v>
      </c>
      <c r="E680" s="12" t="s">
        <v>759</v>
      </c>
      <c r="F680" s="12" t="s">
        <v>1010</v>
      </c>
      <c r="G680" s="12" t="s">
        <v>581</v>
      </c>
      <c r="H680" s="12" t="s">
        <v>1011</v>
      </c>
      <c r="I680" s="12" t="s">
        <v>1012</v>
      </c>
      <c r="J680" s="13" t="s">
        <v>1013</v>
      </c>
      <c r="K680" s="12"/>
      <c r="L680" s="12" t="s">
        <v>3764</v>
      </c>
      <c r="M680" s="12" t="s">
        <v>3765</v>
      </c>
      <c r="N680" s="12" t="s">
        <v>352</v>
      </c>
      <c r="O680" s="12" t="s">
        <v>196</v>
      </c>
      <c r="P680" s="12" t="s">
        <v>155</v>
      </c>
      <c r="Q680" s="12" t="s">
        <v>787</v>
      </c>
      <c r="R680" s="14" t="n">
        <v>59</v>
      </c>
      <c r="S680" s="14" t="s">
        <v>197</v>
      </c>
      <c r="T680" s="14"/>
      <c r="U680" s="14" t="n">
        <v>2023</v>
      </c>
      <c r="V680" s="12" t="s">
        <v>157</v>
      </c>
      <c r="W680" s="14"/>
      <c r="X680" s="15" t="str">
        <f aca="false">IF(OR($S680="%",$R680=""),"",$R680*INDEX(Cambi!$J$2:$J$5,MATCH($S680,Cambi!$I$2:$I$5,0))/IF($T680="EUR",1,INDEX(Cambi!$D:$D,MATCH($T680&amp;"|"&amp;$U680,Cambi!$C:$C,0))))</f>
        <v/>
      </c>
      <c r="Y680" s="12" t="s">
        <v>109</v>
      </c>
      <c r="Z680" s="12" t="s">
        <v>109</v>
      </c>
      <c r="AA680" s="12" t="s">
        <v>1016</v>
      </c>
      <c r="AB680" s="16" t="s">
        <v>110</v>
      </c>
      <c r="AC680" s="16" t="s">
        <v>1017</v>
      </c>
      <c r="AD680" s="12" t="s">
        <v>112</v>
      </c>
      <c r="AE680" s="12" t="s">
        <v>1018</v>
      </c>
      <c r="AF680" s="12" t="s">
        <v>3766</v>
      </c>
      <c r="AG680" s="12" t="s">
        <v>284</v>
      </c>
      <c r="AH680" s="12" t="s">
        <v>116</v>
      </c>
      <c r="AI680" s="12" t="s">
        <v>117</v>
      </c>
      <c r="AJ680" s="12" t="s">
        <v>3767</v>
      </c>
      <c r="AK680" s="12" t="s">
        <v>4</v>
      </c>
    </row>
    <row r="681" customFormat="false" ht="15" hidden="false" customHeight="false" outlineLevel="0" collapsed="false">
      <c r="A681" s="11" t="n">
        <v>680</v>
      </c>
      <c r="B681" s="12" t="s">
        <v>1793</v>
      </c>
      <c r="C681" s="12" t="s">
        <v>3762</v>
      </c>
      <c r="D681" s="12" t="s">
        <v>3763</v>
      </c>
      <c r="E681" s="12" t="s">
        <v>759</v>
      </c>
      <c r="F681" s="12" t="s">
        <v>1794</v>
      </c>
      <c r="G681" s="12" t="s">
        <v>771</v>
      </c>
      <c r="H681" s="12" t="s">
        <v>1795</v>
      </c>
      <c r="I681" s="12" t="s">
        <v>1796</v>
      </c>
      <c r="J681" s="13" t="s">
        <v>1797</v>
      </c>
      <c r="K681" s="12" t="s">
        <v>1798</v>
      </c>
      <c r="L681" s="12" t="s">
        <v>1799</v>
      </c>
      <c r="M681" s="12" t="s">
        <v>1800</v>
      </c>
      <c r="N681" s="12" t="s">
        <v>352</v>
      </c>
      <c r="O681" s="12" t="s">
        <v>102</v>
      </c>
      <c r="P681" s="12" t="s">
        <v>103</v>
      </c>
      <c r="Q681" s="12" t="s">
        <v>104</v>
      </c>
      <c r="R681" s="14" t="n">
        <v>2.64</v>
      </c>
      <c r="S681" s="14" t="s">
        <v>129</v>
      </c>
      <c r="T681" s="14" t="s">
        <v>106</v>
      </c>
      <c r="U681" s="14" t="n">
        <v>2025</v>
      </c>
      <c r="V681" s="12" t="s">
        <v>157</v>
      </c>
      <c r="W681" s="14" t="s">
        <v>3768</v>
      </c>
      <c r="X681" s="15" t="n">
        <f aca="false">IF(OR($S681="%",$R681=""),"",$R681*INDEX(Cambi!$J$2:$J$5,MATCH($S681,Cambi!$I$2:$I$5,0))/IF($T681="EUR",1,INDEX(Cambi!$D:$D,MATCH($T681&amp;"|"&amp;$U681,Cambi!$C:$C,0))))</f>
        <v>2640</v>
      </c>
      <c r="Y681" s="12" t="s">
        <v>109</v>
      </c>
      <c r="Z681" s="12" t="s">
        <v>285</v>
      </c>
      <c r="AA681" s="12" t="s">
        <v>109</v>
      </c>
      <c r="AB681" s="16" t="s">
        <v>679</v>
      </c>
      <c r="AC681" s="16" t="s">
        <v>1802</v>
      </c>
      <c r="AD681" s="12" t="s">
        <v>281</v>
      </c>
      <c r="AE681" s="12" t="s">
        <v>1803</v>
      </c>
      <c r="AF681" s="12" t="s">
        <v>3769</v>
      </c>
      <c r="AG681" s="12" t="s">
        <v>284</v>
      </c>
      <c r="AH681" s="12" t="s">
        <v>116</v>
      </c>
      <c r="AI681" s="12" t="s">
        <v>285</v>
      </c>
      <c r="AJ681" s="12" t="s">
        <v>3770</v>
      </c>
      <c r="AK681" s="12" t="s">
        <v>4</v>
      </c>
    </row>
    <row r="682" customFormat="false" ht="15" hidden="false" customHeight="false" outlineLevel="0" collapsed="false">
      <c r="A682" s="11" t="n">
        <v>681</v>
      </c>
      <c r="B682" s="12" t="s">
        <v>1053</v>
      </c>
      <c r="C682" s="12" t="s">
        <v>3762</v>
      </c>
      <c r="D682" s="12" t="s">
        <v>3763</v>
      </c>
      <c r="E682" s="12" t="s">
        <v>759</v>
      </c>
      <c r="F682" s="12" t="s">
        <v>1054</v>
      </c>
      <c r="G682" s="12" t="s">
        <v>1055</v>
      </c>
      <c r="H682" s="12" t="s">
        <v>1056</v>
      </c>
      <c r="I682" s="12" t="s">
        <v>1057</v>
      </c>
      <c r="J682" s="13" t="s">
        <v>1058</v>
      </c>
      <c r="K682" s="12" t="s">
        <v>1059</v>
      </c>
      <c r="L682" s="12" t="s">
        <v>3771</v>
      </c>
      <c r="M682" s="12" t="s">
        <v>3772</v>
      </c>
      <c r="N682" s="12" t="s">
        <v>352</v>
      </c>
      <c r="O682" s="12" t="s">
        <v>102</v>
      </c>
      <c r="P682" s="12" t="s">
        <v>103</v>
      </c>
      <c r="Q682" s="12" t="s">
        <v>104</v>
      </c>
      <c r="R682" s="14" t="n">
        <v>2.4</v>
      </c>
      <c r="S682" s="14" t="s">
        <v>129</v>
      </c>
      <c r="T682" s="14" t="s">
        <v>106</v>
      </c>
      <c r="U682" s="14" t="n">
        <v>2023</v>
      </c>
      <c r="V682" s="12" t="s">
        <v>157</v>
      </c>
      <c r="W682" s="14"/>
      <c r="X682" s="15" t="n">
        <f aca="false">IF(OR($S682="%",$R682=""),"",$R682*INDEX(Cambi!$J$2:$J$5,MATCH($S682,Cambi!$I$2:$I$5,0))/IF($T682="EUR",1,INDEX(Cambi!$D:$D,MATCH($T682&amp;"|"&amp;$U682,Cambi!$C:$C,0))))</f>
        <v>2400</v>
      </c>
      <c r="Y682" s="12" t="s">
        <v>109</v>
      </c>
      <c r="Z682" s="12" t="s">
        <v>109</v>
      </c>
      <c r="AA682" s="12" t="s">
        <v>1016</v>
      </c>
      <c r="AB682" s="16" t="s">
        <v>110</v>
      </c>
      <c r="AC682" s="16" t="s">
        <v>3773</v>
      </c>
      <c r="AD682" s="12" t="s">
        <v>281</v>
      </c>
      <c r="AE682" s="12" t="s">
        <v>282</v>
      </c>
      <c r="AF682" s="12" t="s">
        <v>3774</v>
      </c>
      <c r="AG682" s="12" t="s">
        <v>284</v>
      </c>
      <c r="AH682" s="12" t="s">
        <v>499</v>
      </c>
      <c r="AI682" s="12" t="s">
        <v>285</v>
      </c>
      <c r="AJ682" s="12" t="s">
        <v>3775</v>
      </c>
      <c r="AK682" s="12" t="s">
        <v>4</v>
      </c>
    </row>
    <row r="683" customFormat="false" ht="15" hidden="false" customHeight="false" outlineLevel="0" collapsed="false">
      <c r="A683" s="11" t="n">
        <v>682</v>
      </c>
      <c r="B683" s="12" t="s">
        <v>1053</v>
      </c>
      <c r="C683" s="12" t="s">
        <v>3762</v>
      </c>
      <c r="D683" s="12" t="s">
        <v>3763</v>
      </c>
      <c r="E683" s="12" t="s">
        <v>759</v>
      </c>
      <c r="F683" s="12" t="s">
        <v>1054</v>
      </c>
      <c r="G683" s="12" t="s">
        <v>1055</v>
      </c>
      <c r="H683" s="12" t="s">
        <v>1056</v>
      </c>
      <c r="I683" s="12" t="s">
        <v>1057</v>
      </c>
      <c r="J683" s="13" t="s">
        <v>1058</v>
      </c>
      <c r="K683" s="12" t="s">
        <v>1059</v>
      </c>
      <c r="L683" s="12" t="s">
        <v>3776</v>
      </c>
      <c r="M683" s="12" t="s">
        <v>3777</v>
      </c>
      <c r="N683" s="12" t="s">
        <v>352</v>
      </c>
      <c r="O683" s="12" t="s">
        <v>102</v>
      </c>
      <c r="P683" s="12" t="s">
        <v>103</v>
      </c>
      <c r="Q683" s="12" t="s">
        <v>104</v>
      </c>
      <c r="R683" s="14" t="n">
        <v>3.1</v>
      </c>
      <c r="S683" s="14" t="s">
        <v>129</v>
      </c>
      <c r="T683" s="14" t="s">
        <v>106</v>
      </c>
      <c r="U683" s="14" t="n">
        <v>2026</v>
      </c>
      <c r="V683" s="12" t="s">
        <v>198</v>
      </c>
      <c r="W683" s="14"/>
      <c r="X683" s="15" t="n">
        <f aca="false">IF(OR($S683="%",$R683=""),"",$R683*INDEX(Cambi!$J$2:$J$5,MATCH($S683,Cambi!$I$2:$I$5,0))/IF($T683="EUR",1,INDEX(Cambi!$D:$D,MATCH($T683&amp;"|"&amp;$U683,Cambi!$C:$C,0))))</f>
        <v>3100</v>
      </c>
      <c r="Y683" s="12" t="s">
        <v>109</v>
      </c>
      <c r="Z683" s="12" t="s">
        <v>109</v>
      </c>
      <c r="AA683" s="12" t="s">
        <v>1016</v>
      </c>
      <c r="AB683" s="16" t="s">
        <v>110</v>
      </c>
      <c r="AC683" s="16" t="s">
        <v>3773</v>
      </c>
      <c r="AD683" s="12" t="s">
        <v>281</v>
      </c>
      <c r="AE683" s="12" t="s">
        <v>282</v>
      </c>
      <c r="AF683" s="12" t="s">
        <v>3778</v>
      </c>
      <c r="AG683" s="12" t="s">
        <v>284</v>
      </c>
      <c r="AH683" s="12" t="s">
        <v>499</v>
      </c>
      <c r="AI683" s="12" t="s">
        <v>285</v>
      </c>
      <c r="AJ683" s="12" t="s">
        <v>3779</v>
      </c>
      <c r="AK683" s="12" t="s">
        <v>4</v>
      </c>
    </row>
    <row r="684" customFormat="false" ht="15" hidden="false" customHeight="false" outlineLevel="0" collapsed="false">
      <c r="A684" s="11" t="n">
        <v>683</v>
      </c>
      <c r="B684" s="12" t="s">
        <v>1053</v>
      </c>
      <c r="C684" s="12" t="s">
        <v>3762</v>
      </c>
      <c r="D684" s="12" t="s">
        <v>3763</v>
      </c>
      <c r="E684" s="12" t="s">
        <v>759</v>
      </c>
      <c r="F684" s="12" t="s">
        <v>1054</v>
      </c>
      <c r="G684" s="12" t="s">
        <v>1055</v>
      </c>
      <c r="H684" s="12" t="s">
        <v>1056</v>
      </c>
      <c r="I684" s="12" t="s">
        <v>1057</v>
      </c>
      <c r="J684" s="13" t="s">
        <v>1058</v>
      </c>
      <c r="K684" s="12" t="s">
        <v>1059</v>
      </c>
      <c r="L684" s="12" t="s">
        <v>3780</v>
      </c>
      <c r="M684" s="12" t="s">
        <v>3781</v>
      </c>
      <c r="N684" s="12" t="s">
        <v>352</v>
      </c>
      <c r="O684" s="12" t="s">
        <v>102</v>
      </c>
      <c r="P684" s="12" t="s">
        <v>103</v>
      </c>
      <c r="Q684" s="12" t="s">
        <v>104</v>
      </c>
      <c r="R684" s="14" t="n">
        <v>3.5</v>
      </c>
      <c r="S684" s="14" t="s">
        <v>129</v>
      </c>
      <c r="T684" s="14" t="s">
        <v>106</v>
      </c>
      <c r="U684" s="14" t="n">
        <v>2028</v>
      </c>
      <c r="V684" s="12" t="s">
        <v>107</v>
      </c>
      <c r="W684" s="14" t="s">
        <v>3782</v>
      </c>
      <c r="X684" s="15" t="n">
        <f aca="false">IF(OR($S684="%",$R684=""),"",$R684*INDEX(Cambi!$J$2:$J$5,MATCH($S684,Cambi!$I$2:$I$5,0))/IF($T684="EUR",1,INDEX(Cambi!$D:$D,MATCH($T684&amp;"|"&amp;$U684,Cambi!$C:$C,0))))</f>
        <v>3500</v>
      </c>
      <c r="Y684" s="12" t="s">
        <v>109</v>
      </c>
      <c r="Z684" s="12" t="s">
        <v>109</v>
      </c>
      <c r="AA684" s="12" t="s">
        <v>1016</v>
      </c>
      <c r="AB684" s="16" t="s">
        <v>110</v>
      </c>
      <c r="AC684" s="16" t="s">
        <v>3773</v>
      </c>
      <c r="AD684" s="12" t="s">
        <v>281</v>
      </c>
      <c r="AE684" s="12" t="s">
        <v>282</v>
      </c>
      <c r="AF684" s="12" t="s">
        <v>3783</v>
      </c>
      <c r="AG684" s="12" t="s">
        <v>284</v>
      </c>
      <c r="AH684" s="12" t="s">
        <v>499</v>
      </c>
      <c r="AI684" s="12" t="s">
        <v>285</v>
      </c>
      <c r="AJ684" s="12" t="s">
        <v>266</v>
      </c>
      <c r="AK684" s="12" t="s">
        <v>4</v>
      </c>
    </row>
    <row r="685" customFormat="false" ht="15" hidden="false" customHeight="false" outlineLevel="0" collapsed="false">
      <c r="A685" s="11" t="n">
        <v>684</v>
      </c>
      <c r="B685" s="12" t="s">
        <v>3784</v>
      </c>
      <c r="C685" s="12" t="s">
        <v>3762</v>
      </c>
      <c r="D685" s="12" t="s">
        <v>3763</v>
      </c>
      <c r="E685" s="12" t="s">
        <v>759</v>
      </c>
      <c r="F685" s="12" t="s">
        <v>3785</v>
      </c>
      <c r="G685" s="12" t="s">
        <v>581</v>
      </c>
      <c r="H685" s="12" t="s">
        <v>3786</v>
      </c>
      <c r="I685" s="12" t="s">
        <v>1131</v>
      </c>
      <c r="J685" s="13" t="s">
        <v>3787</v>
      </c>
      <c r="K685" s="12"/>
      <c r="L685" s="12" t="s">
        <v>3788</v>
      </c>
      <c r="M685" s="12" t="s">
        <v>3789</v>
      </c>
      <c r="N685" s="12" t="s">
        <v>956</v>
      </c>
      <c r="O685" s="12" t="s">
        <v>102</v>
      </c>
      <c r="P685" s="12" t="s">
        <v>103</v>
      </c>
      <c r="Q685" s="12" t="s">
        <v>104</v>
      </c>
      <c r="R685" s="14" t="n">
        <v>9.4</v>
      </c>
      <c r="S685" s="14" t="s">
        <v>129</v>
      </c>
      <c r="T685" s="14" t="s">
        <v>106</v>
      </c>
      <c r="U685" s="14" t="n">
        <v>2015</v>
      </c>
      <c r="V685" s="12" t="s">
        <v>157</v>
      </c>
      <c r="W685" s="14"/>
      <c r="X685" s="15" t="n">
        <f aca="false">IF(OR($S685="%",$R685=""),"",$R685*INDEX(Cambi!$J$2:$J$5,MATCH($S685,Cambi!$I$2:$I$5,0))/IF($T685="EUR",1,INDEX(Cambi!$D:$D,MATCH($T685&amp;"|"&amp;$U685,Cambi!$C:$C,0))))</f>
        <v>9400</v>
      </c>
      <c r="Y685" s="12" t="s">
        <v>109</v>
      </c>
      <c r="Z685" s="12" t="s">
        <v>109</v>
      </c>
      <c r="AA685" s="12" t="s">
        <v>3790</v>
      </c>
      <c r="AB685" s="16" t="s">
        <v>679</v>
      </c>
      <c r="AC685" s="16" t="s">
        <v>3791</v>
      </c>
      <c r="AD685" s="12" t="s">
        <v>112</v>
      </c>
      <c r="AE685" s="12" t="s">
        <v>3792</v>
      </c>
      <c r="AF685" s="12" t="s">
        <v>3793</v>
      </c>
      <c r="AG685" s="12" t="s">
        <v>115</v>
      </c>
      <c r="AH685" s="12" t="s">
        <v>116</v>
      </c>
      <c r="AI685" s="12" t="s">
        <v>117</v>
      </c>
      <c r="AJ685" s="12" t="s">
        <v>3794</v>
      </c>
      <c r="AK685" s="12" t="s">
        <v>4</v>
      </c>
    </row>
    <row r="686" customFormat="false" ht="15" hidden="false" customHeight="false" outlineLevel="0" collapsed="false">
      <c r="A686" s="11" t="n">
        <v>685</v>
      </c>
      <c r="B686" s="12" t="s">
        <v>3784</v>
      </c>
      <c r="C686" s="12" t="s">
        <v>3762</v>
      </c>
      <c r="D686" s="12" t="s">
        <v>3763</v>
      </c>
      <c r="E686" s="12" t="s">
        <v>759</v>
      </c>
      <c r="F686" s="12" t="s">
        <v>3785</v>
      </c>
      <c r="G686" s="12" t="s">
        <v>581</v>
      </c>
      <c r="H686" s="12" t="s">
        <v>3786</v>
      </c>
      <c r="I686" s="12" t="s">
        <v>1131</v>
      </c>
      <c r="J686" s="13" t="s">
        <v>3787</v>
      </c>
      <c r="K686" s="12"/>
      <c r="L686" s="12" t="s">
        <v>3788</v>
      </c>
      <c r="M686" s="12" t="s">
        <v>3795</v>
      </c>
      <c r="N686" s="12" t="s">
        <v>956</v>
      </c>
      <c r="O686" s="12" t="s">
        <v>102</v>
      </c>
      <c r="P686" s="12" t="s">
        <v>103</v>
      </c>
      <c r="Q686" s="12" t="s">
        <v>104</v>
      </c>
      <c r="R686" s="14" t="n">
        <v>11</v>
      </c>
      <c r="S686" s="14" t="s">
        <v>129</v>
      </c>
      <c r="T686" s="14" t="s">
        <v>106</v>
      </c>
      <c r="U686" s="14" t="n">
        <v>2016</v>
      </c>
      <c r="V686" s="12" t="s">
        <v>157</v>
      </c>
      <c r="W686" s="14"/>
      <c r="X686" s="15" t="n">
        <f aca="false">IF(OR($S686="%",$R686=""),"",$R686*INDEX(Cambi!$J$2:$J$5,MATCH($S686,Cambi!$I$2:$I$5,0))/IF($T686="EUR",1,INDEX(Cambi!$D:$D,MATCH($T686&amp;"|"&amp;$U686,Cambi!$C:$C,0))))</f>
        <v>11000</v>
      </c>
      <c r="Y686" s="12" t="s">
        <v>109</v>
      </c>
      <c r="Z686" s="12" t="s">
        <v>109</v>
      </c>
      <c r="AA686" s="12" t="s">
        <v>3790</v>
      </c>
      <c r="AB686" s="16" t="s">
        <v>679</v>
      </c>
      <c r="AC686" s="16" t="s">
        <v>3791</v>
      </c>
      <c r="AD686" s="12" t="s">
        <v>112</v>
      </c>
      <c r="AE686" s="12" t="s">
        <v>3792</v>
      </c>
      <c r="AF686" s="12" t="s">
        <v>3793</v>
      </c>
      <c r="AG686" s="12" t="s">
        <v>115</v>
      </c>
      <c r="AH686" s="12" t="s">
        <v>116</v>
      </c>
      <c r="AI686" s="12" t="s">
        <v>117</v>
      </c>
      <c r="AJ686" s="12" t="s">
        <v>3794</v>
      </c>
      <c r="AK686" s="12" t="s">
        <v>4</v>
      </c>
    </row>
    <row r="687" customFormat="false" ht="15" hidden="false" customHeight="false" outlineLevel="0" collapsed="false">
      <c r="A687" s="11" t="n">
        <v>686</v>
      </c>
      <c r="B687" s="12" t="s">
        <v>3784</v>
      </c>
      <c r="C687" s="12" t="s">
        <v>3762</v>
      </c>
      <c r="D687" s="12" t="s">
        <v>3763</v>
      </c>
      <c r="E687" s="12" t="s">
        <v>759</v>
      </c>
      <c r="F687" s="12" t="s">
        <v>3785</v>
      </c>
      <c r="G687" s="12" t="s">
        <v>581</v>
      </c>
      <c r="H687" s="12" t="s">
        <v>3786</v>
      </c>
      <c r="I687" s="12" t="s">
        <v>1131</v>
      </c>
      <c r="J687" s="13" t="s">
        <v>3787</v>
      </c>
      <c r="K687" s="12"/>
      <c r="L687" s="12" t="s">
        <v>3788</v>
      </c>
      <c r="M687" s="12" t="s">
        <v>3796</v>
      </c>
      <c r="N687" s="12" t="s">
        <v>956</v>
      </c>
      <c r="O687" s="12" t="s">
        <v>102</v>
      </c>
      <c r="P687" s="12" t="s">
        <v>103</v>
      </c>
      <c r="Q687" s="12" t="s">
        <v>104</v>
      </c>
      <c r="R687" s="14" t="n">
        <v>12.1</v>
      </c>
      <c r="S687" s="14" t="s">
        <v>129</v>
      </c>
      <c r="T687" s="14" t="s">
        <v>106</v>
      </c>
      <c r="U687" s="14" t="n">
        <v>2017</v>
      </c>
      <c r="V687" s="12" t="s">
        <v>157</v>
      </c>
      <c r="W687" s="14"/>
      <c r="X687" s="15" t="n">
        <f aca="false">IF(OR($S687="%",$R687=""),"",$R687*INDEX(Cambi!$J$2:$J$5,MATCH($S687,Cambi!$I$2:$I$5,0))/IF($T687="EUR",1,INDEX(Cambi!$D:$D,MATCH($T687&amp;"|"&amp;$U687,Cambi!$C:$C,0))))</f>
        <v>12100</v>
      </c>
      <c r="Y687" s="12" t="s">
        <v>109</v>
      </c>
      <c r="Z687" s="12" t="s">
        <v>109</v>
      </c>
      <c r="AA687" s="12" t="s">
        <v>3790</v>
      </c>
      <c r="AB687" s="16" t="s">
        <v>679</v>
      </c>
      <c r="AC687" s="16" t="s">
        <v>3791</v>
      </c>
      <c r="AD687" s="12" t="s">
        <v>112</v>
      </c>
      <c r="AE687" s="12" t="s">
        <v>3792</v>
      </c>
      <c r="AF687" s="12" t="s">
        <v>3793</v>
      </c>
      <c r="AG687" s="12" t="s">
        <v>115</v>
      </c>
      <c r="AH687" s="12" t="s">
        <v>116</v>
      </c>
      <c r="AI687" s="12" t="s">
        <v>117</v>
      </c>
      <c r="AJ687" s="12" t="s">
        <v>3797</v>
      </c>
      <c r="AK687" s="12" t="s">
        <v>4</v>
      </c>
    </row>
    <row r="688" customFormat="false" ht="15" hidden="false" customHeight="false" outlineLevel="0" collapsed="false">
      <c r="A688" s="11" t="n">
        <v>687</v>
      </c>
      <c r="B688" s="12" t="s">
        <v>3784</v>
      </c>
      <c r="C688" s="12" t="s">
        <v>3762</v>
      </c>
      <c r="D688" s="12" t="s">
        <v>3763</v>
      </c>
      <c r="E688" s="12" t="s">
        <v>759</v>
      </c>
      <c r="F688" s="12" t="s">
        <v>3785</v>
      </c>
      <c r="G688" s="12" t="s">
        <v>581</v>
      </c>
      <c r="H688" s="12" t="s">
        <v>3786</v>
      </c>
      <c r="I688" s="12" t="s">
        <v>1131</v>
      </c>
      <c r="J688" s="13" t="s">
        <v>3787</v>
      </c>
      <c r="K688" s="12"/>
      <c r="L688" s="12" t="s">
        <v>3788</v>
      </c>
      <c r="M688" s="12" t="s">
        <v>3798</v>
      </c>
      <c r="N688" s="12" t="s">
        <v>956</v>
      </c>
      <c r="O688" s="12" t="s">
        <v>102</v>
      </c>
      <c r="P688" s="12" t="s">
        <v>103</v>
      </c>
      <c r="Q688" s="12" t="s">
        <v>104</v>
      </c>
      <c r="R688" s="14" t="n">
        <v>13.5</v>
      </c>
      <c r="S688" s="14" t="s">
        <v>129</v>
      </c>
      <c r="T688" s="14" t="s">
        <v>106</v>
      </c>
      <c r="U688" s="14" t="n">
        <v>2018</v>
      </c>
      <c r="V688" s="12" t="s">
        <v>157</v>
      </c>
      <c r="W688" s="14"/>
      <c r="X688" s="15" t="n">
        <f aca="false">IF(OR($S688="%",$R688=""),"",$R688*INDEX(Cambi!$J$2:$J$5,MATCH($S688,Cambi!$I$2:$I$5,0))/IF($T688="EUR",1,INDEX(Cambi!$D:$D,MATCH($T688&amp;"|"&amp;$U688,Cambi!$C:$C,0))))</f>
        <v>13500</v>
      </c>
      <c r="Y688" s="12" t="s">
        <v>109</v>
      </c>
      <c r="Z688" s="12" t="s">
        <v>109</v>
      </c>
      <c r="AA688" s="12" t="s">
        <v>3790</v>
      </c>
      <c r="AB688" s="16" t="s">
        <v>679</v>
      </c>
      <c r="AC688" s="16" t="s">
        <v>3791</v>
      </c>
      <c r="AD688" s="12" t="s">
        <v>112</v>
      </c>
      <c r="AE688" s="12" t="s">
        <v>3792</v>
      </c>
      <c r="AF688" s="12" t="s">
        <v>3793</v>
      </c>
      <c r="AG688" s="12" t="s">
        <v>115</v>
      </c>
      <c r="AH688" s="12" t="s">
        <v>116</v>
      </c>
      <c r="AI688" s="12" t="s">
        <v>117</v>
      </c>
      <c r="AJ688" s="12" t="s">
        <v>3794</v>
      </c>
      <c r="AK688" s="12" t="s">
        <v>4</v>
      </c>
    </row>
    <row r="689" customFormat="false" ht="15" hidden="false" customHeight="false" outlineLevel="0" collapsed="false">
      <c r="A689" s="11" t="n">
        <v>688</v>
      </c>
      <c r="B689" s="12" t="s">
        <v>3784</v>
      </c>
      <c r="C689" s="12" t="s">
        <v>3762</v>
      </c>
      <c r="D689" s="12" t="s">
        <v>3763</v>
      </c>
      <c r="E689" s="12" t="s">
        <v>759</v>
      </c>
      <c r="F689" s="12" t="s">
        <v>3785</v>
      </c>
      <c r="G689" s="12" t="s">
        <v>581</v>
      </c>
      <c r="H689" s="12" t="s">
        <v>3786</v>
      </c>
      <c r="I689" s="12" t="s">
        <v>1131</v>
      </c>
      <c r="J689" s="13" t="s">
        <v>3787</v>
      </c>
      <c r="K689" s="12"/>
      <c r="L689" s="12" t="s">
        <v>3788</v>
      </c>
      <c r="M689" s="12" t="s">
        <v>3799</v>
      </c>
      <c r="N689" s="12" t="s">
        <v>956</v>
      </c>
      <c r="O689" s="12" t="s">
        <v>102</v>
      </c>
      <c r="P689" s="12" t="s">
        <v>103</v>
      </c>
      <c r="Q689" s="12" t="s">
        <v>104</v>
      </c>
      <c r="R689" s="14" t="n">
        <v>14.7</v>
      </c>
      <c r="S689" s="14" t="s">
        <v>129</v>
      </c>
      <c r="T689" s="14" t="s">
        <v>106</v>
      </c>
      <c r="U689" s="14" t="n">
        <v>2019</v>
      </c>
      <c r="V689" s="12" t="s">
        <v>157</v>
      </c>
      <c r="W689" s="14"/>
      <c r="X689" s="15" t="n">
        <f aca="false">IF(OR($S689="%",$R689=""),"",$R689*INDEX(Cambi!$J$2:$J$5,MATCH($S689,Cambi!$I$2:$I$5,0))/IF($T689="EUR",1,INDEX(Cambi!$D:$D,MATCH($T689&amp;"|"&amp;$U689,Cambi!$C:$C,0))))</f>
        <v>14700</v>
      </c>
      <c r="Y689" s="12" t="s">
        <v>109</v>
      </c>
      <c r="Z689" s="12" t="s">
        <v>109</v>
      </c>
      <c r="AA689" s="12" t="s">
        <v>3790</v>
      </c>
      <c r="AB689" s="16" t="s">
        <v>679</v>
      </c>
      <c r="AC689" s="16" t="s">
        <v>3791</v>
      </c>
      <c r="AD689" s="12" t="s">
        <v>112</v>
      </c>
      <c r="AE689" s="12" t="s">
        <v>3792</v>
      </c>
      <c r="AF689" s="12" t="s">
        <v>3793</v>
      </c>
      <c r="AG689" s="12" t="s">
        <v>115</v>
      </c>
      <c r="AH689" s="12" t="s">
        <v>116</v>
      </c>
      <c r="AI689" s="12" t="s">
        <v>117</v>
      </c>
      <c r="AJ689" s="12" t="s">
        <v>3794</v>
      </c>
      <c r="AK689" s="12" t="s">
        <v>4</v>
      </c>
    </row>
    <row r="690" customFormat="false" ht="15" hidden="false" customHeight="false" outlineLevel="0" collapsed="false">
      <c r="A690" s="11" t="n">
        <v>689</v>
      </c>
      <c r="B690" s="12" t="s">
        <v>3784</v>
      </c>
      <c r="C690" s="12" t="s">
        <v>3762</v>
      </c>
      <c r="D690" s="12" t="s">
        <v>3763</v>
      </c>
      <c r="E690" s="12" t="s">
        <v>759</v>
      </c>
      <c r="F690" s="12" t="s">
        <v>3785</v>
      </c>
      <c r="G690" s="12" t="s">
        <v>581</v>
      </c>
      <c r="H690" s="12" t="s">
        <v>3786</v>
      </c>
      <c r="I690" s="12" t="s">
        <v>1131</v>
      </c>
      <c r="J690" s="13" t="s">
        <v>3800</v>
      </c>
      <c r="K690" s="12"/>
      <c r="L690" s="12" t="s">
        <v>3801</v>
      </c>
      <c r="M690" s="12" t="s">
        <v>3802</v>
      </c>
      <c r="N690" s="12" t="s">
        <v>956</v>
      </c>
      <c r="O690" s="12" t="s">
        <v>102</v>
      </c>
      <c r="P690" s="12" t="s">
        <v>103</v>
      </c>
      <c r="Q690" s="12" t="s">
        <v>104</v>
      </c>
      <c r="R690" s="14" t="n">
        <v>26</v>
      </c>
      <c r="S690" s="14" t="s">
        <v>129</v>
      </c>
      <c r="T690" s="14" t="s">
        <v>106</v>
      </c>
      <c r="U690" s="14" t="n">
        <v>2020</v>
      </c>
      <c r="V690" s="12" t="s">
        <v>157</v>
      </c>
      <c r="W690" s="14"/>
      <c r="X690" s="15" t="n">
        <f aca="false">IF(OR($S690="%",$R690=""),"",$R690*INDEX(Cambi!$J$2:$J$5,MATCH($S690,Cambi!$I$2:$I$5,0))/IF($T690="EUR",1,INDEX(Cambi!$D:$D,MATCH($T690&amp;"|"&amp;$U690,Cambi!$C:$C,0))))</f>
        <v>26000</v>
      </c>
      <c r="Y690" s="12" t="s">
        <v>109</v>
      </c>
      <c r="Z690" s="12" t="s">
        <v>109</v>
      </c>
      <c r="AA690" s="12" t="s">
        <v>3790</v>
      </c>
      <c r="AB690" s="16" t="s">
        <v>679</v>
      </c>
      <c r="AC690" s="16" t="s">
        <v>3791</v>
      </c>
      <c r="AD690" s="12" t="s">
        <v>112</v>
      </c>
      <c r="AE690" s="12" t="s">
        <v>3792</v>
      </c>
      <c r="AF690" s="12" t="s">
        <v>3803</v>
      </c>
      <c r="AG690" s="12" t="s">
        <v>115</v>
      </c>
      <c r="AH690" s="12" t="s">
        <v>116</v>
      </c>
      <c r="AI690" s="12" t="s">
        <v>117</v>
      </c>
      <c r="AJ690" s="12" t="s">
        <v>3804</v>
      </c>
      <c r="AK690" s="12" t="s">
        <v>4</v>
      </c>
    </row>
    <row r="691" customFormat="false" ht="15" hidden="false" customHeight="false" outlineLevel="0" collapsed="false">
      <c r="A691" s="11" t="n">
        <v>690</v>
      </c>
      <c r="B691" s="12" t="s">
        <v>3784</v>
      </c>
      <c r="C691" s="12" t="s">
        <v>3762</v>
      </c>
      <c r="D691" s="12" t="s">
        <v>3763</v>
      </c>
      <c r="E691" s="12" t="s">
        <v>759</v>
      </c>
      <c r="F691" s="12" t="s">
        <v>3785</v>
      </c>
      <c r="G691" s="12" t="s">
        <v>581</v>
      </c>
      <c r="H691" s="12" t="s">
        <v>3786</v>
      </c>
      <c r="I691" s="12" t="s">
        <v>1131</v>
      </c>
      <c r="J691" s="13" t="s">
        <v>3787</v>
      </c>
      <c r="K691" s="12"/>
      <c r="L691" s="12" t="s">
        <v>3788</v>
      </c>
      <c r="M691" s="12" t="s">
        <v>3805</v>
      </c>
      <c r="N691" s="12" t="s">
        <v>956</v>
      </c>
      <c r="O691" s="12" t="s">
        <v>102</v>
      </c>
      <c r="P691" s="12" t="s">
        <v>103</v>
      </c>
      <c r="Q691" s="12" t="s">
        <v>104</v>
      </c>
      <c r="R691" s="14" t="n">
        <v>16.4</v>
      </c>
      <c r="S691" s="14" t="s">
        <v>129</v>
      </c>
      <c r="T691" s="14" t="s">
        <v>106</v>
      </c>
      <c r="U691" s="14" t="n">
        <v>2020</v>
      </c>
      <c r="V691" s="12" t="s">
        <v>157</v>
      </c>
      <c r="W691" s="14"/>
      <c r="X691" s="15" t="n">
        <f aca="false">IF(OR($S691="%",$R691=""),"",$R691*INDEX(Cambi!$J$2:$J$5,MATCH($S691,Cambi!$I$2:$I$5,0))/IF($T691="EUR",1,INDEX(Cambi!$D:$D,MATCH($T691&amp;"|"&amp;$U691,Cambi!$C:$C,0))))</f>
        <v>16400</v>
      </c>
      <c r="Y691" s="12" t="s">
        <v>109</v>
      </c>
      <c r="Z691" s="12" t="s">
        <v>109</v>
      </c>
      <c r="AA691" s="12" t="s">
        <v>3790</v>
      </c>
      <c r="AB691" s="16" t="s">
        <v>679</v>
      </c>
      <c r="AC691" s="16" t="s">
        <v>3791</v>
      </c>
      <c r="AD691" s="12" t="s">
        <v>112</v>
      </c>
      <c r="AE691" s="12" t="s">
        <v>3792</v>
      </c>
      <c r="AF691" s="12" t="s">
        <v>3793</v>
      </c>
      <c r="AG691" s="12" t="s">
        <v>115</v>
      </c>
      <c r="AH691" s="12" t="s">
        <v>116</v>
      </c>
      <c r="AI691" s="12" t="s">
        <v>117</v>
      </c>
      <c r="AJ691" s="12" t="s">
        <v>3794</v>
      </c>
      <c r="AK691" s="12" t="s">
        <v>4</v>
      </c>
    </row>
    <row r="692" customFormat="false" ht="15" hidden="false" customHeight="false" outlineLevel="0" collapsed="false">
      <c r="A692" s="11" t="n">
        <v>691</v>
      </c>
      <c r="B692" s="12" t="s">
        <v>3784</v>
      </c>
      <c r="C692" s="12" t="s">
        <v>3762</v>
      </c>
      <c r="D692" s="12" t="s">
        <v>3763</v>
      </c>
      <c r="E692" s="12" t="s">
        <v>759</v>
      </c>
      <c r="F692" s="12" t="s">
        <v>3785</v>
      </c>
      <c r="G692" s="12" t="s">
        <v>581</v>
      </c>
      <c r="H692" s="12" t="s">
        <v>3786</v>
      </c>
      <c r="I692" s="12" t="s">
        <v>1131</v>
      </c>
      <c r="J692" s="13" t="s">
        <v>3787</v>
      </c>
      <c r="K692" s="12"/>
      <c r="L692" s="12" t="s">
        <v>3788</v>
      </c>
      <c r="M692" s="12" t="s">
        <v>3806</v>
      </c>
      <c r="N692" s="12" t="s">
        <v>956</v>
      </c>
      <c r="O692" s="12" t="s">
        <v>102</v>
      </c>
      <c r="P692" s="12" t="s">
        <v>103</v>
      </c>
      <c r="Q692" s="12" t="s">
        <v>104</v>
      </c>
      <c r="R692" s="14" t="n">
        <v>16</v>
      </c>
      <c r="S692" s="14" t="s">
        <v>129</v>
      </c>
      <c r="T692" s="14" t="s">
        <v>106</v>
      </c>
      <c r="U692" s="14" t="n">
        <v>2021</v>
      </c>
      <c r="V692" s="12" t="s">
        <v>157</v>
      </c>
      <c r="W692" s="14"/>
      <c r="X692" s="15" t="n">
        <f aca="false">IF(OR($S692="%",$R692=""),"",$R692*INDEX(Cambi!$J$2:$J$5,MATCH($S692,Cambi!$I$2:$I$5,0))/IF($T692="EUR",1,INDEX(Cambi!$D:$D,MATCH($T692&amp;"|"&amp;$U692,Cambi!$C:$C,0))))</f>
        <v>16000</v>
      </c>
      <c r="Y692" s="12" t="s">
        <v>109</v>
      </c>
      <c r="Z692" s="12" t="s">
        <v>109</v>
      </c>
      <c r="AA692" s="12" t="s">
        <v>3790</v>
      </c>
      <c r="AB692" s="16" t="s">
        <v>679</v>
      </c>
      <c r="AC692" s="16" t="s">
        <v>3791</v>
      </c>
      <c r="AD692" s="12" t="s">
        <v>112</v>
      </c>
      <c r="AE692" s="12" t="s">
        <v>3792</v>
      </c>
      <c r="AF692" s="12" t="s">
        <v>3793</v>
      </c>
      <c r="AG692" s="12" t="s">
        <v>115</v>
      </c>
      <c r="AH692" s="12" t="s">
        <v>116</v>
      </c>
      <c r="AI692" s="12" t="s">
        <v>117</v>
      </c>
      <c r="AJ692" s="12" t="s">
        <v>3807</v>
      </c>
      <c r="AK692" s="12" t="s">
        <v>4</v>
      </c>
    </row>
    <row r="693" customFormat="false" ht="15" hidden="false" customHeight="false" outlineLevel="0" collapsed="false">
      <c r="A693" s="11" t="n">
        <v>692</v>
      </c>
      <c r="B693" s="12" t="s">
        <v>3784</v>
      </c>
      <c r="C693" s="12" t="s">
        <v>3762</v>
      </c>
      <c r="D693" s="12" t="s">
        <v>3763</v>
      </c>
      <c r="E693" s="12" t="s">
        <v>759</v>
      </c>
      <c r="F693" s="12" t="s">
        <v>3785</v>
      </c>
      <c r="G693" s="12" t="s">
        <v>581</v>
      </c>
      <c r="H693" s="12" t="s">
        <v>3786</v>
      </c>
      <c r="I693" s="12" t="s">
        <v>1131</v>
      </c>
      <c r="J693" s="13" t="s">
        <v>3787</v>
      </c>
      <c r="K693" s="12"/>
      <c r="L693" s="12" t="s">
        <v>3808</v>
      </c>
      <c r="M693" s="12" t="s">
        <v>3809</v>
      </c>
      <c r="N693" s="12" t="s">
        <v>956</v>
      </c>
      <c r="O693" s="12" t="s">
        <v>102</v>
      </c>
      <c r="P693" s="12" t="s">
        <v>103</v>
      </c>
      <c r="Q693" s="12" t="s">
        <v>104</v>
      </c>
      <c r="R693" s="14" t="n">
        <v>7.5</v>
      </c>
      <c r="S693" s="14" t="s">
        <v>129</v>
      </c>
      <c r="T693" s="14" t="s">
        <v>106</v>
      </c>
      <c r="U693" s="14" t="n">
        <v>2021</v>
      </c>
      <c r="V693" s="12" t="s">
        <v>157</v>
      </c>
      <c r="W693" s="14"/>
      <c r="X693" s="15" t="n">
        <f aca="false">IF(OR($S693="%",$R693=""),"",$R693*INDEX(Cambi!$J$2:$J$5,MATCH($S693,Cambi!$I$2:$I$5,0))/IF($T693="EUR",1,INDEX(Cambi!$D:$D,MATCH($T693&amp;"|"&amp;$U693,Cambi!$C:$C,0))))</f>
        <v>7500</v>
      </c>
      <c r="Y693" s="12" t="s">
        <v>109</v>
      </c>
      <c r="Z693" s="12" t="s">
        <v>109</v>
      </c>
      <c r="AA693" s="12" t="s">
        <v>3790</v>
      </c>
      <c r="AB693" s="16" t="s">
        <v>679</v>
      </c>
      <c r="AC693" s="16" t="s">
        <v>3791</v>
      </c>
      <c r="AD693" s="12" t="s">
        <v>112</v>
      </c>
      <c r="AE693" s="12" t="s">
        <v>3792</v>
      </c>
      <c r="AF693" s="12" t="s">
        <v>3810</v>
      </c>
      <c r="AG693" s="12" t="s">
        <v>115</v>
      </c>
      <c r="AH693" s="12" t="s">
        <v>116</v>
      </c>
      <c r="AI693" s="12" t="s">
        <v>117</v>
      </c>
      <c r="AJ693" s="12" t="s">
        <v>3811</v>
      </c>
      <c r="AK693" s="12" t="s">
        <v>4</v>
      </c>
    </row>
    <row r="694" customFormat="false" ht="15" hidden="false" customHeight="false" outlineLevel="0" collapsed="false">
      <c r="A694" s="11" t="n">
        <v>693</v>
      </c>
      <c r="B694" s="12" t="s">
        <v>3812</v>
      </c>
      <c r="C694" s="12" t="s">
        <v>3762</v>
      </c>
      <c r="D694" s="12" t="s">
        <v>3763</v>
      </c>
      <c r="E694" s="12" t="s">
        <v>759</v>
      </c>
      <c r="F694" s="12" t="s">
        <v>1984</v>
      </c>
      <c r="G694" s="12" t="s">
        <v>830</v>
      </c>
      <c r="H694" s="12" t="s">
        <v>3813</v>
      </c>
      <c r="I694" s="12" t="s">
        <v>181</v>
      </c>
      <c r="J694" s="13" t="s">
        <v>3814</v>
      </c>
      <c r="K694" s="12"/>
      <c r="L694" s="12" t="s">
        <v>3815</v>
      </c>
      <c r="M694" s="12" t="s">
        <v>3816</v>
      </c>
      <c r="N694" s="12" t="s">
        <v>352</v>
      </c>
      <c r="O694" s="12" t="s">
        <v>102</v>
      </c>
      <c r="P694" s="12" t="s">
        <v>155</v>
      </c>
      <c r="Q694" s="12" t="s">
        <v>3817</v>
      </c>
      <c r="R694" s="14" t="n">
        <v>1026.4</v>
      </c>
      <c r="S694" s="14" t="s">
        <v>105</v>
      </c>
      <c r="T694" s="14" t="s">
        <v>653</v>
      </c>
      <c r="U694" s="14" t="n">
        <v>2024</v>
      </c>
      <c r="V694" s="12" t="s">
        <v>157</v>
      </c>
      <c r="W694" s="14"/>
      <c r="X694" s="15" t="n">
        <f aca="false">IF(OR($S694="%",$R694=""),"",$R694*INDEX(Cambi!$J$2:$J$5,MATCH($S694,Cambi!$I$2:$I$5,0))/IF($T694="EUR",1,INDEX(Cambi!$D:$D,MATCH($T694&amp;"|"&amp;$U694,Cambi!$C:$C,0))))</f>
        <v>948.263118994826</v>
      </c>
      <c r="Y694" s="12" t="s">
        <v>109</v>
      </c>
      <c r="Z694" s="12" t="s">
        <v>109</v>
      </c>
      <c r="AA694" s="12" t="s">
        <v>109</v>
      </c>
      <c r="AB694" s="12" t="s">
        <v>679</v>
      </c>
      <c r="AC694" s="12" t="s">
        <v>395</v>
      </c>
      <c r="AD694" s="12" t="s">
        <v>166</v>
      </c>
      <c r="AE694" s="12" t="s">
        <v>3818</v>
      </c>
      <c r="AF694" s="12" t="s">
        <v>3819</v>
      </c>
      <c r="AG694" s="12" t="s">
        <v>498</v>
      </c>
      <c r="AH694" s="12" t="s">
        <v>838</v>
      </c>
      <c r="AI694" s="12" t="s">
        <v>117</v>
      </c>
      <c r="AJ694" s="12" t="s">
        <v>266</v>
      </c>
      <c r="AK694" s="12" t="s">
        <v>4</v>
      </c>
    </row>
    <row r="695" customFormat="false" ht="15" hidden="false" customHeight="false" outlineLevel="0" collapsed="false">
      <c r="A695" s="11" t="n">
        <v>694</v>
      </c>
      <c r="B695" s="12" t="s">
        <v>3812</v>
      </c>
      <c r="C695" s="12" t="s">
        <v>3762</v>
      </c>
      <c r="D695" s="12" t="s">
        <v>3763</v>
      </c>
      <c r="E695" s="12" t="s">
        <v>759</v>
      </c>
      <c r="F695" s="12" t="s">
        <v>1984</v>
      </c>
      <c r="G695" s="12" t="s">
        <v>830</v>
      </c>
      <c r="H695" s="12" t="s">
        <v>3813</v>
      </c>
      <c r="I695" s="12" t="s">
        <v>181</v>
      </c>
      <c r="J695" s="13" t="s">
        <v>3814</v>
      </c>
      <c r="K695" s="12"/>
      <c r="L695" s="12" t="s">
        <v>3820</v>
      </c>
      <c r="M695" s="12" t="s">
        <v>3821</v>
      </c>
      <c r="N695" s="12" t="s">
        <v>352</v>
      </c>
      <c r="O695" s="12" t="s">
        <v>102</v>
      </c>
      <c r="P695" s="12" t="s">
        <v>155</v>
      </c>
      <c r="Q695" s="12" t="s">
        <v>3817</v>
      </c>
      <c r="R695" s="14" t="n">
        <v>1626</v>
      </c>
      <c r="S695" s="14" t="s">
        <v>105</v>
      </c>
      <c r="T695" s="14" t="s">
        <v>653</v>
      </c>
      <c r="U695" s="14" t="n">
        <v>2029</v>
      </c>
      <c r="V695" s="12" t="s">
        <v>107</v>
      </c>
      <c r="W695" s="14" t="s">
        <v>3822</v>
      </c>
      <c r="X695" s="15" t="n">
        <f aca="false">IF(OR($S695="%",$R695=""),"",$R695*INDEX(Cambi!$J$2:$J$5,MATCH($S695,Cambi!$I$2:$I$5,0))/IF($T695="EUR",1,INDEX(Cambi!$D:$D,MATCH($T695&amp;"|"&amp;$U695,Cambi!$C:$C,0))))</f>
        <v>1438.93805309735</v>
      </c>
      <c r="Y695" s="12" t="s">
        <v>109</v>
      </c>
      <c r="Z695" s="12" t="s">
        <v>109</v>
      </c>
      <c r="AA695" s="12" t="s">
        <v>109</v>
      </c>
      <c r="AB695" s="12" t="s">
        <v>679</v>
      </c>
      <c r="AC695" s="12" t="s">
        <v>395</v>
      </c>
      <c r="AD695" s="12" t="s">
        <v>166</v>
      </c>
      <c r="AE695" s="12" t="s">
        <v>3818</v>
      </c>
      <c r="AF695" s="12" t="s">
        <v>3823</v>
      </c>
      <c r="AG695" s="12" t="s">
        <v>498</v>
      </c>
      <c r="AH695" s="12" t="s">
        <v>838</v>
      </c>
      <c r="AI695" s="12" t="s">
        <v>117</v>
      </c>
      <c r="AJ695" s="12" t="s">
        <v>266</v>
      </c>
      <c r="AK695" s="12" t="s">
        <v>4</v>
      </c>
    </row>
    <row r="696" customFormat="false" ht="15" hidden="false" customHeight="false" outlineLevel="0" collapsed="false">
      <c r="A696" s="11" t="n">
        <v>695</v>
      </c>
      <c r="B696" s="12" t="s">
        <v>3824</v>
      </c>
      <c r="C696" s="12" t="s">
        <v>3762</v>
      </c>
      <c r="D696" s="12" t="s">
        <v>3763</v>
      </c>
      <c r="E696" s="12" t="s">
        <v>759</v>
      </c>
      <c r="F696" s="12" t="s">
        <v>845</v>
      </c>
      <c r="G696" s="12" t="s">
        <v>830</v>
      </c>
      <c r="H696" s="12" t="s">
        <v>3825</v>
      </c>
      <c r="I696" s="12" t="s">
        <v>847</v>
      </c>
      <c r="J696" s="13" t="s">
        <v>3826</v>
      </c>
      <c r="K696" s="12"/>
      <c r="L696" s="12" t="s">
        <v>3827</v>
      </c>
      <c r="M696" s="12" t="s">
        <v>3828</v>
      </c>
      <c r="N696" s="12" t="s">
        <v>352</v>
      </c>
      <c r="O696" s="12" t="s">
        <v>102</v>
      </c>
      <c r="P696" s="12" t="s">
        <v>103</v>
      </c>
      <c r="Q696" s="12" t="s">
        <v>104</v>
      </c>
      <c r="R696" s="14" t="n">
        <v>2.36</v>
      </c>
      <c r="S696" s="14" t="s">
        <v>129</v>
      </c>
      <c r="T696" s="14" t="s">
        <v>653</v>
      </c>
      <c r="U696" s="14" t="n">
        <v>2025</v>
      </c>
      <c r="V696" s="12" t="s">
        <v>157</v>
      </c>
      <c r="W696" s="14"/>
      <c r="X696" s="15" t="n">
        <f aca="false">IF(OR($S696="%",$R696=""),"",$R696*INDEX(Cambi!$J$2:$J$5,MATCH($S696,Cambi!$I$2:$I$5,0))/IF($T696="EUR",1,INDEX(Cambi!$D:$D,MATCH($T696&amp;"|"&amp;$U696,Cambi!$C:$C,0))))</f>
        <v>2088.49557522124</v>
      </c>
      <c r="Y696" s="12" t="s">
        <v>130</v>
      </c>
      <c r="Z696" s="12" t="s">
        <v>109</v>
      </c>
      <c r="AA696" s="12" t="s">
        <v>109</v>
      </c>
      <c r="AB696" s="16" t="s">
        <v>110</v>
      </c>
      <c r="AC696" s="16" t="s">
        <v>836</v>
      </c>
      <c r="AD696" s="12" t="s">
        <v>112</v>
      </c>
      <c r="AE696" s="12" t="s">
        <v>3829</v>
      </c>
      <c r="AF696" s="12" t="s">
        <v>3830</v>
      </c>
      <c r="AG696" s="12" t="s">
        <v>284</v>
      </c>
      <c r="AH696" s="12" t="s">
        <v>838</v>
      </c>
      <c r="AI696" s="12" t="s">
        <v>117</v>
      </c>
      <c r="AJ696" s="12" t="s">
        <v>3831</v>
      </c>
      <c r="AK696" s="12" t="s">
        <v>4</v>
      </c>
    </row>
    <row r="697" customFormat="false" ht="15" hidden="false" customHeight="false" outlineLevel="0" collapsed="false">
      <c r="A697" s="11" t="n">
        <v>696</v>
      </c>
      <c r="B697" s="12" t="s">
        <v>3824</v>
      </c>
      <c r="C697" s="12" t="s">
        <v>3762</v>
      </c>
      <c r="D697" s="12" t="s">
        <v>3763</v>
      </c>
      <c r="E697" s="12" t="s">
        <v>759</v>
      </c>
      <c r="F697" s="12" t="s">
        <v>845</v>
      </c>
      <c r="G697" s="12" t="s">
        <v>830</v>
      </c>
      <c r="H697" s="12" t="s">
        <v>3825</v>
      </c>
      <c r="I697" s="12" t="s">
        <v>847</v>
      </c>
      <c r="J697" s="13" t="s">
        <v>3826</v>
      </c>
      <c r="K697" s="12"/>
      <c r="L697" s="12" t="s">
        <v>3832</v>
      </c>
      <c r="M697" s="12" t="s">
        <v>3833</v>
      </c>
      <c r="N697" s="12" t="s">
        <v>352</v>
      </c>
      <c r="O697" s="12" t="s">
        <v>196</v>
      </c>
      <c r="P697" s="12" t="s">
        <v>214</v>
      </c>
      <c r="Q697" s="12" t="s">
        <v>1464</v>
      </c>
      <c r="R697" s="14" t="n">
        <v>26.73</v>
      </c>
      <c r="S697" s="14" t="s">
        <v>197</v>
      </c>
      <c r="T697" s="14"/>
      <c r="U697" s="14" t="n">
        <v>2025</v>
      </c>
      <c r="V697" s="12" t="s">
        <v>157</v>
      </c>
      <c r="W697" s="14"/>
      <c r="X697" s="15" t="str">
        <f aca="false">IF(OR($S697="%",$R697=""),"",$R697*INDEX(Cambi!$J$2:$J$5,MATCH($S697,Cambi!$I$2:$I$5,0))/IF($T697="EUR",1,INDEX(Cambi!$D:$D,MATCH($T697&amp;"|"&amp;$U697,Cambi!$C:$C,0))))</f>
        <v/>
      </c>
      <c r="Y697" s="12" t="s">
        <v>130</v>
      </c>
      <c r="Z697" s="12" t="s">
        <v>109</v>
      </c>
      <c r="AA697" s="12" t="s">
        <v>109</v>
      </c>
      <c r="AB697" s="16" t="s">
        <v>110</v>
      </c>
      <c r="AC697" s="16" t="s">
        <v>836</v>
      </c>
      <c r="AD697" s="12" t="s">
        <v>112</v>
      </c>
      <c r="AE697" s="12" t="s">
        <v>3829</v>
      </c>
      <c r="AF697" s="12" t="s">
        <v>3834</v>
      </c>
      <c r="AG697" s="12" t="s">
        <v>284</v>
      </c>
      <c r="AH697" s="12" t="s">
        <v>838</v>
      </c>
      <c r="AI697" s="12" t="s">
        <v>117</v>
      </c>
      <c r="AJ697" s="12" t="s">
        <v>266</v>
      </c>
      <c r="AK697" s="12" t="s">
        <v>4</v>
      </c>
    </row>
    <row r="698" customFormat="false" ht="15" hidden="false" customHeight="false" outlineLevel="0" collapsed="false">
      <c r="A698" s="11" t="n">
        <v>697</v>
      </c>
      <c r="B698" s="12" t="s">
        <v>3824</v>
      </c>
      <c r="C698" s="12" t="s">
        <v>3762</v>
      </c>
      <c r="D698" s="12" t="s">
        <v>3763</v>
      </c>
      <c r="E698" s="12" t="s">
        <v>759</v>
      </c>
      <c r="F698" s="12" t="s">
        <v>845</v>
      </c>
      <c r="G698" s="12" t="s">
        <v>830</v>
      </c>
      <c r="H698" s="12" t="s">
        <v>3825</v>
      </c>
      <c r="I698" s="12" t="s">
        <v>847</v>
      </c>
      <c r="J698" s="13" t="s">
        <v>3826</v>
      </c>
      <c r="K698" s="12"/>
      <c r="L698" s="12" t="s">
        <v>3835</v>
      </c>
      <c r="M698" s="12" t="s">
        <v>3836</v>
      </c>
      <c r="N698" s="12" t="s">
        <v>352</v>
      </c>
      <c r="O698" s="12" t="s">
        <v>196</v>
      </c>
      <c r="P698" s="12" t="s">
        <v>856</v>
      </c>
      <c r="Q698" s="12" t="s">
        <v>857</v>
      </c>
      <c r="R698" s="14" t="n">
        <v>72.65</v>
      </c>
      <c r="S698" s="14" t="s">
        <v>197</v>
      </c>
      <c r="T698" s="14"/>
      <c r="U698" s="14" t="n">
        <v>2025</v>
      </c>
      <c r="V698" s="12" t="s">
        <v>157</v>
      </c>
      <c r="W698" s="14"/>
      <c r="X698" s="15" t="str">
        <f aca="false">IF(OR($S698="%",$R698=""),"",$R698*INDEX(Cambi!$J$2:$J$5,MATCH($S698,Cambi!$I$2:$I$5,0))/IF($T698="EUR",1,INDEX(Cambi!$D:$D,MATCH($T698&amp;"|"&amp;$U698,Cambi!$C:$C,0))))</f>
        <v/>
      </c>
      <c r="Y698" s="12" t="s">
        <v>130</v>
      </c>
      <c r="Z698" s="12" t="s">
        <v>109</v>
      </c>
      <c r="AA698" s="12" t="s">
        <v>109</v>
      </c>
      <c r="AB698" s="16" t="s">
        <v>110</v>
      </c>
      <c r="AC698" s="16" t="s">
        <v>836</v>
      </c>
      <c r="AD698" s="12" t="s">
        <v>112</v>
      </c>
      <c r="AE698" s="12" t="s">
        <v>3829</v>
      </c>
      <c r="AF698" s="12" t="s">
        <v>3837</v>
      </c>
      <c r="AG698" s="12" t="s">
        <v>284</v>
      </c>
      <c r="AH698" s="12" t="s">
        <v>838</v>
      </c>
      <c r="AI698" s="12" t="s">
        <v>117</v>
      </c>
      <c r="AJ698" s="12" t="s">
        <v>266</v>
      </c>
      <c r="AK698" s="12" t="s">
        <v>4</v>
      </c>
    </row>
    <row r="699" customFormat="false" ht="15" hidden="false" customHeight="false" outlineLevel="0" collapsed="false">
      <c r="A699" s="11" t="n">
        <v>698</v>
      </c>
      <c r="B699" s="12" t="s">
        <v>3824</v>
      </c>
      <c r="C699" s="12" t="s">
        <v>3762</v>
      </c>
      <c r="D699" s="12" t="s">
        <v>3763</v>
      </c>
      <c r="E699" s="12" t="s">
        <v>759</v>
      </c>
      <c r="F699" s="12" t="s">
        <v>845</v>
      </c>
      <c r="G699" s="12" t="s">
        <v>830</v>
      </c>
      <c r="H699" s="12" t="s">
        <v>3825</v>
      </c>
      <c r="I699" s="12" t="s">
        <v>847</v>
      </c>
      <c r="J699" s="13" t="s">
        <v>3826</v>
      </c>
      <c r="K699" s="12"/>
      <c r="L699" s="12" t="s">
        <v>3838</v>
      </c>
      <c r="M699" s="12" t="s">
        <v>3839</v>
      </c>
      <c r="N699" s="12" t="s">
        <v>352</v>
      </c>
      <c r="O699" s="12" t="s">
        <v>196</v>
      </c>
      <c r="P699" s="12" t="s">
        <v>155</v>
      </c>
      <c r="Q699" s="12" t="s">
        <v>1027</v>
      </c>
      <c r="R699" s="14" t="n">
        <v>61.38</v>
      </c>
      <c r="S699" s="14" t="s">
        <v>197</v>
      </c>
      <c r="T699" s="14"/>
      <c r="U699" s="14" t="n">
        <v>2025</v>
      </c>
      <c r="V699" s="12" t="s">
        <v>157</v>
      </c>
      <c r="W699" s="14"/>
      <c r="X699" s="15" t="str">
        <f aca="false">IF(OR($S699="%",$R699=""),"",$R699*INDEX(Cambi!$J$2:$J$5,MATCH($S699,Cambi!$I$2:$I$5,0))/IF($T699="EUR",1,INDEX(Cambi!$D:$D,MATCH($T699&amp;"|"&amp;$U699,Cambi!$C:$C,0))))</f>
        <v/>
      </c>
      <c r="Y699" s="12" t="s">
        <v>130</v>
      </c>
      <c r="Z699" s="12" t="s">
        <v>109</v>
      </c>
      <c r="AA699" s="12" t="s">
        <v>109</v>
      </c>
      <c r="AB699" s="16" t="s">
        <v>110</v>
      </c>
      <c r="AC699" s="16" t="s">
        <v>836</v>
      </c>
      <c r="AD699" s="12" t="s">
        <v>112</v>
      </c>
      <c r="AE699" s="12" t="s">
        <v>3829</v>
      </c>
      <c r="AF699" s="12" t="s">
        <v>3840</v>
      </c>
      <c r="AG699" s="12" t="s">
        <v>284</v>
      </c>
      <c r="AH699" s="12" t="s">
        <v>838</v>
      </c>
      <c r="AI699" s="12" t="s">
        <v>117</v>
      </c>
      <c r="AJ699" s="12" t="s">
        <v>266</v>
      </c>
      <c r="AK699" s="12" t="s">
        <v>4</v>
      </c>
    </row>
    <row r="700" customFormat="false" ht="15" hidden="false" customHeight="false" outlineLevel="0" collapsed="false">
      <c r="A700" s="11" t="n">
        <v>699</v>
      </c>
      <c r="B700" s="12" t="s">
        <v>3824</v>
      </c>
      <c r="C700" s="12" t="s">
        <v>3762</v>
      </c>
      <c r="D700" s="12" t="s">
        <v>3763</v>
      </c>
      <c r="E700" s="12" t="s">
        <v>759</v>
      </c>
      <c r="F700" s="12" t="s">
        <v>845</v>
      </c>
      <c r="G700" s="12" t="s">
        <v>830</v>
      </c>
      <c r="H700" s="12" t="s">
        <v>3825</v>
      </c>
      <c r="I700" s="12" t="s">
        <v>847</v>
      </c>
      <c r="J700" s="13" t="s">
        <v>3826</v>
      </c>
      <c r="K700" s="12"/>
      <c r="L700" s="12" t="s">
        <v>3841</v>
      </c>
      <c r="M700" s="12" t="s">
        <v>3842</v>
      </c>
      <c r="N700" s="12" t="s">
        <v>352</v>
      </c>
      <c r="O700" s="12" t="s">
        <v>102</v>
      </c>
      <c r="P700" s="12" t="s">
        <v>103</v>
      </c>
      <c r="Q700" s="12" t="s">
        <v>104</v>
      </c>
      <c r="R700" s="14" t="n">
        <v>2.54</v>
      </c>
      <c r="S700" s="14" t="s">
        <v>129</v>
      </c>
      <c r="T700" s="14" t="s">
        <v>653</v>
      </c>
      <c r="U700" s="14" t="n">
        <v>2026</v>
      </c>
      <c r="V700" s="12" t="s">
        <v>198</v>
      </c>
      <c r="W700" s="14"/>
      <c r="X700" s="15" t="n">
        <f aca="false">IF(OR($S700="%",$R700=""),"",$R700*INDEX(Cambi!$J$2:$J$5,MATCH($S700,Cambi!$I$2:$I$5,0))/IF($T700="EUR",1,INDEX(Cambi!$D:$D,MATCH($T700&amp;"|"&amp;$U700,Cambi!$C:$C,0))))</f>
        <v>2247.78761061947</v>
      </c>
      <c r="Y700" s="12" t="s">
        <v>130</v>
      </c>
      <c r="Z700" s="12" t="s">
        <v>109</v>
      </c>
      <c r="AA700" s="12" t="s">
        <v>109</v>
      </c>
      <c r="AB700" s="16" t="s">
        <v>110</v>
      </c>
      <c r="AC700" s="16" t="s">
        <v>836</v>
      </c>
      <c r="AD700" s="12" t="s">
        <v>112</v>
      </c>
      <c r="AE700" s="12" t="s">
        <v>3829</v>
      </c>
      <c r="AF700" s="12" t="s">
        <v>3843</v>
      </c>
      <c r="AG700" s="12" t="s">
        <v>284</v>
      </c>
      <c r="AH700" s="12" t="s">
        <v>838</v>
      </c>
      <c r="AI700" s="12" t="s">
        <v>117</v>
      </c>
      <c r="AJ700" s="12" t="s">
        <v>3844</v>
      </c>
      <c r="AK700" s="12" t="s">
        <v>4</v>
      </c>
    </row>
    <row r="701" customFormat="false" ht="15" hidden="false" customHeight="false" outlineLevel="0" collapsed="false">
      <c r="A701" s="11" t="n">
        <v>700</v>
      </c>
      <c r="B701" s="12" t="s">
        <v>3824</v>
      </c>
      <c r="C701" s="12" t="s">
        <v>3762</v>
      </c>
      <c r="D701" s="12" t="s">
        <v>3763</v>
      </c>
      <c r="E701" s="12" t="s">
        <v>759</v>
      </c>
      <c r="F701" s="12" t="s">
        <v>845</v>
      </c>
      <c r="G701" s="12" t="s">
        <v>830</v>
      </c>
      <c r="H701" s="12" t="s">
        <v>3825</v>
      </c>
      <c r="I701" s="12" t="s">
        <v>847</v>
      </c>
      <c r="J701" s="13" t="s">
        <v>3826</v>
      </c>
      <c r="K701" s="12"/>
      <c r="L701" s="12" t="s">
        <v>3845</v>
      </c>
      <c r="M701" s="12" t="s">
        <v>3846</v>
      </c>
      <c r="N701" s="12" t="s">
        <v>352</v>
      </c>
      <c r="O701" s="12" t="s">
        <v>102</v>
      </c>
      <c r="P701" s="12" t="s">
        <v>103</v>
      </c>
      <c r="Q701" s="12" t="s">
        <v>104</v>
      </c>
      <c r="R701" s="14" t="n">
        <v>3.78</v>
      </c>
      <c r="S701" s="14" t="s">
        <v>129</v>
      </c>
      <c r="T701" s="14" t="s">
        <v>653</v>
      </c>
      <c r="U701" s="14" t="n">
        <v>2031</v>
      </c>
      <c r="V701" s="12" t="s">
        <v>107</v>
      </c>
      <c r="W701" s="14" t="s">
        <v>3847</v>
      </c>
      <c r="X701" s="15" t="n">
        <f aca="false">IF(OR($S701="%",$R701=""),"",$R701*INDEX(Cambi!$J$2:$J$5,MATCH($S701,Cambi!$I$2:$I$5,0))/IF($T701="EUR",1,INDEX(Cambi!$D:$D,MATCH($T701&amp;"|"&amp;$U701,Cambi!$C:$C,0))))</f>
        <v>3345.13274336283</v>
      </c>
      <c r="Y701" s="12" t="s">
        <v>130</v>
      </c>
      <c r="Z701" s="12" t="s">
        <v>109</v>
      </c>
      <c r="AA701" s="12" t="s">
        <v>109</v>
      </c>
      <c r="AB701" s="16" t="s">
        <v>110</v>
      </c>
      <c r="AC701" s="16" t="s">
        <v>836</v>
      </c>
      <c r="AD701" s="12" t="s">
        <v>112</v>
      </c>
      <c r="AE701" s="12" t="s">
        <v>3829</v>
      </c>
      <c r="AF701" s="12" t="s">
        <v>3848</v>
      </c>
      <c r="AG701" s="12" t="s">
        <v>284</v>
      </c>
      <c r="AH701" s="12" t="s">
        <v>838</v>
      </c>
      <c r="AI701" s="12" t="s">
        <v>117</v>
      </c>
      <c r="AJ701" s="12" t="s">
        <v>266</v>
      </c>
      <c r="AK701" s="12" t="s">
        <v>4</v>
      </c>
    </row>
    <row r="702" customFormat="false" ht="15" hidden="false" customHeight="false" outlineLevel="0" collapsed="false">
      <c r="A702" s="11" t="n">
        <v>701</v>
      </c>
      <c r="B702" s="12" t="s">
        <v>3849</v>
      </c>
      <c r="C702" s="12" t="s">
        <v>3762</v>
      </c>
      <c r="D702" s="12" t="s">
        <v>3763</v>
      </c>
      <c r="E702" s="12" t="s">
        <v>759</v>
      </c>
      <c r="F702" s="12" t="s">
        <v>3850</v>
      </c>
      <c r="G702" s="12" t="s">
        <v>771</v>
      </c>
      <c r="H702" s="12" t="s">
        <v>3851</v>
      </c>
      <c r="I702" s="12" t="s">
        <v>2899</v>
      </c>
      <c r="J702" s="13" t="s">
        <v>3852</v>
      </c>
      <c r="K702" s="12"/>
      <c r="L702" s="12" t="s">
        <v>3853</v>
      </c>
      <c r="M702" s="12" t="s">
        <v>3854</v>
      </c>
      <c r="N702" s="12" t="s">
        <v>101</v>
      </c>
      <c r="O702" s="12" t="s">
        <v>102</v>
      </c>
      <c r="P702" s="12" t="s">
        <v>103</v>
      </c>
      <c r="Q702" s="12" t="s">
        <v>104</v>
      </c>
      <c r="R702" s="14" t="n">
        <v>95</v>
      </c>
      <c r="S702" s="14" t="s">
        <v>105</v>
      </c>
      <c r="T702" s="14" t="s">
        <v>106</v>
      </c>
      <c r="U702" s="14" t="n">
        <v>2018</v>
      </c>
      <c r="V702" s="12" t="s">
        <v>107</v>
      </c>
      <c r="W702" s="14"/>
      <c r="X702" s="15" t="n">
        <f aca="false">IF(OR($S702="%",$R702=""),"",$R702*INDEX(Cambi!$J$2:$J$5,MATCH($S702,Cambi!$I$2:$I$5,0))/IF($T702="EUR",1,INDEX(Cambi!$D:$D,MATCH($T702&amp;"|"&amp;$U702,Cambi!$C:$C,0))))</f>
        <v>95</v>
      </c>
      <c r="Y702" s="12" t="s">
        <v>108</v>
      </c>
      <c r="Z702" s="12" t="s">
        <v>117</v>
      </c>
      <c r="AA702" s="12" t="s">
        <v>109</v>
      </c>
      <c r="AB702" s="16" t="s">
        <v>394</v>
      </c>
      <c r="AC702" s="16" t="s">
        <v>3855</v>
      </c>
      <c r="AD702" s="12" t="s">
        <v>112</v>
      </c>
      <c r="AE702" s="12" t="s">
        <v>3856</v>
      </c>
      <c r="AF702" s="12" t="s">
        <v>3857</v>
      </c>
      <c r="AG702" s="12" t="s">
        <v>498</v>
      </c>
      <c r="AH702" s="12" t="s">
        <v>116</v>
      </c>
      <c r="AI702" s="12" t="s">
        <v>117</v>
      </c>
      <c r="AJ702" s="12" t="s">
        <v>3858</v>
      </c>
      <c r="AK702" s="12" t="s">
        <v>4</v>
      </c>
    </row>
    <row r="703" customFormat="false" ht="15" hidden="false" customHeight="false" outlineLevel="0" collapsed="false">
      <c r="A703" s="11" t="n">
        <v>702</v>
      </c>
      <c r="B703" s="12" t="s">
        <v>3859</v>
      </c>
      <c r="C703" s="12" t="s">
        <v>3762</v>
      </c>
      <c r="D703" s="12" t="s">
        <v>3763</v>
      </c>
      <c r="E703" s="12" t="s">
        <v>759</v>
      </c>
      <c r="F703" s="12" t="s">
        <v>3860</v>
      </c>
      <c r="G703" s="12" t="s">
        <v>771</v>
      </c>
      <c r="H703" s="12" t="s">
        <v>3861</v>
      </c>
      <c r="I703" s="12" t="s">
        <v>808</v>
      </c>
      <c r="J703" s="13" t="s">
        <v>3862</v>
      </c>
      <c r="K703" s="12"/>
      <c r="L703" s="12" t="s">
        <v>3863</v>
      </c>
      <c r="M703" s="12" t="s">
        <v>3864</v>
      </c>
      <c r="N703" s="12" t="s">
        <v>101</v>
      </c>
      <c r="O703" s="12" t="s">
        <v>102</v>
      </c>
      <c r="P703" s="12" t="s">
        <v>103</v>
      </c>
      <c r="Q703" s="12" t="s">
        <v>104</v>
      </c>
      <c r="R703" s="14" t="n">
        <v>52.8</v>
      </c>
      <c r="S703" s="14" t="s">
        <v>105</v>
      </c>
      <c r="T703" s="14" t="s">
        <v>106</v>
      </c>
      <c r="U703" s="14" t="n">
        <v>2023</v>
      </c>
      <c r="V703" s="12" t="s">
        <v>157</v>
      </c>
      <c r="W703" s="14"/>
      <c r="X703" s="15" t="n">
        <f aca="false">IF(OR($S703="%",$R703=""),"",$R703*INDEX(Cambi!$J$2:$J$5,MATCH($S703,Cambi!$I$2:$I$5,0))/IF($T703="EUR",1,INDEX(Cambi!$D:$D,MATCH($T703&amp;"|"&amp;$U703,Cambi!$C:$C,0))))</f>
        <v>52.8</v>
      </c>
      <c r="Y703" s="12" t="s">
        <v>108</v>
      </c>
      <c r="Z703" s="12" t="s">
        <v>117</v>
      </c>
      <c r="AA703" s="12" t="s">
        <v>109</v>
      </c>
      <c r="AB703" s="16" t="s">
        <v>394</v>
      </c>
      <c r="AC703" s="16" t="s">
        <v>3855</v>
      </c>
      <c r="AD703" s="12" t="s">
        <v>112</v>
      </c>
      <c r="AE703" s="12" t="s">
        <v>3865</v>
      </c>
      <c r="AF703" s="12" t="s">
        <v>3866</v>
      </c>
      <c r="AG703" s="12" t="s">
        <v>115</v>
      </c>
      <c r="AH703" s="12" t="s">
        <v>116</v>
      </c>
      <c r="AI703" s="12" t="s">
        <v>117</v>
      </c>
      <c r="AJ703" s="12" t="s">
        <v>3867</v>
      </c>
      <c r="AK703" s="12" t="s">
        <v>4</v>
      </c>
    </row>
    <row r="704" customFormat="false" ht="15" hidden="false" customHeight="false" outlineLevel="0" collapsed="false">
      <c r="A704" s="11" t="n">
        <v>703</v>
      </c>
      <c r="B704" s="12" t="s">
        <v>3859</v>
      </c>
      <c r="C704" s="12" t="s">
        <v>3762</v>
      </c>
      <c r="D704" s="12" t="s">
        <v>3763</v>
      </c>
      <c r="E704" s="12" t="s">
        <v>759</v>
      </c>
      <c r="F704" s="12" t="s">
        <v>3860</v>
      </c>
      <c r="G704" s="12" t="s">
        <v>771</v>
      </c>
      <c r="H704" s="12" t="s">
        <v>3861</v>
      </c>
      <c r="I704" s="12" t="s">
        <v>808</v>
      </c>
      <c r="J704" s="13" t="s">
        <v>3862</v>
      </c>
      <c r="K704" s="12"/>
      <c r="L704" s="12" t="s">
        <v>3868</v>
      </c>
      <c r="M704" s="12" t="s">
        <v>3869</v>
      </c>
      <c r="N704" s="12" t="s">
        <v>101</v>
      </c>
      <c r="O704" s="12" t="s">
        <v>102</v>
      </c>
      <c r="P704" s="12" t="s">
        <v>103</v>
      </c>
      <c r="Q704" s="12" t="s">
        <v>104</v>
      </c>
      <c r="R704" s="14" t="n">
        <v>56.3</v>
      </c>
      <c r="S704" s="14" t="s">
        <v>105</v>
      </c>
      <c r="T704" s="14" t="s">
        <v>106</v>
      </c>
      <c r="U704" s="14" t="n">
        <v>2024</v>
      </c>
      <c r="V704" s="12" t="s">
        <v>157</v>
      </c>
      <c r="W704" s="14"/>
      <c r="X704" s="15" t="n">
        <f aca="false">IF(OR($S704="%",$R704=""),"",$R704*INDEX(Cambi!$J$2:$J$5,MATCH($S704,Cambi!$I$2:$I$5,0))/IF($T704="EUR",1,INDEX(Cambi!$D:$D,MATCH($T704&amp;"|"&amp;$U704,Cambi!$C:$C,0))))</f>
        <v>56.3</v>
      </c>
      <c r="Y704" s="12" t="s">
        <v>108</v>
      </c>
      <c r="Z704" s="12" t="s">
        <v>117</v>
      </c>
      <c r="AA704" s="12" t="s">
        <v>109</v>
      </c>
      <c r="AB704" s="16" t="s">
        <v>394</v>
      </c>
      <c r="AC704" s="16" t="s">
        <v>3855</v>
      </c>
      <c r="AD704" s="12" t="s">
        <v>112</v>
      </c>
      <c r="AE704" s="12" t="s">
        <v>3865</v>
      </c>
      <c r="AF704" s="12" t="s">
        <v>3870</v>
      </c>
      <c r="AG704" s="12" t="s">
        <v>115</v>
      </c>
      <c r="AH704" s="12" t="s">
        <v>116</v>
      </c>
      <c r="AI704" s="12" t="s">
        <v>117</v>
      </c>
      <c r="AJ704" s="12" t="s">
        <v>3871</v>
      </c>
      <c r="AK704" s="12" t="s">
        <v>4</v>
      </c>
    </row>
    <row r="705" customFormat="false" ht="15" hidden="false" customHeight="false" outlineLevel="0" collapsed="false">
      <c r="A705" s="11" t="n">
        <v>704</v>
      </c>
      <c r="B705" s="12" t="s">
        <v>3859</v>
      </c>
      <c r="C705" s="12" t="s">
        <v>3762</v>
      </c>
      <c r="D705" s="12" t="s">
        <v>3763</v>
      </c>
      <c r="E705" s="12" t="s">
        <v>759</v>
      </c>
      <c r="F705" s="12" t="s">
        <v>3860</v>
      </c>
      <c r="G705" s="12" t="s">
        <v>771</v>
      </c>
      <c r="H705" s="12" t="s">
        <v>3861</v>
      </c>
      <c r="I705" s="12" t="s">
        <v>808</v>
      </c>
      <c r="J705" s="13" t="s">
        <v>3862</v>
      </c>
      <c r="K705" s="12"/>
      <c r="L705" s="12" t="s">
        <v>3863</v>
      </c>
      <c r="M705" s="12" t="s">
        <v>3872</v>
      </c>
      <c r="N705" s="12" t="s">
        <v>101</v>
      </c>
      <c r="O705" s="12" t="s">
        <v>102</v>
      </c>
      <c r="P705" s="12" t="s">
        <v>103</v>
      </c>
      <c r="Q705" s="12" t="s">
        <v>104</v>
      </c>
      <c r="R705" s="14" t="n">
        <v>54</v>
      </c>
      <c r="S705" s="14" t="s">
        <v>105</v>
      </c>
      <c r="T705" s="14" t="s">
        <v>106</v>
      </c>
      <c r="U705" s="14" t="n">
        <v>2024</v>
      </c>
      <c r="V705" s="12" t="s">
        <v>157</v>
      </c>
      <c r="W705" s="14"/>
      <c r="X705" s="15" t="n">
        <f aca="false">IF(OR($S705="%",$R705=""),"",$R705*INDEX(Cambi!$J$2:$J$5,MATCH($S705,Cambi!$I$2:$I$5,0))/IF($T705="EUR",1,INDEX(Cambi!$D:$D,MATCH($T705&amp;"|"&amp;$U705,Cambi!$C:$C,0))))</f>
        <v>54</v>
      </c>
      <c r="Y705" s="12" t="s">
        <v>108</v>
      </c>
      <c r="Z705" s="12" t="s">
        <v>117</v>
      </c>
      <c r="AA705" s="12" t="s">
        <v>109</v>
      </c>
      <c r="AB705" s="16" t="s">
        <v>394</v>
      </c>
      <c r="AC705" s="16" t="s">
        <v>3855</v>
      </c>
      <c r="AD705" s="12" t="s">
        <v>112</v>
      </c>
      <c r="AE705" s="12" t="s">
        <v>3865</v>
      </c>
      <c r="AF705" s="12" t="s">
        <v>3866</v>
      </c>
      <c r="AG705" s="12" t="s">
        <v>115</v>
      </c>
      <c r="AH705" s="12" t="s">
        <v>116</v>
      </c>
      <c r="AI705" s="12" t="s">
        <v>117</v>
      </c>
      <c r="AJ705" s="12" t="s">
        <v>3873</v>
      </c>
      <c r="AK705" s="12" t="s">
        <v>4</v>
      </c>
    </row>
    <row r="706" customFormat="false" ht="15" hidden="false" customHeight="false" outlineLevel="0" collapsed="false">
      <c r="A706" s="11" t="n">
        <v>705</v>
      </c>
      <c r="B706" s="12" t="s">
        <v>3859</v>
      </c>
      <c r="C706" s="12" t="s">
        <v>3762</v>
      </c>
      <c r="D706" s="12" t="s">
        <v>3763</v>
      </c>
      <c r="E706" s="12" t="s">
        <v>759</v>
      </c>
      <c r="F706" s="12" t="s">
        <v>3860</v>
      </c>
      <c r="G706" s="12" t="s">
        <v>771</v>
      </c>
      <c r="H706" s="12" t="s">
        <v>3861</v>
      </c>
      <c r="I706" s="12" t="s">
        <v>808</v>
      </c>
      <c r="J706" s="13" t="s">
        <v>3862</v>
      </c>
      <c r="K706" s="12"/>
      <c r="L706" s="12" t="s">
        <v>3874</v>
      </c>
      <c r="M706" s="12" t="s">
        <v>3875</v>
      </c>
      <c r="N706" s="12" t="s">
        <v>101</v>
      </c>
      <c r="O706" s="12" t="s">
        <v>102</v>
      </c>
      <c r="P706" s="12" t="s">
        <v>103</v>
      </c>
      <c r="Q706" s="12" t="s">
        <v>104</v>
      </c>
      <c r="R706" s="14" t="n">
        <v>300</v>
      </c>
      <c r="S706" s="14" t="s">
        <v>105</v>
      </c>
      <c r="T706" s="14" t="s">
        <v>106</v>
      </c>
      <c r="U706" s="14" t="n">
        <v>2027</v>
      </c>
      <c r="V706" s="12" t="s">
        <v>107</v>
      </c>
      <c r="W706" s="14" t="s">
        <v>3876</v>
      </c>
      <c r="X706" s="15" t="n">
        <f aca="false">IF(OR($S706="%",$R706=""),"",$R706*INDEX(Cambi!$J$2:$J$5,MATCH($S706,Cambi!$I$2:$I$5,0))/IF($T706="EUR",1,INDEX(Cambi!$D:$D,MATCH($T706&amp;"|"&amp;$U706,Cambi!$C:$C,0))))</f>
        <v>300</v>
      </c>
      <c r="Y706" s="12" t="s">
        <v>108</v>
      </c>
      <c r="Z706" s="12" t="s">
        <v>117</v>
      </c>
      <c r="AA706" s="12" t="s">
        <v>109</v>
      </c>
      <c r="AB706" s="16" t="s">
        <v>394</v>
      </c>
      <c r="AC706" s="16" t="s">
        <v>3855</v>
      </c>
      <c r="AD706" s="12" t="s">
        <v>112</v>
      </c>
      <c r="AE706" s="12" t="s">
        <v>3877</v>
      </c>
      <c r="AF706" s="12" t="s">
        <v>3878</v>
      </c>
      <c r="AG706" s="12" t="s">
        <v>115</v>
      </c>
      <c r="AH706" s="12" t="s">
        <v>116</v>
      </c>
      <c r="AI706" s="12" t="s">
        <v>117</v>
      </c>
      <c r="AJ706" s="12" t="s">
        <v>3879</v>
      </c>
      <c r="AK706" s="12" t="s">
        <v>4</v>
      </c>
    </row>
    <row r="707" customFormat="false" ht="15" hidden="false" customHeight="false" outlineLevel="0" collapsed="false">
      <c r="A707" s="11" t="n">
        <v>706</v>
      </c>
      <c r="B707" s="12" t="s">
        <v>3880</v>
      </c>
      <c r="C707" s="12" t="s">
        <v>3762</v>
      </c>
      <c r="D707" s="12" t="s">
        <v>3763</v>
      </c>
      <c r="E707" s="12" t="s">
        <v>759</v>
      </c>
      <c r="F707" s="12" t="s">
        <v>3881</v>
      </c>
      <c r="G707" s="12" t="s">
        <v>771</v>
      </c>
      <c r="H707" s="12" t="s">
        <v>3882</v>
      </c>
      <c r="I707" s="12" t="s">
        <v>2970</v>
      </c>
      <c r="J707" s="13" t="s">
        <v>3883</v>
      </c>
      <c r="K707" s="12"/>
      <c r="L707" s="12" t="s">
        <v>3884</v>
      </c>
      <c r="M707" s="12" t="s">
        <v>3885</v>
      </c>
      <c r="N707" s="12" t="s">
        <v>101</v>
      </c>
      <c r="O707" s="12" t="s">
        <v>102</v>
      </c>
      <c r="P707" s="12" t="s">
        <v>103</v>
      </c>
      <c r="Q707" s="12" t="s">
        <v>104</v>
      </c>
      <c r="R707" s="14" t="n">
        <v>23.729</v>
      </c>
      <c r="S707" s="14" t="s">
        <v>105</v>
      </c>
      <c r="T707" s="14" t="s">
        <v>106</v>
      </c>
      <c r="U707" s="14" t="n">
        <v>2019</v>
      </c>
      <c r="V707" s="12" t="s">
        <v>157</v>
      </c>
      <c r="W707" s="14"/>
      <c r="X707" s="15" t="n">
        <f aca="false">IF(OR($S707="%",$R707=""),"",$R707*INDEX(Cambi!$J$2:$J$5,MATCH($S707,Cambi!$I$2:$I$5,0))/IF($T707="EUR",1,INDEX(Cambi!$D:$D,MATCH($T707&amp;"|"&amp;$U707,Cambi!$C:$C,0))))</f>
        <v>23.729</v>
      </c>
      <c r="Y707" s="12" t="s">
        <v>108</v>
      </c>
      <c r="Z707" s="12" t="s">
        <v>117</v>
      </c>
      <c r="AA707" s="12" t="s">
        <v>109</v>
      </c>
      <c r="AB707" s="16" t="s">
        <v>394</v>
      </c>
      <c r="AC707" s="16" t="s">
        <v>3855</v>
      </c>
      <c r="AD707" s="12" t="s">
        <v>112</v>
      </c>
      <c r="AE707" s="12" t="s">
        <v>3886</v>
      </c>
      <c r="AF707" s="12" t="s">
        <v>3887</v>
      </c>
      <c r="AG707" s="12" t="s">
        <v>115</v>
      </c>
      <c r="AH707" s="12" t="s">
        <v>116</v>
      </c>
      <c r="AI707" s="12" t="s">
        <v>117</v>
      </c>
      <c r="AJ707" s="12" t="s">
        <v>3888</v>
      </c>
      <c r="AK707" s="12" t="s">
        <v>4</v>
      </c>
    </row>
    <row r="708" customFormat="false" ht="15" hidden="false" customHeight="false" outlineLevel="0" collapsed="false">
      <c r="A708" s="11" t="n">
        <v>707</v>
      </c>
      <c r="B708" s="12" t="s">
        <v>3880</v>
      </c>
      <c r="C708" s="12" t="s">
        <v>3762</v>
      </c>
      <c r="D708" s="12" t="s">
        <v>3763</v>
      </c>
      <c r="E708" s="12" t="s">
        <v>759</v>
      </c>
      <c r="F708" s="12" t="s">
        <v>3881</v>
      </c>
      <c r="G708" s="12" t="s">
        <v>771</v>
      </c>
      <c r="H708" s="12" t="s">
        <v>3882</v>
      </c>
      <c r="I708" s="12" t="s">
        <v>2970</v>
      </c>
      <c r="J708" s="13" t="s">
        <v>3883</v>
      </c>
      <c r="K708" s="12"/>
      <c r="L708" s="12" t="s">
        <v>3884</v>
      </c>
      <c r="M708" s="12" t="s">
        <v>3889</v>
      </c>
      <c r="N708" s="12" t="s">
        <v>101</v>
      </c>
      <c r="O708" s="12" t="s">
        <v>102</v>
      </c>
      <c r="P708" s="12" t="s">
        <v>103</v>
      </c>
      <c r="Q708" s="12" t="s">
        <v>104</v>
      </c>
      <c r="R708" s="14" t="n">
        <v>26.797</v>
      </c>
      <c r="S708" s="14" t="s">
        <v>105</v>
      </c>
      <c r="T708" s="14" t="s">
        <v>106</v>
      </c>
      <c r="U708" s="14" t="n">
        <v>2020</v>
      </c>
      <c r="V708" s="12" t="s">
        <v>157</v>
      </c>
      <c r="W708" s="14"/>
      <c r="X708" s="15" t="n">
        <f aca="false">IF(OR($S708="%",$R708=""),"",$R708*INDEX(Cambi!$J$2:$J$5,MATCH($S708,Cambi!$I$2:$I$5,0))/IF($T708="EUR",1,INDEX(Cambi!$D:$D,MATCH($T708&amp;"|"&amp;$U708,Cambi!$C:$C,0))))</f>
        <v>26.797</v>
      </c>
      <c r="Y708" s="12" t="s">
        <v>108</v>
      </c>
      <c r="Z708" s="12" t="s">
        <v>117</v>
      </c>
      <c r="AA708" s="12" t="s">
        <v>109</v>
      </c>
      <c r="AB708" s="16" t="s">
        <v>394</v>
      </c>
      <c r="AC708" s="16" t="s">
        <v>3855</v>
      </c>
      <c r="AD708" s="12" t="s">
        <v>112</v>
      </c>
      <c r="AE708" s="12" t="s">
        <v>3886</v>
      </c>
      <c r="AF708" s="12" t="s">
        <v>3887</v>
      </c>
      <c r="AG708" s="12" t="s">
        <v>115</v>
      </c>
      <c r="AH708" s="12" t="s">
        <v>116</v>
      </c>
      <c r="AI708" s="12" t="s">
        <v>117</v>
      </c>
      <c r="AJ708" s="12" t="s">
        <v>3888</v>
      </c>
      <c r="AK708" s="12" t="s">
        <v>4</v>
      </c>
    </row>
    <row r="709" customFormat="false" ht="15" hidden="false" customHeight="false" outlineLevel="0" collapsed="false">
      <c r="A709" s="11" t="n">
        <v>708</v>
      </c>
      <c r="B709" s="12" t="s">
        <v>3880</v>
      </c>
      <c r="C709" s="12" t="s">
        <v>3762</v>
      </c>
      <c r="D709" s="12" t="s">
        <v>3763</v>
      </c>
      <c r="E709" s="12" t="s">
        <v>759</v>
      </c>
      <c r="F709" s="12" t="s">
        <v>3881</v>
      </c>
      <c r="G709" s="12" t="s">
        <v>771</v>
      </c>
      <c r="H709" s="12" t="s">
        <v>3882</v>
      </c>
      <c r="I709" s="12" t="s">
        <v>2970</v>
      </c>
      <c r="J709" s="13" t="s">
        <v>3883</v>
      </c>
      <c r="K709" s="12"/>
      <c r="L709" s="12" t="s">
        <v>3884</v>
      </c>
      <c r="M709" s="12" t="s">
        <v>3890</v>
      </c>
      <c r="N709" s="12" t="s">
        <v>101</v>
      </c>
      <c r="O709" s="12" t="s">
        <v>102</v>
      </c>
      <c r="P709" s="12" t="s">
        <v>103</v>
      </c>
      <c r="Q709" s="12" t="s">
        <v>104</v>
      </c>
      <c r="R709" s="14" t="n">
        <v>27.1</v>
      </c>
      <c r="S709" s="14" t="s">
        <v>105</v>
      </c>
      <c r="T709" s="14" t="s">
        <v>106</v>
      </c>
      <c r="U709" s="14" t="n">
        <v>2021</v>
      </c>
      <c r="V709" s="12" t="s">
        <v>157</v>
      </c>
      <c r="W709" s="14"/>
      <c r="X709" s="15" t="n">
        <f aca="false">IF(OR($S709="%",$R709=""),"",$R709*INDEX(Cambi!$J$2:$J$5,MATCH($S709,Cambi!$I$2:$I$5,0))/IF($T709="EUR",1,INDEX(Cambi!$D:$D,MATCH($T709&amp;"|"&amp;$U709,Cambi!$C:$C,0))))</f>
        <v>27.1</v>
      </c>
      <c r="Y709" s="12" t="s">
        <v>108</v>
      </c>
      <c r="Z709" s="12" t="s">
        <v>117</v>
      </c>
      <c r="AA709" s="12" t="s">
        <v>109</v>
      </c>
      <c r="AB709" s="16" t="s">
        <v>394</v>
      </c>
      <c r="AC709" s="16" t="s">
        <v>3855</v>
      </c>
      <c r="AD709" s="12" t="s">
        <v>112</v>
      </c>
      <c r="AE709" s="12" t="s">
        <v>3886</v>
      </c>
      <c r="AF709" s="12" t="s">
        <v>3891</v>
      </c>
      <c r="AG709" s="12" t="s">
        <v>115</v>
      </c>
      <c r="AH709" s="12" t="s">
        <v>116</v>
      </c>
      <c r="AI709" s="12" t="s">
        <v>117</v>
      </c>
      <c r="AJ709" s="12" t="s">
        <v>3892</v>
      </c>
      <c r="AK709" s="12" t="s">
        <v>4</v>
      </c>
    </row>
    <row r="710" customFormat="false" ht="15" hidden="false" customHeight="false" outlineLevel="0" collapsed="false">
      <c r="A710" s="11" t="n">
        <v>709</v>
      </c>
      <c r="B710" s="12" t="s">
        <v>3880</v>
      </c>
      <c r="C710" s="12" t="s">
        <v>3762</v>
      </c>
      <c r="D710" s="12" t="s">
        <v>3763</v>
      </c>
      <c r="E710" s="12" t="s">
        <v>759</v>
      </c>
      <c r="F710" s="12" t="s">
        <v>3881</v>
      </c>
      <c r="G710" s="12" t="s">
        <v>771</v>
      </c>
      <c r="H710" s="12" t="s">
        <v>3882</v>
      </c>
      <c r="I710" s="12" t="s">
        <v>2970</v>
      </c>
      <c r="J710" s="13" t="s">
        <v>3883</v>
      </c>
      <c r="K710" s="12"/>
      <c r="L710" s="12" t="s">
        <v>3893</v>
      </c>
      <c r="M710" s="12" t="s">
        <v>3894</v>
      </c>
      <c r="N710" s="12" t="s">
        <v>101</v>
      </c>
      <c r="O710" s="12" t="s">
        <v>102</v>
      </c>
      <c r="P710" s="12" t="s">
        <v>103</v>
      </c>
      <c r="Q710" s="12" t="s">
        <v>104</v>
      </c>
      <c r="R710" s="14" t="n">
        <v>6.6</v>
      </c>
      <c r="S710" s="14" t="s">
        <v>105</v>
      </c>
      <c r="T710" s="14" t="s">
        <v>106</v>
      </c>
      <c r="U710" s="14" t="n">
        <v>2022</v>
      </c>
      <c r="V710" s="12" t="s">
        <v>198</v>
      </c>
      <c r="W710" s="14"/>
      <c r="X710" s="15" t="n">
        <f aca="false">IF(OR($S710="%",$R710=""),"",$R710*INDEX(Cambi!$J$2:$J$5,MATCH($S710,Cambi!$I$2:$I$5,0))/IF($T710="EUR",1,INDEX(Cambi!$D:$D,MATCH($T710&amp;"|"&amp;$U710,Cambi!$C:$C,0))))</f>
        <v>6.6</v>
      </c>
      <c r="Y710" s="12" t="s">
        <v>108</v>
      </c>
      <c r="Z710" s="12" t="s">
        <v>117</v>
      </c>
      <c r="AA710" s="12" t="s">
        <v>109</v>
      </c>
      <c r="AB710" s="16" t="s">
        <v>394</v>
      </c>
      <c r="AC710" s="16" t="s">
        <v>3855</v>
      </c>
      <c r="AD710" s="12" t="s">
        <v>112</v>
      </c>
      <c r="AE710" s="12" t="s">
        <v>3895</v>
      </c>
      <c r="AF710" s="12" t="s">
        <v>3896</v>
      </c>
      <c r="AG710" s="12" t="s">
        <v>115</v>
      </c>
      <c r="AH710" s="12" t="s">
        <v>116</v>
      </c>
      <c r="AI710" s="12" t="s">
        <v>117</v>
      </c>
      <c r="AJ710" s="12" t="s">
        <v>3897</v>
      </c>
      <c r="AK710" s="12" t="s">
        <v>4</v>
      </c>
    </row>
    <row r="711" customFormat="false" ht="15" hidden="false" customHeight="false" outlineLevel="0" collapsed="false">
      <c r="A711" s="11" t="n">
        <v>710</v>
      </c>
      <c r="B711" s="12" t="s">
        <v>3880</v>
      </c>
      <c r="C711" s="12" t="s">
        <v>3762</v>
      </c>
      <c r="D711" s="12" t="s">
        <v>3763</v>
      </c>
      <c r="E711" s="12" t="s">
        <v>759</v>
      </c>
      <c r="F711" s="12" t="s">
        <v>3881</v>
      </c>
      <c r="G711" s="12" t="s">
        <v>771</v>
      </c>
      <c r="H711" s="12" t="s">
        <v>3882</v>
      </c>
      <c r="I711" s="12" t="s">
        <v>2970</v>
      </c>
      <c r="J711" s="13" t="s">
        <v>3883</v>
      </c>
      <c r="K711" s="12"/>
      <c r="L711" s="12" t="s">
        <v>3893</v>
      </c>
      <c r="M711" s="12" t="s">
        <v>3898</v>
      </c>
      <c r="N711" s="12" t="s">
        <v>101</v>
      </c>
      <c r="O711" s="12" t="s">
        <v>102</v>
      </c>
      <c r="P711" s="12" t="s">
        <v>103</v>
      </c>
      <c r="Q711" s="12" t="s">
        <v>104</v>
      </c>
      <c r="R711" s="14" t="n">
        <v>13.7</v>
      </c>
      <c r="S711" s="14" t="s">
        <v>105</v>
      </c>
      <c r="T711" s="14" t="s">
        <v>106</v>
      </c>
      <c r="U711" s="14" t="n">
        <v>2023</v>
      </c>
      <c r="V711" s="12" t="s">
        <v>107</v>
      </c>
      <c r="W711" s="14"/>
      <c r="X711" s="15" t="n">
        <f aca="false">IF(OR($S711="%",$R711=""),"",$R711*INDEX(Cambi!$J$2:$J$5,MATCH($S711,Cambi!$I$2:$I$5,0))/IF($T711="EUR",1,INDEX(Cambi!$D:$D,MATCH($T711&amp;"|"&amp;$U711,Cambi!$C:$C,0))))</f>
        <v>13.7</v>
      </c>
      <c r="Y711" s="12" t="s">
        <v>108</v>
      </c>
      <c r="Z711" s="12" t="s">
        <v>117</v>
      </c>
      <c r="AA711" s="12" t="s">
        <v>109</v>
      </c>
      <c r="AB711" s="16" t="s">
        <v>394</v>
      </c>
      <c r="AC711" s="16" t="s">
        <v>3855</v>
      </c>
      <c r="AD711" s="12" t="s">
        <v>112</v>
      </c>
      <c r="AE711" s="12" t="s">
        <v>3895</v>
      </c>
      <c r="AF711" s="12" t="s">
        <v>3896</v>
      </c>
      <c r="AG711" s="12" t="s">
        <v>115</v>
      </c>
      <c r="AH711" s="12" t="s">
        <v>116</v>
      </c>
      <c r="AI711" s="12" t="s">
        <v>117</v>
      </c>
      <c r="AJ711" s="12" t="s">
        <v>3899</v>
      </c>
      <c r="AK711" s="12" t="s">
        <v>4</v>
      </c>
    </row>
    <row r="712" customFormat="false" ht="15" hidden="false" customHeight="false" outlineLevel="0" collapsed="false">
      <c r="A712" s="11" t="n">
        <v>711</v>
      </c>
      <c r="B712" s="12" t="s">
        <v>3880</v>
      </c>
      <c r="C712" s="12" t="s">
        <v>3762</v>
      </c>
      <c r="D712" s="12" t="s">
        <v>3763</v>
      </c>
      <c r="E712" s="12" t="s">
        <v>759</v>
      </c>
      <c r="F712" s="12" t="s">
        <v>3881</v>
      </c>
      <c r="G712" s="12" t="s">
        <v>771</v>
      </c>
      <c r="H712" s="12" t="s">
        <v>3882</v>
      </c>
      <c r="I712" s="12" t="s">
        <v>2970</v>
      </c>
      <c r="J712" s="13" t="s">
        <v>3883</v>
      </c>
      <c r="K712" s="12"/>
      <c r="L712" s="12" t="s">
        <v>3893</v>
      </c>
      <c r="M712" s="12" t="s">
        <v>3900</v>
      </c>
      <c r="N712" s="12" t="s">
        <v>101</v>
      </c>
      <c r="O712" s="12" t="s">
        <v>102</v>
      </c>
      <c r="P712" s="12" t="s">
        <v>103</v>
      </c>
      <c r="Q712" s="12" t="s">
        <v>104</v>
      </c>
      <c r="R712" s="14" t="n">
        <v>27.5</v>
      </c>
      <c r="S712" s="14" t="s">
        <v>105</v>
      </c>
      <c r="T712" s="14" t="s">
        <v>106</v>
      </c>
      <c r="U712" s="14" t="n">
        <v>2024</v>
      </c>
      <c r="V712" s="12" t="s">
        <v>107</v>
      </c>
      <c r="W712" s="14"/>
      <c r="X712" s="15" t="n">
        <f aca="false">IF(OR($S712="%",$R712=""),"",$R712*INDEX(Cambi!$J$2:$J$5,MATCH($S712,Cambi!$I$2:$I$5,0))/IF($T712="EUR",1,INDEX(Cambi!$D:$D,MATCH($T712&amp;"|"&amp;$U712,Cambi!$C:$C,0))))</f>
        <v>27.5</v>
      </c>
      <c r="Y712" s="12" t="s">
        <v>108</v>
      </c>
      <c r="Z712" s="12" t="s">
        <v>117</v>
      </c>
      <c r="AA712" s="12" t="s">
        <v>109</v>
      </c>
      <c r="AB712" s="16" t="s">
        <v>394</v>
      </c>
      <c r="AC712" s="16" t="s">
        <v>3855</v>
      </c>
      <c r="AD712" s="12" t="s">
        <v>112</v>
      </c>
      <c r="AE712" s="12" t="s">
        <v>3895</v>
      </c>
      <c r="AF712" s="12" t="s">
        <v>3896</v>
      </c>
      <c r="AG712" s="12" t="s">
        <v>115</v>
      </c>
      <c r="AH712" s="12" t="s">
        <v>116</v>
      </c>
      <c r="AI712" s="12" t="s">
        <v>117</v>
      </c>
      <c r="AJ712" s="12" t="s">
        <v>3899</v>
      </c>
      <c r="AK712" s="12" t="s">
        <v>4</v>
      </c>
    </row>
    <row r="713" customFormat="false" ht="15" hidden="false" customHeight="false" outlineLevel="0" collapsed="false">
      <c r="A713" s="11" t="n">
        <v>712</v>
      </c>
      <c r="B713" s="12" t="s">
        <v>3880</v>
      </c>
      <c r="C713" s="12" t="s">
        <v>3762</v>
      </c>
      <c r="D713" s="12" t="s">
        <v>3763</v>
      </c>
      <c r="E713" s="12" t="s">
        <v>759</v>
      </c>
      <c r="F713" s="12" t="s">
        <v>3881</v>
      </c>
      <c r="G713" s="12" t="s">
        <v>771</v>
      </c>
      <c r="H713" s="12" t="s">
        <v>3882</v>
      </c>
      <c r="I713" s="12" t="s">
        <v>2970</v>
      </c>
      <c r="J713" s="13" t="s">
        <v>3883</v>
      </c>
      <c r="K713" s="12"/>
      <c r="L713" s="12" t="s">
        <v>3901</v>
      </c>
      <c r="M713" s="12" t="s">
        <v>3902</v>
      </c>
      <c r="N713" s="12" t="s">
        <v>101</v>
      </c>
      <c r="O713" s="12" t="s">
        <v>102</v>
      </c>
      <c r="P713" s="12" t="s">
        <v>103</v>
      </c>
      <c r="Q713" s="12" t="s">
        <v>104</v>
      </c>
      <c r="R713" s="14" t="n">
        <v>111</v>
      </c>
      <c r="S713" s="14" t="s">
        <v>105</v>
      </c>
      <c r="T713" s="14" t="s">
        <v>106</v>
      </c>
      <c r="U713" s="14" t="n">
        <v>2027</v>
      </c>
      <c r="V713" s="12" t="s">
        <v>107</v>
      </c>
      <c r="W713" s="14"/>
      <c r="X713" s="15" t="n">
        <f aca="false">IF(OR($S713="%",$R713=""),"",$R713*INDEX(Cambi!$J$2:$J$5,MATCH($S713,Cambi!$I$2:$I$5,0))/IF($T713="EUR",1,INDEX(Cambi!$D:$D,MATCH($T713&amp;"|"&amp;$U713,Cambi!$C:$C,0))))</f>
        <v>111</v>
      </c>
      <c r="Y713" s="12" t="s">
        <v>108</v>
      </c>
      <c r="Z713" s="12" t="s">
        <v>117</v>
      </c>
      <c r="AA713" s="12" t="s">
        <v>109</v>
      </c>
      <c r="AB713" s="16" t="s">
        <v>394</v>
      </c>
      <c r="AC713" s="16" t="s">
        <v>3855</v>
      </c>
      <c r="AD713" s="12" t="s">
        <v>112</v>
      </c>
      <c r="AE713" s="12" t="s">
        <v>3903</v>
      </c>
      <c r="AF713" s="12" t="s">
        <v>3904</v>
      </c>
      <c r="AG713" s="12" t="s">
        <v>115</v>
      </c>
      <c r="AH713" s="12" t="s">
        <v>116</v>
      </c>
      <c r="AI713" s="12" t="s">
        <v>117</v>
      </c>
      <c r="AJ713" s="12" t="s">
        <v>3905</v>
      </c>
      <c r="AK713" s="12" t="s">
        <v>4</v>
      </c>
    </row>
    <row r="714" customFormat="false" ht="15" hidden="false" customHeight="false" outlineLevel="0" collapsed="false">
      <c r="A714" s="11" t="n">
        <v>713</v>
      </c>
      <c r="B714" s="12" t="s">
        <v>3880</v>
      </c>
      <c r="C714" s="12" t="s">
        <v>3762</v>
      </c>
      <c r="D714" s="12" t="s">
        <v>3763</v>
      </c>
      <c r="E714" s="12" t="s">
        <v>759</v>
      </c>
      <c r="F714" s="12" t="s">
        <v>3881</v>
      </c>
      <c r="G714" s="12" t="s">
        <v>771</v>
      </c>
      <c r="H714" s="12" t="s">
        <v>3882</v>
      </c>
      <c r="I714" s="12" t="s">
        <v>2970</v>
      </c>
      <c r="J714" s="13" t="s">
        <v>3883</v>
      </c>
      <c r="K714" s="12"/>
      <c r="L714" s="12" t="s">
        <v>3893</v>
      </c>
      <c r="M714" s="12" t="s">
        <v>3906</v>
      </c>
      <c r="N714" s="12" t="s">
        <v>101</v>
      </c>
      <c r="O714" s="12" t="s">
        <v>102</v>
      </c>
      <c r="P714" s="12" t="s">
        <v>103</v>
      </c>
      <c r="Q714" s="12" t="s">
        <v>104</v>
      </c>
      <c r="R714" s="14" t="n">
        <v>33</v>
      </c>
      <c r="S714" s="14" t="s">
        <v>105</v>
      </c>
      <c r="T714" s="14" t="s">
        <v>106</v>
      </c>
      <c r="U714" s="14" t="n">
        <v>2027</v>
      </c>
      <c r="V714" s="12" t="s">
        <v>107</v>
      </c>
      <c r="W714" s="14"/>
      <c r="X714" s="15" t="n">
        <f aca="false">IF(OR($S714="%",$R714=""),"",$R714*INDEX(Cambi!$J$2:$J$5,MATCH($S714,Cambi!$I$2:$I$5,0))/IF($T714="EUR",1,INDEX(Cambi!$D:$D,MATCH($T714&amp;"|"&amp;$U714,Cambi!$C:$C,0))))</f>
        <v>33</v>
      </c>
      <c r="Y714" s="12" t="s">
        <v>108</v>
      </c>
      <c r="Z714" s="12" t="s">
        <v>117</v>
      </c>
      <c r="AA714" s="12" t="s">
        <v>109</v>
      </c>
      <c r="AB714" s="16" t="s">
        <v>394</v>
      </c>
      <c r="AC714" s="16" t="s">
        <v>3855</v>
      </c>
      <c r="AD714" s="12" t="s">
        <v>112</v>
      </c>
      <c r="AE714" s="12" t="s">
        <v>3895</v>
      </c>
      <c r="AF714" s="12" t="s">
        <v>3896</v>
      </c>
      <c r="AG714" s="12" t="s">
        <v>115</v>
      </c>
      <c r="AH714" s="12" t="s">
        <v>116</v>
      </c>
      <c r="AI714" s="12" t="s">
        <v>117</v>
      </c>
      <c r="AJ714" s="12" t="s">
        <v>3899</v>
      </c>
      <c r="AK714" s="12" t="s">
        <v>4</v>
      </c>
    </row>
    <row r="715" customFormat="false" ht="15" hidden="false" customHeight="false" outlineLevel="0" collapsed="false">
      <c r="A715" s="11" t="n">
        <v>714</v>
      </c>
      <c r="B715" s="12" t="s">
        <v>3907</v>
      </c>
      <c r="C715" s="12" t="s">
        <v>3908</v>
      </c>
      <c r="D715" s="12" t="s">
        <v>3909</v>
      </c>
      <c r="E715" s="12" t="s">
        <v>759</v>
      </c>
      <c r="F715" s="12" t="s">
        <v>2127</v>
      </c>
      <c r="G715" s="12" t="s">
        <v>830</v>
      </c>
      <c r="H715" s="12" t="s">
        <v>3910</v>
      </c>
      <c r="I715" s="12" t="s">
        <v>847</v>
      </c>
      <c r="J715" s="13" t="s">
        <v>3911</v>
      </c>
      <c r="K715" s="12"/>
      <c r="L715" s="12" t="s">
        <v>3912</v>
      </c>
      <c r="M715" s="12" t="s">
        <v>3913</v>
      </c>
      <c r="N715" s="12" t="s">
        <v>352</v>
      </c>
      <c r="O715" s="12" t="s">
        <v>102</v>
      </c>
      <c r="P715" s="12" t="s">
        <v>103</v>
      </c>
      <c r="Q715" s="12" t="s">
        <v>104</v>
      </c>
      <c r="R715" s="14" t="n">
        <v>394</v>
      </c>
      <c r="S715" s="14" t="s">
        <v>105</v>
      </c>
      <c r="T715" s="14" t="s">
        <v>653</v>
      </c>
      <c r="U715" s="14" t="n">
        <v>2025</v>
      </c>
      <c r="V715" s="12" t="s">
        <v>157</v>
      </c>
      <c r="W715" s="14" t="s">
        <v>3914</v>
      </c>
      <c r="X715" s="15" t="n">
        <f aca="false">IF(OR($S715="%",$R715=""),"",$R715*INDEX(Cambi!$J$2:$J$5,MATCH($S715,Cambi!$I$2:$I$5,0))/IF($T715="EUR",1,INDEX(Cambi!$D:$D,MATCH($T715&amp;"|"&amp;$U715,Cambi!$C:$C,0))))</f>
        <v>348.672566371681</v>
      </c>
      <c r="Y715" s="12" t="s">
        <v>109</v>
      </c>
      <c r="Z715" s="12" t="s">
        <v>109</v>
      </c>
      <c r="AA715" s="12" t="s">
        <v>109</v>
      </c>
      <c r="AB715" s="16" t="s">
        <v>110</v>
      </c>
      <c r="AC715" s="16" t="s">
        <v>3915</v>
      </c>
      <c r="AD715" s="12" t="s">
        <v>112</v>
      </c>
      <c r="AE715" s="12" t="s">
        <v>1196</v>
      </c>
      <c r="AF715" s="12" t="s">
        <v>3916</v>
      </c>
      <c r="AG715" s="12" t="s">
        <v>284</v>
      </c>
      <c r="AH715" s="12" t="s">
        <v>838</v>
      </c>
      <c r="AI715" s="12" t="s">
        <v>117</v>
      </c>
      <c r="AJ715" s="12" t="s">
        <v>3917</v>
      </c>
      <c r="AK715" s="12" t="s">
        <v>4</v>
      </c>
    </row>
    <row r="716" customFormat="false" ht="15" hidden="false" customHeight="false" outlineLevel="0" collapsed="false">
      <c r="A716" s="11" t="n">
        <v>715</v>
      </c>
      <c r="B716" s="12" t="s">
        <v>3907</v>
      </c>
      <c r="C716" s="12" t="s">
        <v>3908</v>
      </c>
      <c r="D716" s="12" t="s">
        <v>3909</v>
      </c>
      <c r="E716" s="12" t="s">
        <v>759</v>
      </c>
      <c r="F716" s="12" t="s">
        <v>2127</v>
      </c>
      <c r="G716" s="12" t="s">
        <v>830</v>
      </c>
      <c r="H716" s="12" t="s">
        <v>3910</v>
      </c>
      <c r="I716" s="12" t="s">
        <v>847</v>
      </c>
      <c r="J716" s="13" t="s">
        <v>3911</v>
      </c>
      <c r="K716" s="12"/>
      <c r="L716" s="12" t="s">
        <v>3912</v>
      </c>
      <c r="M716" s="12" t="s">
        <v>3918</v>
      </c>
      <c r="N716" s="12" t="s">
        <v>352</v>
      </c>
      <c r="O716" s="12" t="s">
        <v>102</v>
      </c>
      <c r="P716" s="12" t="s">
        <v>103</v>
      </c>
      <c r="Q716" s="12" t="s">
        <v>104</v>
      </c>
      <c r="R716" s="14" t="n">
        <v>564</v>
      </c>
      <c r="S716" s="14" t="s">
        <v>105</v>
      </c>
      <c r="T716" s="14" t="s">
        <v>653</v>
      </c>
      <c r="U716" s="14" t="n">
        <v>2032</v>
      </c>
      <c r="V716" s="12" t="s">
        <v>107</v>
      </c>
      <c r="W716" s="14" t="s">
        <v>3914</v>
      </c>
      <c r="X716" s="15" t="n">
        <f aca="false">IF(OR($S716="%",$R716=""),"",$R716*INDEX(Cambi!$J$2:$J$5,MATCH($S716,Cambi!$I$2:$I$5,0))/IF($T716="EUR",1,INDEX(Cambi!$D:$D,MATCH($T716&amp;"|"&amp;$U716,Cambi!$C:$C,0))))</f>
        <v>499.115044247788</v>
      </c>
      <c r="Y716" s="12" t="s">
        <v>109</v>
      </c>
      <c r="Z716" s="12" t="s">
        <v>109</v>
      </c>
      <c r="AA716" s="12" t="s">
        <v>109</v>
      </c>
      <c r="AB716" s="16" t="s">
        <v>110</v>
      </c>
      <c r="AC716" s="16" t="s">
        <v>3915</v>
      </c>
      <c r="AD716" s="12" t="s">
        <v>112</v>
      </c>
      <c r="AE716" s="12" t="s">
        <v>1196</v>
      </c>
      <c r="AF716" s="12" t="s">
        <v>3916</v>
      </c>
      <c r="AG716" s="12" t="s">
        <v>284</v>
      </c>
      <c r="AH716" s="12" t="s">
        <v>838</v>
      </c>
      <c r="AI716" s="12" t="s">
        <v>117</v>
      </c>
      <c r="AJ716" s="12" t="s">
        <v>3919</v>
      </c>
      <c r="AK716" s="12" t="s">
        <v>4</v>
      </c>
    </row>
    <row r="717" customFormat="false" ht="15" hidden="false" customHeight="false" outlineLevel="0" collapsed="false">
      <c r="A717" s="11" t="n">
        <v>716</v>
      </c>
      <c r="B717" s="12" t="s">
        <v>1793</v>
      </c>
      <c r="C717" s="12" t="s">
        <v>3908</v>
      </c>
      <c r="D717" s="12" t="s">
        <v>3909</v>
      </c>
      <c r="E717" s="12" t="s">
        <v>759</v>
      </c>
      <c r="F717" s="12" t="s">
        <v>1794</v>
      </c>
      <c r="G717" s="12" t="s">
        <v>771</v>
      </c>
      <c r="H717" s="12" t="s">
        <v>1795</v>
      </c>
      <c r="I717" s="12" t="s">
        <v>1796</v>
      </c>
      <c r="J717" s="13" t="s">
        <v>1797</v>
      </c>
      <c r="K717" s="12" t="s">
        <v>1798</v>
      </c>
      <c r="L717" s="12" t="s">
        <v>1799</v>
      </c>
      <c r="M717" s="12" t="s">
        <v>1800</v>
      </c>
      <c r="N717" s="12" t="s">
        <v>352</v>
      </c>
      <c r="O717" s="12" t="s">
        <v>102</v>
      </c>
      <c r="P717" s="12" t="s">
        <v>103</v>
      </c>
      <c r="Q717" s="12" t="s">
        <v>104</v>
      </c>
      <c r="R717" s="14" t="n">
        <v>794.5</v>
      </c>
      <c r="S717" s="14" t="s">
        <v>105</v>
      </c>
      <c r="T717" s="14" t="s">
        <v>106</v>
      </c>
      <c r="U717" s="14" t="n">
        <v>2025</v>
      </c>
      <c r="V717" s="12" t="s">
        <v>157</v>
      </c>
      <c r="W717" s="14" t="s">
        <v>3920</v>
      </c>
      <c r="X717" s="15" t="n">
        <f aca="false">IF(OR($S717="%",$R717=""),"",$R717*INDEX(Cambi!$J$2:$J$5,MATCH($S717,Cambi!$I$2:$I$5,0))/IF($T717="EUR",1,INDEX(Cambi!$D:$D,MATCH($T717&amp;"|"&amp;$U717,Cambi!$C:$C,0))))</f>
        <v>794.5</v>
      </c>
      <c r="Y717" s="12" t="s">
        <v>109</v>
      </c>
      <c r="Z717" s="12" t="s">
        <v>285</v>
      </c>
      <c r="AA717" s="12" t="s">
        <v>109</v>
      </c>
      <c r="AB717" s="16" t="s">
        <v>679</v>
      </c>
      <c r="AC717" s="16" t="s">
        <v>1802</v>
      </c>
      <c r="AD717" s="12" t="s">
        <v>281</v>
      </c>
      <c r="AE717" s="12" t="s">
        <v>1803</v>
      </c>
      <c r="AF717" s="12" t="s">
        <v>3921</v>
      </c>
      <c r="AG717" s="12" t="s">
        <v>284</v>
      </c>
      <c r="AH717" s="12" t="s">
        <v>116</v>
      </c>
      <c r="AI717" s="12" t="s">
        <v>285</v>
      </c>
      <c r="AJ717" s="12" t="s">
        <v>3922</v>
      </c>
      <c r="AK717" s="12" t="s">
        <v>4</v>
      </c>
    </row>
    <row r="718" customFormat="false" ht="15" hidden="false" customHeight="false" outlineLevel="0" collapsed="false">
      <c r="A718" s="11" t="n">
        <v>717</v>
      </c>
      <c r="B718" s="12" t="s">
        <v>3923</v>
      </c>
      <c r="C718" s="12" t="s">
        <v>3908</v>
      </c>
      <c r="D718" s="12" t="s">
        <v>3909</v>
      </c>
      <c r="E718" s="12" t="s">
        <v>759</v>
      </c>
      <c r="F718" s="12" t="s">
        <v>3924</v>
      </c>
      <c r="G718" s="12" t="s">
        <v>771</v>
      </c>
      <c r="H718" s="12" t="s">
        <v>3925</v>
      </c>
      <c r="I718" s="12" t="s">
        <v>3926</v>
      </c>
      <c r="J718" s="13" t="s">
        <v>3927</v>
      </c>
      <c r="K718" s="12"/>
      <c r="L718" s="12" t="s">
        <v>3928</v>
      </c>
      <c r="M718" s="12" t="s">
        <v>3929</v>
      </c>
      <c r="N718" s="12" t="s">
        <v>101</v>
      </c>
      <c r="O718" s="12" t="s">
        <v>102</v>
      </c>
      <c r="P718" s="12" t="s">
        <v>103</v>
      </c>
      <c r="Q718" s="12" t="s">
        <v>104</v>
      </c>
      <c r="R718" s="14" t="n">
        <v>590.5111466</v>
      </c>
      <c r="S718" s="14" t="s">
        <v>105</v>
      </c>
      <c r="T718" s="14" t="s">
        <v>3930</v>
      </c>
      <c r="U718" s="14" t="n">
        <v>2026</v>
      </c>
      <c r="V718" s="12" t="s">
        <v>198</v>
      </c>
      <c r="W718" s="14"/>
      <c r="X718" s="15" t="n">
        <f aca="false">IF(OR($S718="%",$R718=""),"",$R718*INDEX(Cambi!$J$2:$J$5,MATCH($S718,Cambi!$I$2:$I$5,0))/IF($T718="EUR",1,INDEX(Cambi!$D:$D,MATCH($T718&amp;"|"&amp;$U718,Cambi!$C:$C,0))))</f>
        <v>139.28135165224</v>
      </c>
      <c r="Y718" s="12" t="s">
        <v>130</v>
      </c>
      <c r="Z718" s="12" t="s">
        <v>109</v>
      </c>
      <c r="AA718" s="12" t="s">
        <v>3931</v>
      </c>
      <c r="AB718" s="16" t="s">
        <v>394</v>
      </c>
      <c r="AC718" s="16" t="s">
        <v>3932</v>
      </c>
      <c r="AD718" s="12" t="s">
        <v>166</v>
      </c>
      <c r="AE718" s="12" t="s">
        <v>3933</v>
      </c>
      <c r="AF718" s="12" t="s">
        <v>3934</v>
      </c>
      <c r="AG718" s="12" t="s">
        <v>407</v>
      </c>
      <c r="AH718" s="12" t="s">
        <v>116</v>
      </c>
      <c r="AI718" s="12" t="s">
        <v>117</v>
      </c>
      <c r="AJ718" s="12" t="s">
        <v>3935</v>
      </c>
      <c r="AK718" s="12" t="s">
        <v>4</v>
      </c>
    </row>
    <row r="719" customFormat="false" ht="15" hidden="false" customHeight="false" outlineLevel="0" collapsed="false">
      <c r="A719" s="11" t="n">
        <v>718</v>
      </c>
      <c r="B719" s="12" t="s">
        <v>3936</v>
      </c>
      <c r="C719" s="12" t="s">
        <v>3908</v>
      </c>
      <c r="D719" s="12" t="s">
        <v>3909</v>
      </c>
      <c r="E719" s="12" t="s">
        <v>759</v>
      </c>
      <c r="F719" s="12" t="s">
        <v>3937</v>
      </c>
      <c r="G719" s="12" t="s">
        <v>830</v>
      </c>
      <c r="H719" s="12" t="s">
        <v>3938</v>
      </c>
      <c r="I719" s="12" t="s">
        <v>181</v>
      </c>
      <c r="J719" s="13" t="s">
        <v>3939</v>
      </c>
      <c r="K719" s="12"/>
      <c r="L719" s="12" t="s">
        <v>3940</v>
      </c>
      <c r="M719" s="12" t="s">
        <v>3941</v>
      </c>
      <c r="N719" s="12" t="s">
        <v>352</v>
      </c>
      <c r="O719" s="12" t="s">
        <v>102</v>
      </c>
      <c r="P719" s="12" t="s">
        <v>103</v>
      </c>
      <c r="Q719" s="12" t="s">
        <v>104</v>
      </c>
      <c r="R719" s="14" t="n">
        <v>2.29</v>
      </c>
      <c r="S719" s="14" t="s">
        <v>129</v>
      </c>
      <c r="T719" s="14" t="s">
        <v>653</v>
      </c>
      <c r="U719" s="14" t="n">
        <v>2024</v>
      </c>
      <c r="V719" s="12" t="s">
        <v>157</v>
      </c>
      <c r="W719" s="14" t="s">
        <v>3942</v>
      </c>
      <c r="X719" s="15" t="n">
        <f aca="false">IF(OR($S719="%",$R719=""),"",$R719*INDEX(Cambi!$J$2:$J$5,MATCH($S719,Cambi!$I$2:$I$5,0))/IF($T719="EUR",1,INDEX(Cambi!$D:$D,MATCH($T719&amp;"|"&amp;$U719,Cambi!$C:$C,0))))</f>
        <v>2115.66888396157</v>
      </c>
      <c r="Y719" s="12" t="s">
        <v>109</v>
      </c>
      <c r="Z719" s="12" t="s">
        <v>109</v>
      </c>
      <c r="AA719" s="12" t="s">
        <v>109</v>
      </c>
      <c r="AB719" s="16" t="s">
        <v>110</v>
      </c>
      <c r="AC719" s="16" t="s">
        <v>3943</v>
      </c>
      <c r="AD719" s="12" t="s">
        <v>112</v>
      </c>
      <c r="AE719" s="12" t="s">
        <v>1196</v>
      </c>
      <c r="AF719" s="12" t="s">
        <v>3944</v>
      </c>
      <c r="AG719" s="12" t="s">
        <v>284</v>
      </c>
      <c r="AH719" s="12" t="s">
        <v>838</v>
      </c>
      <c r="AI719" s="12" t="s">
        <v>117</v>
      </c>
      <c r="AJ719" s="12" t="s">
        <v>3945</v>
      </c>
      <c r="AK719" s="12" t="s">
        <v>4</v>
      </c>
    </row>
    <row r="720" customFormat="false" ht="15" hidden="false" customHeight="false" outlineLevel="0" collapsed="false">
      <c r="A720" s="11" t="n">
        <v>719</v>
      </c>
      <c r="B720" s="12" t="s">
        <v>3936</v>
      </c>
      <c r="C720" s="12" t="s">
        <v>3908</v>
      </c>
      <c r="D720" s="12" t="s">
        <v>3909</v>
      </c>
      <c r="E720" s="12" t="s">
        <v>759</v>
      </c>
      <c r="F720" s="12" t="s">
        <v>3937</v>
      </c>
      <c r="G720" s="12" t="s">
        <v>830</v>
      </c>
      <c r="H720" s="12" t="s">
        <v>3938</v>
      </c>
      <c r="I720" s="12" t="s">
        <v>181</v>
      </c>
      <c r="J720" s="13" t="s">
        <v>3939</v>
      </c>
      <c r="K720" s="12"/>
      <c r="L720" s="12" t="s">
        <v>3940</v>
      </c>
      <c r="M720" s="12" t="s">
        <v>3946</v>
      </c>
      <c r="N720" s="12" t="s">
        <v>352</v>
      </c>
      <c r="O720" s="12" t="s">
        <v>102</v>
      </c>
      <c r="P720" s="12" t="s">
        <v>103</v>
      </c>
      <c r="Q720" s="12" t="s">
        <v>104</v>
      </c>
      <c r="R720" s="14" t="n">
        <v>4.13</v>
      </c>
      <c r="S720" s="14" t="s">
        <v>129</v>
      </c>
      <c r="T720" s="14" t="s">
        <v>653</v>
      </c>
      <c r="U720" s="14" t="n">
        <v>2032</v>
      </c>
      <c r="V720" s="12" t="s">
        <v>107</v>
      </c>
      <c r="W720" s="14" t="s">
        <v>3942</v>
      </c>
      <c r="X720" s="15" t="n">
        <f aca="false">IF(OR($S720="%",$R720=""),"",$R720*INDEX(Cambi!$J$2:$J$5,MATCH($S720,Cambi!$I$2:$I$5,0))/IF($T720="EUR",1,INDEX(Cambi!$D:$D,MATCH($T720&amp;"|"&amp;$U720,Cambi!$C:$C,0))))</f>
        <v>3654.86725663717</v>
      </c>
      <c r="Y720" s="12" t="s">
        <v>109</v>
      </c>
      <c r="Z720" s="12" t="s">
        <v>109</v>
      </c>
      <c r="AA720" s="12" t="s">
        <v>109</v>
      </c>
      <c r="AB720" s="16" t="s">
        <v>110</v>
      </c>
      <c r="AC720" s="16" t="s">
        <v>3943</v>
      </c>
      <c r="AD720" s="12" t="s">
        <v>112</v>
      </c>
      <c r="AE720" s="12" t="s">
        <v>1196</v>
      </c>
      <c r="AF720" s="12" t="s">
        <v>3947</v>
      </c>
      <c r="AG720" s="12" t="s">
        <v>284</v>
      </c>
      <c r="AH720" s="12" t="s">
        <v>838</v>
      </c>
      <c r="AI720" s="12" t="s">
        <v>117</v>
      </c>
      <c r="AJ720" s="12" t="s">
        <v>3948</v>
      </c>
      <c r="AK720" s="12" t="s">
        <v>4</v>
      </c>
    </row>
    <row r="721" customFormat="false" ht="15" hidden="false" customHeight="false" outlineLevel="0" collapsed="false">
      <c r="A721" s="11" t="n">
        <v>720</v>
      </c>
      <c r="B721" s="12" t="s">
        <v>3949</v>
      </c>
      <c r="C721" s="12" t="s">
        <v>3908</v>
      </c>
      <c r="D721" s="12" t="s">
        <v>3909</v>
      </c>
      <c r="E721" s="12" t="s">
        <v>759</v>
      </c>
      <c r="F721" s="12" t="s">
        <v>3950</v>
      </c>
      <c r="G721" s="12" t="s">
        <v>1055</v>
      </c>
      <c r="H721" s="12" t="s">
        <v>3951</v>
      </c>
      <c r="I721" s="12" t="s">
        <v>3952</v>
      </c>
      <c r="J721" s="13" t="s">
        <v>3953</v>
      </c>
      <c r="K721" s="12" t="s">
        <v>3954</v>
      </c>
      <c r="L721" s="12" t="s">
        <v>3955</v>
      </c>
      <c r="M721" s="12" t="s">
        <v>3956</v>
      </c>
      <c r="N721" s="12" t="s">
        <v>352</v>
      </c>
      <c r="O721" s="12" t="s">
        <v>102</v>
      </c>
      <c r="P721" s="12" t="s">
        <v>103</v>
      </c>
      <c r="Q721" s="12" t="s">
        <v>104</v>
      </c>
      <c r="R721" s="14" t="n">
        <v>800</v>
      </c>
      <c r="S721" s="14" t="s">
        <v>105</v>
      </c>
      <c r="T721" s="14" t="s">
        <v>653</v>
      </c>
      <c r="U721" s="14" t="n">
        <v>2023</v>
      </c>
      <c r="V721" s="12" t="s">
        <v>107</v>
      </c>
      <c r="W721" s="14" t="s">
        <v>3957</v>
      </c>
      <c r="X721" s="15" t="n">
        <f aca="false">IF(OR($S721="%",$R721=""),"",$R721*INDEX(Cambi!$J$2:$J$5,MATCH($S721,Cambi!$I$2:$I$5,0))/IF($T721="EUR",1,INDEX(Cambi!$D:$D,MATCH($T721&amp;"|"&amp;$U721,Cambi!$C:$C,0))))</f>
        <v>739.850180338482</v>
      </c>
      <c r="Y721" s="12" t="s">
        <v>130</v>
      </c>
      <c r="Z721" s="12" t="s">
        <v>285</v>
      </c>
      <c r="AA721" s="12" t="s">
        <v>3958</v>
      </c>
      <c r="AB721" s="16" t="s">
        <v>110</v>
      </c>
      <c r="AC721" s="16" t="s">
        <v>3959</v>
      </c>
      <c r="AD721" s="12" t="s">
        <v>112</v>
      </c>
      <c r="AE721" s="12" t="s">
        <v>3960</v>
      </c>
      <c r="AF721" s="12" t="s">
        <v>3961</v>
      </c>
      <c r="AG721" s="12" t="s">
        <v>498</v>
      </c>
      <c r="AH721" s="12" t="s">
        <v>499</v>
      </c>
      <c r="AI721" s="12" t="s">
        <v>285</v>
      </c>
      <c r="AJ721" s="12" t="s">
        <v>3962</v>
      </c>
      <c r="AK721" s="12" t="s">
        <v>4</v>
      </c>
    </row>
    <row r="722" customFormat="false" ht="15" hidden="false" customHeight="false" outlineLevel="0" collapsed="false">
      <c r="A722" s="11" t="n">
        <v>721</v>
      </c>
      <c r="B722" s="12" t="s">
        <v>3949</v>
      </c>
      <c r="C722" s="12" t="s">
        <v>3908</v>
      </c>
      <c r="D722" s="12" t="s">
        <v>3909</v>
      </c>
      <c r="E722" s="12" t="s">
        <v>759</v>
      </c>
      <c r="F722" s="12" t="s">
        <v>3950</v>
      </c>
      <c r="G722" s="12" t="s">
        <v>1055</v>
      </c>
      <c r="H722" s="12" t="s">
        <v>3963</v>
      </c>
      <c r="I722" s="12" t="s">
        <v>3964</v>
      </c>
      <c r="J722" s="13" t="s">
        <v>3965</v>
      </c>
      <c r="K722" s="12" t="s">
        <v>3954</v>
      </c>
      <c r="L722" s="12" t="s">
        <v>3966</v>
      </c>
      <c r="M722" s="12" t="s">
        <v>3967</v>
      </c>
      <c r="N722" s="12" t="s">
        <v>352</v>
      </c>
      <c r="O722" s="12" t="s">
        <v>213</v>
      </c>
      <c r="P722" s="12" t="s">
        <v>103</v>
      </c>
      <c r="Q722" s="12" t="s">
        <v>104</v>
      </c>
      <c r="R722" s="14" t="n">
        <v>11.1</v>
      </c>
      <c r="S722" s="14" t="s">
        <v>197</v>
      </c>
      <c r="T722" s="14"/>
      <c r="U722" s="14" t="n">
        <v>2023</v>
      </c>
      <c r="V722" s="12" t="s">
        <v>107</v>
      </c>
      <c r="W722" s="14"/>
      <c r="X722" s="15" t="str">
        <f aca="false">IF(OR($S722="%",$R722=""),"",$R722*INDEX(Cambi!$J$2:$J$5,MATCH($S722,Cambi!$I$2:$I$5,0))/IF($T722="EUR",1,INDEX(Cambi!$D:$D,MATCH($T722&amp;"|"&amp;$U722,Cambi!$C:$C,0))))</f>
        <v/>
      </c>
      <c r="Y722" s="12" t="s">
        <v>130</v>
      </c>
      <c r="Z722" s="12" t="s">
        <v>285</v>
      </c>
      <c r="AA722" s="12" t="s">
        <v>3958</v>
      </c>
      <c r="AB722" s="16" t="s">
        <v>110</v>
      </c>
      <c r="AC722" s="16" t="s">
        <v>3959</v>
      </c>
      <c r="AD722" s="12" t="s">
        <v>112</v>
      </c>
      <c r="AE722" s="12" t="s">
        <v>3960</v>
      </c>
      <c r="AF722" s="12" t="s">
        <v>3968</v>
      </c>
      <c r="AG722" s="12" t="s">
        <v>498</v>
      </c>
      <c r="AH722" s="12" t="s">
        <v>499</v>
      </c>
      <c r="AI722" s="12" t="s">
        <v>285</v>
      </c>
      <c r="AJ722" s="12" t="s">
        <v>3969</v>
      </c>
      <c r="AK722" s="12" t="s">
        <v>4</v>
      </c>
    </row>
    <row r="723" customFormat="false" ht="15" hidden="false" customHeight="false" outlineLevel="0" collapsed="false">
      <c r="A723" s="11" t="n">
        <v>722</v>
      </c>
      <c r="B723" s="12" t="s">
        <v>3949</v>
      </c>
      <c r="C723" s="12" t="s">
        <v>3908</v>
      </c>
      <c r="D723" s="12" t="s">
        <v>3909</v>
      </c>
      <c r="E723" s="12" t="s">
        <v>759</v>
      </c>
      <c r="F723" s="12" t="s">
        <v>3970</v>
      </c>
      <c r="G723" s="12" t="s">
        <v>1055</v>
      </c>
      <c r="H723" s="12" t="s">
        <v>3971</v>
      </c>
      <c r="I723" s="12" t="s">
        <v>3952</v>
      </c>
      <c r="J723" s="13" t="s">
        <v>3972</v>
      </c>
      <c r="K723" s="12" t="s">
        <v>3954</v>
      </c>
      <c r="L723" s="12" t="s">
        <v>3955</v>
      </c>
      <c r="M723" s="12" t="s">
        <v>3973</v>
      </c>
      <c r="N723" s="12" t="s">
        <v>352</v>
      </c>
      <c r="O723" s="12" t="s">
        <v>102</v>
      </c>
      <c r="P723" s="12" t="s">
        <v>214</v>
      </c>
      <c r="Q723" s="12" t="s">
        <v>3974</v>
      </c>
      <c r="R723" s="14" t="n">
        <v>124</v>
      </c>
      <c r="S723" s="14" t="s">
        <v>105</v>
      </c>
      <c r="T723" s="14" t="s">
        <v>653</v>
      </c>
      <c r="U723" s="14" t="n">
        <v>2023</v>
      </c>
      <c r="V723" s="12" t="s">
        <v>107</v>
      </c>
      <c r="W723" s="14"/>
      <c r="X723" s="15" t="n">
        <f aca="false">IF(OR($S723="%",$R723=""),"",$R723*INDEX(Cambi!$J$2:$J$5,MATCH($S723,Cambi!$I$2:$I$5,0))/IF($T723="EUR",1,INDEX(Cambi!$D:$D,MATCH($T723&amp;"|"&amp;$U723,Cambi!$C:$C,0))))</f>
        <v>114.676777952465</v>
      </c>
      <c r="Y723" s="12" t="s">
        <v>130</v>
      </c>
      <c r="Z723" s="12" t="s">
        <v>285</v>
      </c>
      <c r="AA723" s="12" t="s">
        <v>3958</v>
      </c>
      <c r="AB723" s="16" t="s">
        <v>110</v>
      </c>
      <c r="AC723" s="16" t="s">
        <v>3959</v>
      </c>
      <c r="AD723" s="12" t="s">
        <v>112</v>
      </c>
      <c r="AE723" s="12" t="s">
        <v>3960</v>
      </c>
      <c r="AF723" s="12" t="s">
        <v>3975</v>
      </c>
      <c r="AG723" s="12" t="s">
        <v>498</v>
      </c>
      <c r="AH723" s="12" t="s">
        <v>499</v>
      </c>
      <c r="AI723" s="12" t="s">
        <v>285</v>
      </c>
      <c r="AJ723" s="12" t="s">
        <v>3976</v>
      </c>
      <c r="AK723" s="12" t="s">
        <v>4</v>
      </c>
    </row>
    <row r="724" customFormat="false" ht="15" hidden="false" customHeight="false" outlineLevel="0" collapsed="false">
      <c r="A724" s="11" t="n">
        <v>723</v>
      </c>
      <c r="B724" s="12" t="s">
        <v>3949</v>
      </c>
      <c r="C724" s="12" t="s">
        <v>3908</v>
      </c>
      <c r="D724" s="12" t="s">
        <v>3909</v>
      </c>
      <c r="E724" s="12" t="s">
        <v>759</v>
      </c>
      <c r="F724" s="12" t="s">
        <v>3970</v>
      </c>
      <c r="G724" s="12" t="s">
        <v>1055</v>
      </c>
      <c r="H724" s="12" t="s">
        <v>3971</v>
      </c>
      <c r="I724" s="12" t="s">
        <v>3952</v>
      </c>
      <c r="J724" s="13" t="s">
        <v>3972</v>
      </c>
      <c r="K724" s="12" t="s">
        <v>3954</v>
      </c>
      <c r="L724" s="12" t="s">
        <v>3955</v>
      </c>
      <c r="M724" s="12" t="s">
        <v>3977</v>
      </c>
      <c r="N724" s="12" t="s">
        <v>352</v>
      </c>
      <c r="O724" s="12" t="s">
        <v>102</v>
      </c>
      <c r="P724" s="12" t="s">
        <v>214</v>
      </c>
      <c r="Q724" s="12" t="s">
        <v>3978</v>
      </c>
      <c r="R724" s="14" t="n">
        <v>108</v>
      </c>
      <c r="S724" s="14" t="s">
        <v>105</v>
      </c>
      <c r="T724" s="14" t="s">
        <v>653</v>
      </c>
      <c r="U724" s="14" t="n">
        <v>2023</v>
      </c>
      <c r="V724" s="12" t="s">
        <v>107</v>
      </c>
      <c r="W724" s="14"/>
      <c r="X724" s="15" t="n">
        <f aca="false">IF(OR($S724="%",$R724=""),"",$R724*INDEX(Cambi!$J$2:$J$5,MATCH($S724,Cambi!$I$2:$I$5,0))/IF($T724="EUR",1,INDEX(Cambi!$D:$D,MATCH($T724&amp;"|"&amp;$U724,Cambi!$C:$C,0))))</f>
        <v>99.879774345695</v>
      </c>
      <c r="Y724" s="12" t="s">
        <v>130</v>
      </c>
      <c r="Z724" s="12" t="s">
        <v>285</v>
      </c>
      <c r="AA724" s="12" t="s">
        <v>3958</v>
      </c>
      <c r="AB724" s="16" t="s">
        <v>110</v>
      </c>
      <c r="AC724" s="16" t="s">
        <v>3959</v>
      </c>
      <c r="AD724" s="12" t="s">
        <v>112</v>
      </c>
      <c r="AE724" s="12" t="s">
        <v>3960</v>
      </c>
      <c r="AF724" s="12" t="s">
        <v>3975</v>
      </c>
      <c r="AG724" s="12" t="s">
        <v>498</v>
      </c>
      <c r="AH724" s="12" t="s">
        <v>499</v>
      </c>
      <c r="AI724" s="12" t="s">
        <v>285</v>
      </c>
      <c r="AJ724" s="12" t="s">
        <v>3976</v>
      </c>
      <c r="AK724" s="12" t="s">
        <v>4</v>
      </c>
    </row>
    <row r="725" customFormat="false" ht="15" hidden="false" customHeight="false" outlineLevel="0" collapsed="false">
      <c r="A725" s="11" t="n">
        <v>724</v>
      </c>
      <c r="B725" s="12" t="s">
        <v>3949</v>
      </c>
      <c r="C725" s="12" t="s">
        <v>3908</v>
      </c>
      <c r="D725" s="12" t="s">
        <v>3909</v>
      </c>
      <c r="E725" s="12" t="s">
        <v>759</v>
      </c>
      <c r="F725" s="12" t="s">
        <v>3970</v>
      </c>
      <c r="G725" s="12" t="s">
        <v>1055</v>
      </c>
      <c r="H725" s="12" t="s">
        <v>3971</v>
      </c>
      <c r="I725" s="12" t="s">
        <v>3952</v>
      </c>
      <c r="J725" s="13" t="s">
        <v>3972</v>
      </c>
      <c r="K725" s="12" t="s">
        <v>3954</v>
      </c>
      <c r="L725" s="12" t="s">
        <v>3955</v>
      </c>
      <c r="M725" s="12" t="s">
        <v>3979</v>
      </c>
      <c r="N725" s="12" t="s">
        <v>352</v>
      </c>
      <c r="O725" s="12" t="s">
        <v>102</v>
      </c>
      <c r="P725" s="12" t="s">
        <v>214</v>
      </c>
      <c r="Q725" s="12" t="s">
        <v>3980</v>
      </c>
      <c r="R725" s="14" t="n">
        <v>93</v>
      </c>
      <c r="S725" s="14" t="s">
        <v>105</v>
      </c>
      <c r="T725" s="14" t="s">
        <v>653</v>
      </c>
      <c r="U725" s="14" t="n">
        <v>2023</v>
      </c>
      <c r="V725" s="12" t="s">
        <v>107</v>
      </c>
      <c r="W725" s="14"/>
      <c r="X725" s="15" t="n">
        <f aca="false">IF(OR($S725="%",$R725=""),"",$R725*INDEX(Cambi!$J$2:$J$5,MATCH($S725,Cambi!$I$2:$I$5,0))/IF($T725="EUR",1,INDEX(Cambi!$D:$D,MATCH($T725&amp;"|"&amp;$U725,Cambi!$C:$C,0))))</f>
        <v>86.0075834643485</v>
      </c>
      <c r="Y725" s="12" t="s">
        <v>130</v>
      </c>
      <c r="Z725" s="12" t="s">
        <v>285</v>
      </c>
      <c r="AA725" s="12" t="s">
        <v>3958</v>
      </c>
      <c r="AB725" s="16" t="s">
        <v>110</v>
      </c>
      <c r="AC725" s="16" t="s">
        <v>3959</v>
      </c>
      <c r="AD725" s="12" t="s">
        <v>112</v>
      </c>
      <c r="AE725" s="12" t="s">
        <v>3960</v>
      </c>
      <c r="AF725" s="12" t="s">
        <v>3975</v>
      </c>
      <c r="AG725" s="12" t="s">
        <v>498</v>
      </c>
      <c r="AH725" s="12" t="s">
        <v>499</v>
      </c>
      <c r="AI725" s="12" t="s">
        <v>285</v>
      </c>
      <c r="AJ725" s="12" t="s">
        <v>3976</v>
      </c>
      <c r="AK725" s="12" t="s">
        <v>4</v>
      </c>
    </row>
    <row r="726" customFormat="false" ht="15" hidden="false" customHeight="false" outlineLevel="0" collapsed="false">
      <c r="A726" s="11" t="n">
        <v>725</v>
      </c>
      <c r="B726" s="12" t="s">
        <v>3981</v>
      </c>
      <c r="C726" s="12" t="s">
        <v>3908</v>
      </c>
      <c r="D726" s="12" t="s">
        <v>3909</v>
      </c>
      <c r="E726" s="12" t="s">
        <v>759</v>
      </c>
      <c r="F726" s="12" t="s">
        <v>3970</v>
      </c>
      <c r="G726" s="12" t="s">
        <v>1055</v>
      </c>
      <c r="H726" s="12" t="s">
        <v>3982</v>
      </c>
      <c r="I726" s="12" t="s">
        <v>3983</v>
      </c>
      <c r="J726" s="13" t="s">
        <v>3984</v>
      </c>
      <c r="K726" s="12" t="s">
        <v>3985</v>
      </c>
      <c r="L726" s="12" t="s">
        <v>3986</v>
      </c>
      <c r="M726" s="12" t="s">
        <v>3987</v>
      </c>
      <c r="N726" s="12" t="s">
        <v>352</v>
      </c>
      <c r="O726" s="12" t="s">
        <v>102</v>
      </c>
      <c r="P726" s="12" t="s">
        <v>103</v>
      </c>
      <c r="Q726" s="12" t="s">
        <v>104</v>
      </c>
      <c r="R726" s="14" t="n">
        <v>12</v>
      </c>
      <c r="S726" s="14" t="s">
        <v>129</v>
      </c>
      <c r="T726" s="14" t="s">
        <v>3930</v>
      </c>
      <c r="U726" s="14" t="n">
        <v>2024</v>
      </c>
      <c r="V726" s="12" t="s">
        <v>107</v>
      </c>
      <c r="W726" s="14"/>
      <c r="X726" s="15" t="n">
        <f aca="false">IF(OR($S726="%",$R726=""),"",$R726*INDEX(Cambi!$J$2:$J$5,MATCH($S726,Cambi!$I$2:$I$5,0))/IF($T726="EUR",1,INDEX(Cambi!$D:$D,MATCH($T726&amp;"|"&amp;$U726,Cambi!$C:$C,0))))</f>
        <v>2786.93854800502</v>
      </c>
      <c r="Y726" s="12" t="s">
        <v>109</v>
      </c>
      <c r="Z726" s="12" t="s">
        <v>109</v>
      </c>
      <c r="AA726" s="12" t="s">
        <v>3988</v>
      </c>
      <c r="AB726" s="16" t="s">
        <v>110</v>
      </c>
      <c r="AC726" s="16" t="s">
        <v>3989</v>
      </c>
      <c r="AD726" s="12" t="s">
        <v>112</v>
      </c>
      <c r="AE726" s="12" t="s">
        <v>3990</v>
      </c>
      <c r="AF726" s="12" t="s">
        <v>3991</v>
      </c>
      <c r="AG726" s="12" t="s">
        <v>498</v>
      </c>
      <c r="AH726" s="12" t="s">
        <v>499</v>
      </c>
      <c r="AI726" s="12" t="s">
        <v>285</v>
      </c>
      <c r="AJ726" s="12" t="s">
        <v>3992</v>
      </c>
      <c r="AK726" s="12" t="s">
        <v>4</v>
      </c>
    </row>
    <row r="727" customFormat="false" ht="15" hidden="false" customHeight="false" outlineLevel="0" collapsed="false">
      <c r="A727" s="11" t="n">
        <v>726</v>
      </c>
      <c r="B727" s="12" t="s">
        <v>3981</v>
      </c>
      <c r="C727" s="12" t="s">
        <v>3908</v>
      </c>
      <c r="D727" s="12" t="s">
        <v>3909</v>
      </c>
      <c r="E727" s="12" t="s">
        <v>759</v>
      </c>
      <c r="F727" s="12" t="s">
        <v>3970</v>
      </c>
      <c r="G727" s="12" t="s">
        <v>1055</v>
      </c>
      <c r="H727" s="12" t="s">
        <v>3982</v>
      </c>
      <c r="I727" s="12" t="s">
        <v>3983</v>
      </c>
      <c r="J727" s="13" t="s">
        <v>3984</v>
      </c>
      <c r="K727" s="12" t="s">
        <v>3985</v>
      </c>
      <c r="L727" s="12" t="s">
        <v>3993</v>
      </c>
      <c r="M727" s="12" t="s">
        <v>3994</v>
      </c>
      <c r="N727" s="12" t="s">
        <v>352</v>
      </c>
      <c r="O727" s="12" t="s">
        <v>102</v>
      </c>
      <c r="P727" s="12" t="s">
        <v>103</v>
      </c>
      <c r="Q727" s="12" t="s">
        <v>104</v>
      </c>
      <c r="R727" s="14" t="n">
        <v>3</v>
      </c>
      <c r="S727" s="14" t="s">
        <v>129</v>
      </c>
      <c r="T727" s="14" t="s">
        <v>3930</v>
      </c>
      <c r="U727" s="14" t="n">
        <v>2024</v>
      </c>
      <c r="V727" s="12" t="s">
        <v>107</v>
      </c>
      <c r="W727" s="14"/>
      <c r="X727" s="15" t="n">
        <f aca="false">IF(OR($S727="%",$R727=""),"",$R727*INDEX(Cambi!$J$2:$J$5,MATCH($S727,Cambi!$I$2:$I$5,0))/IF($T727="EUR",1,INDEX(Cambi!$D:$D,MATCH($T727&amp;"|"&amp;$U727,Cambi!$C:$C,0))))</f>
        <v>696.734637001254</v>
      </c>
      <c r="Y727" s="12" t="s">
        <v>109</v>
      </c>
      <c r="Z727" s="12" t="s">
        <v>285</v>
      </c>
      <c r="AA727" s="12" t="s">
        <v>3995</v>
      </c>
      <c r="AB727" s="16" t="s">
        <v>110</v>
      </c>
      <c r="AC727" s="16" t="s">
        <v>3989</v>
      </c>
      <c r="AD727" s="12" t="s">
        <v>112</v>
      </c>
      <c r="AE727" s="12" t="s">
        <v>3990</v>
      </c>
      <c r="AF727" s="12" t="s">
        <v>3996</v>
      </c>
      <c r="AG727" s="12" t="s">
        <v>498</v>
      </c>
      <c r="AH727" s="12" t="s">
        <v>499</v>
      </c>
      <c r="AI727" s="12" t="s">
        <v>285</v>
      </c>
      <c r="AJ727" s="12" t="s">
        <v>3997</v>
      </c>
      <c r="AK727" s="12" t="s">
        <v>4</v>
      </c>
    </row>
    <row r="728" customFormat="false" ht="15" hidden="false" customHeight="false" outlineLevel="0" collapsed="false">
      <c r="A728" s="11" t="n">
        <v>727</v>
      </c>
      <c r="B728" s="12" t="s">
        <v>3998</v>
      </c>
      <c r="C728" s="12" t="s">
        <v>3908</v>
      </c>
      <c r="D728" s="12" t="s">
        <v>3909</v>
      </c>
      <c r="E728" s="12" t="s">
        <v>759</v>
      </c>
      <c r="F728" s="12" t="s">
        <v>2513</v>
      </c>
      <c r="G728" s="12" t="s">
        <v>830</v>
      </c>
      <c r="H728" s="12" t="s">
        <v>3999</v>
      </c>
      <c r="I728" s="12" t="s">
        <v>4000</v>
      </c>
      <c r="J728" s="13" t="s">
        <v>4001</v>
      </c>
      <c r="K728" s="12"/>
      <c r="L728" s="12" t="s">
        <v>3999</v>
      </c>
      <c r="M728" s="12" t="s">
        <v>4002</v>
      </c>
      <c r="N728" s="12" t="s">
        <v>352</v>
      </c>
      <c r="O728" s="12" t="s">
        <v>102</v>
      </c>
      <c r="P728" s="12" t="s">
        <v>103</v>
      </c>
      <c r="Q728" s="12" t="s">
        <v>104</v>
      </c>
      <c r="R728" s="14" t="n">
        <v>2.3</v>
      </c>
      <c r="S728" s="14" t="s">
        <v>129</v>
      </c>
      <c r="T728" s="14" t="s">
        <v>653</v>
      </c>
      <c r="U728" s="14" t="n">
        <v>2024</v>
      </c>
      <c r="V728" s="12" t="s">
        <v>157</v>
      </c>
      <c r="W728" s="14"/>
      <c r="X728" s="15" t="n">
        <f aca="false">IF(OR($S728="%",$R728=""),"",$R728*INDEX(Cambi!$J$2:$J$5,MATCH($S728,Cambi!$I$2:$I$5,0))/IF($T728="EUR",1,INDEX(Cambi!$D:$D,MATCH($T728&amp;"|"&amp;$U728,Cambi!$C:$C,0))))</f>
        <v>2124.90761271249</v>
      </c>
      <c r="Y728" s="12" t="s">
        <v>109</v>
      </c>
      <c r="Z728" s="12" t="s">
        <v>109</v>
      </c>
      <c r="AA728" s="12" t="s">
        <v>4003</v>
      </c>
      <c r="AB728" s="16" t="s">
        <v>110</v>
      </c>
      <c r="AC728" s="16" t="s">
        <v>4004</v>
      </c>
      <c r="AD728" s="12" t="s">
        <v>112</v>
      </c>
      <c r="AE728" s="12" t="s">
        <v>4005</v>
      </c>
      <c r="AF728" s="12" t="s">
        <v>4006</v>
      </c>
      <c r="AG728" s="12" t="s">
        <v>284</v>
      </c>
      <c r="AH728" s="12" t="s">
        <v>838</v>
      </c>
      <c r="AI728" s="12" t="s">
        <v>117</v>
      </c>
      <c r="AJ728" s="12" t="s">
        <v>4007</v>
      </c>
      <c r="AK728" s="12" t="s">
        <v>4</v>
      </c>
    </row>
    <row r="729" customFormat="false" ht="15" hidden="false" customHeight="false" outlineLevel="0" collapsed="false">
      <c r="A729" s="11" t="n">
        <v>728</v>
      </c>
      <c r="B729" s="12" t="s">
        <v>4008</v>
      </c>
      <c r="C729" s="12" t="s">
        <v>3908</v>
      </c>
      <c r="D729" s="12" t="s">
        <v>3909</v>
      </c>
      <c r="E729" s="12" t="s">
        <v>759</v>
      </c>
      <c r="F729" s="12" t="s">
        <v>4009</v>
      </c>
      <c r="G729" s="12" t="s">
        <v>1055</v>
      </c>
      <c r="H729" s="12" t="s">
        <v>4010</v>
      </c>
      <c r="I729" s="12" t="s">
        <v>4011</v>
      </c>
      <c r="J729" s="13" t="s">
        <v>4012</v>
      </c>
      <c r="K729" s="12" t="s">
        <v>4013</v>
      </c>
      <c r="L729" s="12" t="s">
        <v>4014</v>
      </c>
      <c r="M729" s="12" t="s">
        <v>4015</v>
      </c>
      <c r="N729" s="12" t="s">
        <v>101</v>
      </c>
      <c r="O729" s="12" t="s">
        <v>102</v>
      </c>
      <c r="P729" s="12" t="s">
        <v>103</v>
      </c>
      <c r="Q729" s="12" t="s">
        <v>104</v>
      </c>
      <c r="R729" s="14" t="n">
        <v>6450</v>
      </c>
      <c r="S729" s="14" t="s">
        <v>392</v>
      </c>
      <c r="T729" s="14" t="s">
        <v>3930</v>
      </c>
      <c r="U729" s="14" t="n">
        <v>2018</v>
      </c>
      <c r="V729" s="12" t="s">
        <v>157</v>
      </c>
      <c r="W729" s="14"/>
      <c r="X729" s="15" t="n">
        <f aca="false">IF(OR($S729="%",$R729=""),"",$R729*INDEX(Cambi!$J$2:$J$5,MATCH($S729,Cambi!$I$2:$I$5,0))/IF($T729="EUR",1,INDEX(Cambi!$D:$D,MATCH($T729&amp;"|"&amp;$U729,Cambi!$C:$C,0))))</f>
        <v>1.51355156634988</v>
      </c>
      <c r="Y729" s="12" t="s">
        <v>108</v>
      </c>
      <c r="Z729" s="12" t="s">
        <v>109</v>
      </c>
      <c r="AA729" s="12" t="s">
        <v>109</v>
      </c>
      <c r="AB729" s="16" t="s">
        <v>394</v>
      </c>
      <c r="AC729" s="16" t="s">
        <v>4016</v>
      </c>
      <c r="AD729" s="12" t="s">
        <v>112</v>
      </c>
      <c r="AE729" s="12" t="s">
        <v>4017</v>
      </c>
      <c r="AF729" s="12" t="s">
        <v>4018</v>
      </c>
      <c r="AG729" s="12" t="s">
        <v>115</v>
      </c>
      <c r="AH729" s="12" t="s">
        <v>116</v>
      </c>
      <c r="AI729" s="12" t="s">
        <v>285</v>
      </c>
      <c r="AJ729" s="12" t="s">
        <v>4019</v>
      </c>
      <c r="AK729" s="12" t="s">
        <v>4</v>
      </c>
    </row>
    <row r="730" customFormat="false" ht="15" hidden="false" customHeight="false" outlineLevel="0" collapsed="false">
      <c r="A730" s="11" t="n">
        <v>729</v>
      </c>
      <c r="B730" s="12" t="s">
        <v>4008</v>
      </c>
      <c r="C730" s="12" t="s">
        <v>3908</v>
      </c>
      <c r="D730" s="12" t="s">
        <v>3909</v>
      </c>
      <c r="E730" s="12" t="s">
        <v>759</v>
      </c>
      <c r="F730" s="12" t="s">
        <v>4009</v>
      </c>
      <c r="G730" s="12" t="s">
        <v>1055</v>
      </c>
      <c r="H730" s="12" t="s">
        <v>4010</v>
      </c>
      <c r="I730" s="12" t="s">
        <v>4011</v>
      </c>
      <c r="J730" s="13" t="s">
        <v>4012</v>
      </c>
      <c r="K730" s="12" t="s">
        <v>4013</v>
      </c>
      <c r="L730" s="12" t="s">
        <v>4014</v>
      </c>
      <c r="M730" s="12" t="s">
        <v>4020</v>
      </c>
      <c r="N730" s="12" t="s">
        <v>101</v>
      </c>
      <c r="O730" s="12" t="s">
        <v>102</v>
      </c>
      <c r="P730" s="12" t="s">
        <v>103</v>
      </c>
      <c r="Q730" s="12" t="s">
        <v>104</v>
      </c>
      <c r="R730" s="14" t="n">
        <v>13349</v>
      </c>
      <c r="S730" s="14" t="s">
        <v>392</v>
      </c>
      <c r="T730" s="14" t="s">
        <v>3930</v>
      </c>
      <c r="U730" s="14" t="n">
        <v>2019</v>
      </c>
      <c r="V730" s="12" t="s">
        <v>157</v>
      </c>
      <c r="W730" s="14"/>
      <c r="X730" s="15" t="n">
        <f aca="false">IF(OR($S730="%",$R730=""),"",$R730*INDEX(Cambi!$J$2:$J$5,MATCH($S730,Cambi!$I$2:$I$5,0))/IF($T730="EUR",1,INDEX(Cambi!$D:$D,MATCH($T730&amp;"|"&amp;$U730,Cambi!$C:$C,0))))</f>
        <v>3.106152271035</v>
      </c>
      <c r="Y730" s="12" t="s">
        <v>108</v>
      </c>
      <c r="Z730" s="12" t="s">
        <v>109</v>
      </c>
      <c r="AA730" s="12" t="s">
        <v>109</v>
      </c>
      <c r="AB730" s="16" t="s">
        <v>394</v>
      </c>
      <c r="AC730" s="16" t="s">
        <v>4016</v>
      </c>
      <c r="AD730" s="12" t="s">
        <v>112</v>
      </c>
      <c r="AE730" s="12" t="s">
        <v>4017</v>
      </c>
      <c r="AF730" s="12" t="s">
        <v>4021</v>
      </c>
      <c r="AG730" s="12" t="s">
        <v>115</v>
      </c>
      <c r="AH730" s="12" t="s">
        <v>116</v>
      </c>
      <c r="AI730" s="12" t="s">
        <v>285</v>
      </c>
      <c r="AJ730" s="12" t="s">
        <v>4019</v>
      </c>
      <c r="AK730" s="12" t="s">
        <v>4</v>
      </c>
    </row>
    <row r="731" customFormat="false" ht="15" hidden="false" customHeight="false" outlineLevel="0" collapsed="false">
      <c r="A731" s="11" t="n">
        <v>730</v>
      </c>
      <c r="B731" s="12" t="s">
        <v>4008</v>
      </c>
      <c r="C731" s="12" t="s">
        <v>3908</v>
      </c>
      <c r="D731" s="12" t="s">
        <v>3909</v>
      </c>
      <c r="E731" s="12" t="s">
        <v>759</v>
      </c>
      <c r="F731" s="12" t="s">
        <v>4009</v>
      </c>
      <c r="G731" s="12" t="s">
        <v>1055</v>
      </c>
      <c r="H731" s="12" t="s">
        <v>4010</v>
      </c>
      <c r="I731" s="12" t="s">
        <v>4011</v>
      </c>
      <c r="J731" s="13" t="s">
        <v>4012</v>
      </c>
      <c r="K731" s="12" t="s">
        <v>4013</v>
      </c>
      <c r="L731" s="12" t="s">
        <v>4014</v>
      </c>
      <c r="M731" s="12" t="s">
        <v>4022</v>
      </c>
      <c r="N731" s="12" t="s">
        <v>101</v>
      </c>
      <c r="O731" s="12" t="s">
        <v>102</v>
      </c>
      <c r="P731" s="12" t="s">
        <v>103</v>
      </c>
      <c r="Q731" s="12" t="s">
        <v>104</v>
      </c>
      <c r="R731" s="14" t="n">
        <v>17334</v>
      </c>
      <c r="S731" s="14" t="s">
        <v>392</v>
      </c>
      <c r="T731" s="14" t="s">
        <v>3930</v>
      </c>
      <c r="U731" s="14" t="n">
        <v>2020</v>
      </c>
      <c r="V731" s="12" t="s">
        <v>157</v>
      </c>
      <c r="W731" s="14"/>
      <c r="X731" s="15" t="n">
        <f aca="false">IF(OR($S731="%",$R731=""),"",$R731*INDEX(Cambi!$J$2:$J$5,MATCH($S731,Cambi!$I$2:$I$5,0))/IF($T731="EUR",1,INDEX(Cambi!$D:$D,MATCH($T731&amp;"|"&amp;$U731,Cambi!$C:$C,0))))</f>
        <v>3.90141796083727</v>
      </c>
      <c r="Y731" s="12" t="s">
        <v>108</v>
      </c>
      <c r="Z731" s="12" t="s">
        <v>109</v>
      </c>
      <c r="AA731" s="12" t="s">
        <v>109</v>
      </c>
      <c r="AB731" s="16" t="s">
        <v>394</v>
      </c>
      <c r="AC731" s="16" t="s">
        <v>4016</v>
      </c>
      <c r="AD731" s="12" t="s">
        <v>112</v>
      </c>
      <c r="AE731" s="12" t="s">
        <v>4017</v>
      </c>
      <c r="AF731" s="12" t="s">
        <v>4023</v>
      </c>
      <c r="AG731" s="12" t="s">
        <v>115</v>
      </c>
      <c r="AH731" s="12" t="s">
        <v>116</v>
      </c>
      <c r="AI731" s="12" t="s">
        <v>285</v>
      </c>
      <c r="AJ731" s="12" t="s">
        <v>4019</v>
      </c>
      <c r="AK731" s="12" t="s">
        <v>4</v>
      </c>
    </row>
    <row r="732" customFormat="false" ht="15" hidden="false" customHeight="false" outlineLevel="0" collapsed="false">
      <c r="A732" s="11" t="n">
        <v>731</v>
      </c>
      <c r="B732" s="12" t="s">
        <v>4008</v>
      </c>
      <c r="C732" s="12" t="s">
        <v>3908</v>
      </c>
      <c r="D732" s="12" t="s">
        <v>3909</v>
      </c>
      <c r="E732" s="12" t="s">
        <v>759</v>
      </c>
      <c r="F732" s="12" t="s">
        <v>4009</v>
      </c>
      <c r="G732" s="12" t="s">
        <v>1055</v>
      </c>
      <c r="H732" s="12" t="s">
        <v>4010</v>
      </c>
      <c r="I732" s="12" t="s">
        <v>4011</v>
      </c>
      <c r="J732" s="13" t="s">
        <v>4012</v>
      </c>
      <c r="K732" s="12" t="s">
        <v>4013</v>
      </c>
      <c r="L732" s="12" t="s">
        <v>4014</v>
      </c>
      <c r="M732" s="12" t="s">
        <v>4024</v>
      </c>
      <c r="N732" s="12" t="s">
        <v>101</v>
      </c>
      <c r="O732" s="12" t="s">
        <v>102</v>
      </c>
      <c r="P732" s="12" t="s">
        <v>103</v>
      </c>
      <c r="Q732" s="12" t="s">
        <v>104</v>
      </c>
      <c r="R732" s="14" t="n">
        <v>17314</v>
      </c>
      <c r="S732" s="14" t="s">
        <v>392</v>
      </c>
      <c r="T732" s="14" t="s">
        <v>3930</v>
      </c>
      <c r="U732" s="14" t="n">
        <v>2021</v>
      </c>
      <c r="V732" s="12" t="s">
        <v>157</v>
      </c>
      <c r="W732" s="14"/>
      <c r="X732" s="15" t="n">
        <f aca="false">IF(OR($S732="%",$R732=""),"",$R732*INDEX(Cambi!$J$2:$J$5,MATCH($S732,Cambi!$I$2:$I$5,0))/IF($T732="EUR",1,INDEX(Cambi!$D:$D,MATCH($T732&amp;"|"&amp;$U732,Cambi!$C:$C,0))))</f>
        <v>3.79260492420924</v>
      </c>
      <c r="Y732" s="12" t="s">
        <v>108</v>
      </c>
      <c r="Z732" s="12" t="s">
        <v>109</v>
      </c>
      <c r="AA732" s="12" t="s">
        <v>109</v>
      </c>
      <c r="AB732" s="16" t="s">
        <v>394</v>
      </c>
      <c r="AC732" s="16" t="s">
        <v>4016</v>
      </c>
      <c r="AD732" s="12" t="s">
        <v>112</v>
      </c>
      <c r="AE732" s="12" t="s">
        <v>4017</v>
      </c>
      <c r="AF732" s="12" t="s">
        <v>4025</v>
      </c>
      <c r="AG732" s="12" t="s">
        <v>115</v>
      </c>
      <c r="AH732" s="12" t="s">
        <v>116</v>
      </c>
      <c r="AI732" s="12" t="s">
        <v>285</v>
      </c>
      <c r="AJ732" s="12" t="s">
        <v>4019</v>
      </c>
      <c r="AK732" s="12" t="s">
        <v>4</v>
      </c>
    </row>
    <row r="733" customFormat="false" ht="15" hidden="false" customHeight="false" outlineLevel="0" collapsed="false">
      <c r="A733" s="11" t="n">
        <v>732</v>
      </c>
      <c r="B733" s="12" t="s">
        <v>4008</v>
      </c>
      <c r="C733" s="12" t="s">
        <v>3908</v>
      </c>
      <c r="D733" s="12" t="s">
        <v>3909</v>
      </c>
      <c r="E733" s="12" t="s">
        <v>759</v>
      </c>
      <c r="F733" s="12" t="s">
        <v>4009</v>
      </c>
      <c r="G733" s="12" t="s">
        <v>1055</v>
      </c>
      <c r="H733" s="12" t="s">
        <v>4010</v>
      </c>
      <c r="I733" s="12" t="s">
        <v>4011</v>
      </c>
      <c r="J733" s="13" t="s">
        <v>4012</v>
      </c>
      <c r="K733" s="12" t="s">
        <v>4013</v>
      </c>
      <c r="L733" s="12" t="s">
        <v>4014</v>
      </c>
      <c r="M733" s="12" t="s">
        <v>4026</v>
      </c>
      <c r="N733" s="12" t="s">
        <v>101</v>
      </c>
      <c r="O733" s="12" t="s">
        <v>102</v>
      </c>
      <c r="P733" s="12" t="s">
        <v>103</v>
      </c>
      <c r="Q733" s="12" t="s">
        <v>104</v>
      </c>
      <c r="R733" s="14" t="n">
        <v>27404</v>
      </c>
      <c r="S733" s="14" t="s">
        <v>392</v>
      </c>
      <c r="T733" s="14" t="s">
        <v>3930</v>
      </c>
      <c r="U733" s="14" t="n">
        <v>2022</v>
      </c>
      <c r="V733" s="12" t="s">
        <v>157</v>
      </c>
      <c r="W733" s="14"/>
      <c r="X733" s="15" t="n">
        <f aca="false">IF(OR($S733="%",$R733=""),"",$R733*INDEX(Cambi!$J$2:$J$5,MATCH($S733,Cambi!$I$2:$I$5,0))/IF($T733="EUR",1,INDEX(Cambi!$D:$D,MATCH($T733&amp;"|"&amp;$U733,Cambi!$C:$C,0))))</f>
        <v>5.84793324939715</v>
      </c>
      <c r="Y733" s="12" t="s">
        <v>108</v>
      </c>
      <c r="Z733" s="12" t="s">
        <v>109</v>
      </c>
      <c r="AA733" s="12" t="s">
        <v>109</v>
      </c>
      <c r="AB733" s="16" t="s">
        <v>394</v>
      </c>
      <c r="AC733" s="16" t="s">
        <v>4016</v>
      </c>
      <c r="AD733" s="12" t="s">
        <v>112</v>
      </c>
      <c r="AE733" s="12" t="s">
        <v>4017</v>
      </c>
      <c r="AF733" s="12" t="s">
        <v>4027</v>
      </c>
      <c r="AG733" s="12" t="s">
        <v>115</v>
      </c>
      <c r="AH733" s="12" t="s">
        <v>116</v>
      </c>
      <c r="AI733" s="12" t="s">
        <v>285</v>
      </c>
      <c r="AJ733" s="12" t="s">
        <v>4019</v>
      </c>
      <c r="AK733" s="12" t="s">
        <v>4</v>
      </c>
    </row>
    <row r="734" customFormat="false" ht="15" hidden="false" customHeight="false" outlineLevel="0" collapsed="false">
      <c r="A734" s="11" t="n">
        <v>733</v>
      </c>
      <c r="B734" s="12" t="s">
        <v>4008</v>
      </c>
      <c r="C734" s="12" t="s">
        <v>3908</v>
      </c>
      <c r="D734" s="12" t="s">
        <v>3909</v>
      </c>
      <c r="E734" s="12" t="s">
        <v>759</v>
      </c>
      <c r="F734" s="12" t="s">
        <v>4009</v>
      </c>
      <c r="G734" s="12" t="s">
        <v>1055</v>
      </c>
      <c r="H734" s="12" t="s">
        <v>4010</v>
      </c>
      <c r="I734" s="12" t="s">
        <v>4011</v>
      </c>
      <c r="J734" s="13" t="s">
        <v>4012</v>
      </c>
      <c r="K734" s="12" t="s">
        <v>4013</v>
      </c>
      <c r="L734" s="12" t="s">
        <v>4014</v>
      </c>
      <c r="M734" s="12" t="s">
        <v>4028</v>
      </c>
      <c r="N734" s="12" t="s">
        <v>101</v>
      </c>
      <c r="O734" s="12" t="s">
        <v>102</v>
      </c>
      <c r="P734" s="12" t="s">
        <v>103</v>
      </c>
      <c r="Q734" s="12" t="s">
        <v>104</v>
      </c>
      <c r="R734" s="14" t="n">
        <v>50335</v>
      </c>
      <c r="S734" s="14" t="s">
        <v>392</v>
      </c>
      <c r="T734" s="14" t="s">
        <v>3930</v>
      </c>
      <c r="U734" s="14" t="n">
        <v>2023</v>
      </c>
      <c r="V734" s="12" t="s">
        <v>157</v>
      </c>
      <c r="W734" s="14"/>
      <c r="X734" s="15" t="n">
        <f aca="false">IF(OR($S734="%",$R734=""),"",$R734*INDEX(Cambi!$J$2:$J$5,MATCH($S734,Cambi!$I$2:$I$5,0))/IF($T734="EUR",1,INDEX(Cambi!$D:$D,MATCH($T734&amp;"|"&amp;$U734,Cambi!$C:$C,0))))</f>
        <v>11.0821224130339</v>
      </c>
      <c r="Y734" s="12" t="s">
        <v>108</v>
      </c>
      <c r="Z734" s="12" t="s">
        <v>109</v>
      </c>
      <c r="AA734" s="12" t="s">
        <v>109</v>
      </c>
      <c r="AB734" s="16" t="s">
        <v>394</v>
      </c>
      <c r="AC734" s="16" t="s">
        <v>4016</v>
      </c>
      <c r="AD734" s="12" t="s">
        <v>112</v>
      </c>
      <c r="AE734" s="12" t="s">
        <v>4017</v>
      </c>
      <c r="AF734" s="12" t="s">
        <v>4029</v>
      </c>
      <c r="AG734" s="12" t="s">
        <v>115</v>
      </c>
      <c r="AH734" s="12" t="s">
        <v>116</v>
      </c>
      <c r="AI734" s="12" t="s">
        <v>285</v>
      </c>
      <c r="AJ734" s="12" t="s">
        <v>4019</v>
      </c>
      <c r="AK734" s="12" t="s">
        <v>4</v>
      </c>
    </row>
    <row r="735" customFormat="false" ht="15" hidden="false" customHeight="false" outlineLevel="0" collapsed="false">
      <c r="A735" s="11" t="n">
        <v>734</v>
      </c>
      <c r="B735" s="12" t="s">
        <v>4008</v>
      </c>
      <c r="C735" s="12" t="s">
        <v>3908</v>
      </c>
      <c r="D735" s="12" t="s">
        <v>3909</v>
      </c>
      <c r="E735" s="12" t="s">
        <v>759</v>
      </c>
      <c r="F735" s="12" t="s">
        <v>4009</v>
      </c>
      <c r="G735" s="12" t="s">
        <v>1055</v>
      </c>
      <c r="H735" s="12" t="s">
        <v>4010</v>
      </c>
      <c r="I735" s="12" t="s">
        <v>4011</v>
      </c>
      <c r="J735" s="13" t="s">
        <v>4012</v>
      </c>
      <c r="K735" s="12" t="s">
        <v>4013</v>
      </c>
      <c r="L735" s="12" t="s">
        <v>4014</v>
      </c>
      <c r="M735" s="12" t="s">
        <v>4030</v>
      </c>
      <c r="N735" s="12" t="s">
        <v>101</v>
      </c>
      <c r="O735" s="12" t="s">
        <v>102</v>
      </c>
      <c r="P735" s="12" t="s">
        <v>103</v>
      </c>
      <c r="Q735" s="12" t="s">
        <v>104</v>
      </c>
      <c r="R735" s="14" t="n">
        <v>50335</v>
      </c>
      <c r="S735" s="14" t="s">
        <v>392</v>
      </c>
      <c r="T735" s="14" t="s">
        <v>3930</v>
      </c>
      <c r="U735" s="14" t="n">
        <v>2024</v>
      </c>
      <c r="V735" s="12" t="s">
        <v>157</v>
      </c>
      <c r="W735" s="14"/>
      <c r="X735" s="15" t="n">
        <f aca="false">IF(OR($S735="%",$R735=""),"",$R735*INDEX(Cambi!$J$2:$J$5,MATCH($S735,Cambi!$I$2:$I$5,0))/IF($T735="EUR",1,INDEX(Cambi!$D:$D,MATCH($T735&amp;"|"&amp;$U735,Cambi!$C:$C,0))))</f>
        <v>11.690045984486</v>
      </c>
      <c r="Y735" s="12" t="s">
        <v>108</v>
      </c>
      <c r="Z735" s="12" t="s">
        <v>109</v>
      </c>
      <c r="AA735" s="12" t="s">
        <v>109</v>
      </c>
      <c r="AB735" s="16" t="s">
        <v>394</v>
      </c>
      <c r="AC735" s="16" t="s">
        <v>4016</v>
      </c>
      <c r="AD735" s="12" t="s">
        <v>112</v>
      </c>
      <c r="AE735" s="12" t="s">
        <v>4017</v>
      </c>
      <c r="AF735" s="12" t="s">
        <v>4031</v>
      </c>
      <c r="AG735" s="12" t="s">
        <v>115</v>
      </c>
      <c r="AH735" s="12" t="s">
        <v>116</v>
      </c>
      <c r="AI735" s="12" t="s">
        <v>285</v>
      </c>
      <c r="AJ735" s="12" t="s">
        <v>4019</v>
      </c>
      <c r="AK735" s="12" t="s">
        <v>4</v>
      </c>
    </row>
    <row r="736" customFormat="false" ht="15" hidden="false" customHeight="false" outlineLevel="0" collapsed="false">
      <c r="A736" s="11" t="n">
        <v>735</v>
      </c>
      <c r="B736" s="12" t="s">
        <v>4008</v>
      </c>
      <c r="C736" s="12" t="s">
        <v>3908</v>
      </c>
      <c r="D736" s="12" t="s">
        <v>3909</v>
      </c>
      <c r="E736" s="12" t="s">
        <v>759</v>
      </c>
      <c r="F736" s="12" t="s">
        <v>4009</v>
      </c>
      <c r="G736" s="12" t="s">
        <v>1055</v>
      </c>
      <c r="H736" s="12" t="s">
        <v>4010</v>
      </c>
      <c r="I736" s="12" t="s">
        <v>4011</v>
      </c>
      <c r="J736" s="13" t="s">
        <v>4012</v>
      </c>
      <c r="K736" s="12" t="s">
        <v>4013</v>
      </c>
      <c r="L736" s="12" t="s">
        <v>4014</v>
      </c>
      <c r="M736" s="12" t="s">
        <v>4032</v>
      </c>
      <c r="N736" s="12" t="s">
        <v>101</v>
      </c>
      <c r="O736" s="12" t="s">
        <v>102</v>
      </c>
      <c r="P736" s="12" t="s">
        <v>103</v>
      </c>
      <c r="Q736" s="12" t="s">
        <v>104</v>
      </c>
      <c r="R736" s="14" t="n">
        <v>80300</v>
      </c>
      <c r="S736" s="14" t="s">
        <v>392</v>
      </c>
      <c r="T736" s="14" t="s">
        <v>3930</v>
      </c>
      <c r="U736" s="14" t="n">
        <v>2025</v>
      </c>
      <c r="V736" s="12" t="s">
        <v>157</v>
      </c>
      <c r="W736" s="14"/>
      <c r="X736" s="15" t="n">
        <f aca="false">IF(OR($S736="%",$R736=""),"",$R736*INDEX(Cambi!$J$2:$J$5,MATCH($S736,Cambi!$I$2:$I$5,0))/IF($T736="EUR",1,INDEX(Cambi!$D:$D,MATCH($T736&amp;"|"&amp;$U736,Cambi!$C:$C,0))))</f>
        <v>18.9400193409911</v>
      </c>
      <c r="Y736" s="12" t="s">
        <v>108</v>
      </c>
      <c r="Z736" s="12" t="s">
        <v>109</v>
      </c>
      <c r="AA736" s="12" t="s">
        <v>109</v>
      </c>
      <c r="AB736" s="16" t="s">
        <v>394</v>
      </c>
      <c r="AC736" s="16" t="s">
        <v>4016</v>
      </c>
      <c r="AD736" s="12" t="s">
        <v>112</v>
      </c>
      <c r="AE736" s="12" t="s">
        <v>4017</v>
      </c>
      <c r="AF736" s="12" t="s">
        <v>4033</v>
      </c>
      <c r="AG736" s="12" t="s">
        <v>115</v>
      </c>
      <c r="AH736" s="12" t="s">
        <v>116</v>
      </c>
      <c r="AI736" s="12" t="s">
        <v>285</v>
      </c>
      <c r="AJ736" s="12" t="s">
        <v>4034</v>
      </c>
      <c r="AK736" s="12" t="s">
        <v>4</v>
      </c>
    </row>
    <row r="737" customFormat="false" ht="15" hidden="false" customHeight="false" outlineLevel="0" collapsed="false">
      <c r="A737" s="11" t="n">
        <v>736</v>
      </c>
      <c r="B737" s="12" t="s">
        <v>4008</v>
      </c>
      <c r="C737" s="12" t="s">
        <v>3908</v>
      </c>
      <c r="D737" s="12" t="s">
        <v>3909</v>
      </c>
      <c r="E737" s="12" t="s">
        <v>759</v>
      </c>
      <c r="F737" s="12" t="s">
        <v>4009</v>
      </c>
      <c r="G737" s="12" t="s">
        <v>1055</v>
      </c>
      <c r="H737" s="12" t="s">
        <v>4010</v>
      </c>
      <c r="I737" s="12" t="s">
        <v>4011</v>
      </c>
      <c r="J737" s="13" t="s">
        <v>4012</v>
      </c>
      <c r="K737" s="12" t="s">
        <v>4013</v>
      </c>
      <c r="L737" s="12" t="s">
        <v>4014</v>
      </c>
      <c r="M737" s="12" t="s">
        <v>4035</v>
      </c>
      <c r="N737" s="12" t="s">
        <v>101</v>
      </c>
      <c r="O737" s="12" t="s">
        <v>102</v>
      </c>
      <c r="P737" s="12" t="s">
        <v>103</v>
      </c>
      <c r="Q737" s="12" t="s">
        <v>104</v>
      </c>
      <c r="R737" s="14" t="n">
        <v>91400</v>
      </c>
      <c r="S737" s="14" t="s">
        <v>392</v>
      </c>
      <c r="T737" s="14" t="s">
        <v>3930</v>
      </c>
      <c r="U737" s="14" t="n">
        <v>2026</v>
      </c>
      <c r="V737" s="12" t="s">
        <v>198</v>
      </c>
      <c r="W737" s="14"/>
      <c r="X737" s="15" t="n">
        <f aca="false">IF(OR($S737="%",$R737=""),"",$R737*INDEX(Cambi!$J$2:$J$5,MATCH($S737,Cambi!$I$2:$I$5,0))/IF($T737="EUR",1,INDEX(Cambi!$D:$D,MATCH($T737&amp;"|"&amp;$U737,Cambi!$C:$C,0))))</f>
        <v>21.5581291129089</v>
      </c>
      <c r="Y737" s="12" t="s">
        <v>108</v>
      </c>
      <c r="Z737" s="12" t="s">
        <v>109</v>
      </c>
      <c r="AA737" s="12" t="s">
        <v>109</v>
      </c>
      <c r="AB737" s="16" t="s">
        <v>394</v>
      </c>
      <c r="AC737" s="16" t="s">
        <v>4016</v>
      </c>
      <c r="AD737" s="12" t="s">
        <v>112</v>
      </c>
      <c r="AE737" s="12" t="s">
        <v>4017</v>
      </c>
      <c r="AF737" s="12" t="s">
        <v>4036</v>
      </c>
      <c r="AG737" s="12" t="s">
        <v>115</v>
      </c>
      <c r="AH737" s="12" t="s">
        <v>116</v>
      </c>
      <c r="AI737" s="12" t="s">
        <v>285</v>
      </c>
      <c r="AJ737" s="12" t="s">
        <v>4037</v>
      </c>
      <c r="AK737" s="12" t="s">
        <v>4</v>
      </c>
    </row>
    <row r="738" customFormat="false" ht="15" hidden="false" customHeight="false" outlineLevel="0" collapsed="false">
      <c r="A738" s="11" t="n">
        <v>737</v>
      </c>
      <c r="B738" s="12" t="s">
        <v>4008</v>
      </c>
      <c r="C738" s="12" t="s">
        <v>3908</v>
      </c>
      <c r="D738" s="12" t="s">
        <v>3909</v>
      </c>
      <c r="E738" s="12" t="s">
        <v>759</v>
      </c>
      <c r="F738" s="12" t="s">
        <v>4009</v>
      </c>
      <c r="G738" s="12" t="s">
        <v>1055</v>
      </c>
      <c r="H738" s="12" t="s">
        <v>4010</v>
      </c>
      <c r="I738" s="12" t="s">
        <v>4011</v>
      </c>
      <c r="J738" s="13" t="s">
        <v>4012</v>
      </c>
      <c r="K738" s="12" t="s">
        <v>4013</v>
      </c>
      <c r="L738" s="12" t="s">
        <v>4014</v>
      </c>
      <c r="M738" s="12" t="s">
        <v>4038</v>
      </c>
      <c r="N738" s="12" t="s">
        <v>101</v>
      </c>
      <c r="O738" s="12" t="s">
        <v>102</v>
      </c>
      <c r="P738" s="12" t="s">
        <v>103</v>
      </c>
      <c r="Q738" s="12" t="s">
        <v>104</v>
      </c>
      <c r="R738" s="14" t="n">
        <v>50335</v>
      </c>
      <c r="S738" s="14" t="s">
        <v>392</v>
      </c>
      <c r="T738" s="14" t="s">
        <v>3930</v>
      </c>
      <c r="U738" s="14" t="n">
        <v>2027</v>
      </c>
      <c r="V738" s="12" t="s">
        <v>107</v>
      </c>
      <c r="W738" s="14"/>
      <c r="X738" s="15" t="n">
        <f aca="false">IF(OR($S738="%",$R738=""),"",$R738*INDEX(Cambi!$J$2:$J$5,MATCH($S738,Cambi!$I$2:$I$5,0))/IF($T738="EUR",1,INDEX(Cambi!$D:$D,MATCH($T738&amp;"|"&amp;$U738,Cambi!$C:$C,0))))</f>
        <v>11.8723022855391</v>
      </c>
      <c r="Y738" s="12" t="s">
        <v>108</v>
      </c>
      <c r="Z738" s="12" t="s">
        <v>109</v>
      </c>
      <c r="AA738" s="12" t="s">
        <v>109</v>
      </c>
      <c r="AB738" s="16" t="s">
        <v>394</v>
      </c>
      <c r="AC738" s="16" t="s">
        <v>4016</v>
      </c>
      <c r="AD738" s="12" t="s">
        <v>112</v>
      </c>
      <c r="AE738" s="12" t="s">
        <v>4017</v>
      </c>
      <c r="AF738" s="12" t="s">
        <v>4039</v>
      </c>
      <c r="AG738" s="12" t="s">
        <v>115</v>
      </c>
      <c r="AH738" s="12" t="s">
        <v>116</v>
      </c>
      <c r="AI738" s="12" t="s">
        <v>285</v>
      </c>
      <c r="AJ738" s="12" t="s">
        <v>4019</v>
      </c>
      <c r="AK738" s="12" t="s">
        <v>4</v>
      </c>
    </row>
    <row r="739" customFormat="false" ht="15" hidden="false" customHeight="false" outlineLevel="0" collapsed="false">
      <c r="A739" s="11" t="n">
        <v>738</v>
      </c>
      <c r="B739" s="12" t="s">
        <v>4040</v>
      </c>
      <c r="C739" s="12" t="s">
        <v>3908</v>
      </c>
      <c r="D739" s="12" t="s">
        <v>3909</v>
      </c>
      <c r="E739" s="12" t="s">
        <v>759</v>
      </c>
      <c r="F739" s="12" t="s">
        <v>1984</v>
      </c>
      <c r="G739" s="12" t="s">
        <v>830</v>
      </c>
      <c r="H739" s="12" t="s">
        <v>4041</v>
      </c>
      <c r="I739" s="12" t="s">
        <v>847</v>
      </c>
      <c r="J739" s="13" t="s">
        <v>4042</v>
      </c>
      <c r="K739" s="12"/>
      <c r="L739" s="12" t="s">
        <v>4043</v>
      </c>
      <c r="M739" s="12" t="s">
        <v>4044</v>
      </c>
      <c r="N739" s="12" t="s">
        <v>352</v>
      </c>
      <c r="O739" s="12" t="s">
        <v>102</v>
      </c>
      <c r="P739" s="12" t="s">
        <v>366</v>
      </c>
      <c r="Q739" s="12" t="s">
        <v>4045</v>
      </c>
      <c r="R739" s="14" t="n">
        <v>726.7</v>
      </c>
      <c r="S739" s="14" t="s">
        <v>105</v>
      </c>
      <c r="T739" s="14" t="s">
        <v>653</v>
      </c>
      <c r="U739" s="14" t="n">
        <v>2026</v>
      </c>
      <c r="V739" s="12" t="s">
        <v>198</v>
      </c>
      <c r="W739" s="14" t="s">
        <v>4046</v>
      </c>
      <c r="X739" s="15" t="n">
        <f aca="false">IF(OR($S739="%",$R739=""),"",$R739*INDEX(Cambi!$J$2:$J$5,MATCH($S739,Cambi!$I$2:$I$5,0))/IF($T739="EUR",1,INDEX(Cambi!$D:$D,MATCH($T739&amp;"|"&amp;$U739,Cambi!$C:$C,0))))</f>
        <v>643.097345132744</v>
      </c>
      <c r="Y739" s="12" t="s">
        <v>108</v>
      </c>
      <c r="Z739" s="12" t="s">
        <v>109</v>
      </c>
      <c r="AA739" s="12" t="s">
        <v>109</v>
      </c>
      <c r="AB739" s="16" t="s">
        <v>110</v>
      </c>
      <c r="AC739" s="16" t="s">
        <v>3943</v>
      </c>
      <c r="AD739" s="12" t="s">
        <v>112</v>
      </c>
      <c r="AE739" s="12" t="s">
        <v>1196</v>
      </c>
      <c r="AF739" s="12" t="s">
        <v>4047</v>
      </c>
      <c r="AG739" s="12" t="s">
        <v>284</v>
      </c>
      <c r="AH739" s="12" t="s">
        <v>838</v>
      </c>
      <c r="AI739" s="12" t="s">
        <v>117</v>
      </c>
      <c r="AJ739" s="12" t="s">
        <v>4048</v>
      </c>
      <c r="AK739" s="12" t="s">
        <v>4</v>
      </c>
    </row>
    <row r="740" customFormat="false" ht="15" hidden="false" customHeight="false" outlineLevel="0" collapsed="false">
      <c r="A740" s="11" t="n">
        <v>739</v>
      </c>
      <c r="B740" s="12" t="s">
        <v>4040</v>
      </c>
      <c r="C740" s="12" t="s">
        <v>3908</v>
      </c>
      <c r="D740" s="12" t="s">
        <v>3909</v>
      </c>
      <c r="E740" s="12" t="s">
        <v>759</v>
      </c>
      <c r="F740" s="12" t="s">
        <v>1984</v>
      </c>
      <c r="G740" s="12" t="s">
        <v>830</v>
      </c>
      <c r="H740" s="12" t="s">
        <v>4041</v>
      </c>
      <c r="I740" s="12" t="s">
        <v>847</v>
      </c>
      <c r="J740" s="13" t="s">
        <v>4042</v>
      </c>
      <c r="K740" s="12"/>
      <c r="L740" s="12" t="s">
        <v>4043</v>
      </c>
      <c r="M740" s="12" t="s">
        <v>4049</v>
      </c>
      <c r="N740" s="12" t="s">
        <v>352</v>
      </c>
      <c r="O740" s="12" t="s">
        <v>102</v>
      </c>
      <c r="P740" s="12" t="s">
        <v>366</v>
      </c>
      <c r="Q740" s="12" t="s">
        <v>4045</v>
      </c>
      <c r="R740" s="14" t="n">
        <v>2726.1</v>
      </c>
      <c r="S740" s="14" t="s">
        <v>105</v>
      </c>
      <c r="T740" s="14" t="s">
        <v>653</v>
      </c>
      <c r="U740" s="14" t="n">
        <v>2031</v>
      </c>
      <c r="V740" s="12" t="s">
        <v>107</v>
      </c>
      <c r="W740" s="14" t="s">
        <v>4046</v>
      </c>
      <c r="X740" s="15" t="n">
        <f aca="false">IF(OR($S740="%",$R740=""),"",$R740*INDEX(Cambi!$J$2:$J$5,MATCH($S740,Cambi!$I$2:$I$5,0))/IF($T740="EUR",1,INDEX(Cambi!$D:$D,MATCH($T740&amp;"|"&amp;$U740,Cambi!$C:$C,0))))</f>
        <v>2412.4778761062</v>
      </c>
      <c r="Y740" s="12" t="s">
        <v>108</v>
      </c>
      <c r="Z740" s="12" t="s">
        <v>109</v>
      </c>
      <c r="AA740" s="12" t="s">
        <v>109</v>
      </c>
      <c r="AB740" s="16" t="s">
        <v>110</v>
      </c>
      <c r="AC740" s="16" t="s">
        <v>3943</v>
      </c>
      <c r="AD740" s="12" t="s">
        <v>112</v>
      </c>
      <c r="AE740" s="12" t="s">
        <v>1196</v>
      </c>
      <c r="AF740" s="12" t="s">
        <v>4047</v>
      </c>
      <c r="AG740" s="12" t="s">
        <v>284</v>
      </c>
      <c r="AH740" s="12" t="s">
        <v>838</v>
      </c>
      <c r="AI740" s="12" t="s">
        <v>117</v>
      </c>
      <c r="AJ740" s="12" t="s">
        <v>4048</v>
      </c>
      <c r="AK740" s="12" t="s">
        <v>4</v>
      </c>
    </row>
    <row r="741" customFormat="false" ht="15" hidden="false" customHeight="false" outlineLevel="0" collapsed="false">
      <c r="A741" s="11" t="n">
        <v>740</v>
      </c>
      <c r="B741" s="12" t="s">
        <v>4050</v>
      </c>
      <c r="C741" s="12" t="s">
        <v>3908</v>
      </c>
      <c r="D741" s="12" t="s">
        <v>3909</v>
      </c>
      <c r="E741" s="12" t="s">
        <v>759</v>
      </c>
      <c r="F741" s="12" t="s">
        <v>4051</v>
      </c>
      <c r="G741" s="12" t="s">
        <v>771</v>
      </c>
      <c r="H741" s="12" t="s">
        <v>4052</v>
      </c>
      <c r="I741" s="12" t="s">
        <v>4053</v>
      </c>
      <c r="J741" s="13" t="s">
        <v>4054</v>
      </c>
      <c r="K741" s="12"/>
      <c r="L741" s="12" t="s">
        <v>4055</v>
      </c>
      <c r="M741" s="12" t="s">
        <v>4056</v>
      </c>
      <c r="N741" s="12" t="s">
        <v>101</v>
      </c>
      <c r="O741" s="12" t="s">
        <v>102</v>
      </c>
      <c r="P741" s="12" t="s">
        <v>103</v>
      </c>
      <c r="Q741" s="12" t="s">
        <v>104</v>
      </c>
      <c r="R741" s="14" t="n">
        <v>40</v>
      </c>
      <c r="S741" s="14" t="s">
        <v>105</v>
      </c>
      <c r="T741" s="14" t="s">
        <v>3930</v>
      </c>
      <c r="U741" s="14" t="n">
        <v>2025</v>
      </c>
      <c r="V741" s="12" t="s">
        <v>157</v>
      </c>
      <c r="W741" s="14"/>
      <c r="X741" s="15" t="n">
        <f aca="false">IF(OR($S741="%",$R741=""),"",$R741*INDEX(Cambi!$J$2:$J$5,MATCH($S741,Cambi!$I$2:$I$5,0))/IF($T741="EUR",1,INDEX(Cambi!$D:$D,MATCH($T741&amp;"|"&amp;$U741,Cambi!$C:$C,0))))</f>
        <v>9.43462980871288</v>
      </c>
      <c r="Y741" s="12" t="s">
        <v>130</v>
      </c>
      <c r="Z741" s="12" t="s">
        <v>117</v>
      </c>
      <c r="AA741" s="12" t="s">
        <v>109</v>
      </c>
      <c r="AB741" s="16" t="s">
        <v>394</v>
      </c>
      <c r="AC741" s="16" t="s">
        <v>4057</v>
      </c>
      <c r="AD741" s="12" t="s">
        <v>166</v>
      </c>
      <c r="AE741" s="12" t="s">
        <v>4058</v>
      </c>
      <c r="AF741" s="12" t="s">
        <v>4059</v>
      </c>
      <c r="AG741" s="12" t="s">
        <v>115</v>
      </c>
      <c r="AH741" s="12" t="s">
        <v>116</v>
      </c>
      <c r="AI741" s="12" t="s">
        <v>117</v>
      </c>
      <c r="AJ741" s="12" t="s">
        <v>4060</v>
      </c>
      <c r="AK741" s="12" t="s">
        <v>4</v>
      </c>
    </row>
    <row r="742" customFormat="false" ht="15" hidden="false" customHeight="false" outlineLevel="0" collapsed="false">
      <c r="A742" s="11" t="n">
        <v>741</v>
      </c>
      <c r="B742" s="12" t="s">
        <v>4050</v>
      </c>
      <c r="C742" s="12" t="s">
        <v>3908</v>
      </c>
      <c r="D742" s="12" t="s">
        <v>3909</v>
      </c>
      <c r="E742" s="12" t="s">
        <v>759</v>
      </c>
      <c r="F742" s="12" t="s">
        <v>4051</v>
      </c>
      <c r="G742" s="12" t="s">
        <v>771</v>
      </c>
      <c r="H742" s="12" t="s">
        <v>4052</v>
      </c>
      <c r="I742" s="12" t="s">
        <v>4053</v>
      </c>
      <c r="J742" s="13" t="s">
        <v>4054</v>
      </c>
      <c r="K742" s="12"/>
      <c r="L742" s="12" t="s">
        <v>4061</v>
      </c>
      <c r="M742" s="12" t="s">
        <v>4062</v>
      </c>
      <c r="N742" s="12" t="s">
        <v>101</v>
      </c>
      <c r="O742" s="12" t="s">
        <v>102</v>
      </c>
      <c r="P742" s="12" t="s">
        <v>103</v>
      </c>
      <c r="Q742" s="12" t="s">
        <v>104</v>
      </c>
      <c r="R742" s="14" t="n">
        <v>310</v>
      </c>
      <c r="S742" s="14" t="s">
        <v>105</v>
      </c>
      <c r="T742" s="14" t="s">
        <v>3930</v>
      </c>
      <c r="U742" s="14" t="n">
        <v>2025</v>
      </c>
      <c r="V742" s="12" t="s">
        <v>157</v>
      </c>
      <c r="W742" s="14"/>
      <c r="X742" s="15" t="n">
        <f aca="false">IF(OR($S742="%",$R742=""),"",$R742*INDEX(Cambi!$J$2:$J$5,MATCH($S742,Cambi!$I$2:$I$5,0))/IF($T742="EUR",1,INDEX(Cambi!$D:$D,MATCH($T742&amp;"|"&amp;$U742,Cambi!$C:$C,0))))</f>
        <v>73.1183810175248</v>
      </c>
      <c r="Y742" s="12" t="s">
        <v>130</v>
      </c>
      <c r="Z742" s="12" t="s">
        <v>109</v>
      </c>
      <c r="AA742" s="12" t="s">
        <v>109</v>
      </c>
      <c r="AB742" s="16" t="s">
        <v>394</v>
      </c>
      <c r="AC742" s="16" t="s">
        <v>4057</v>
      </c>
      <c r="AD742" s="12" t="s">
        <v>166</v>
      </c>
      <c r="AE742" s="12" t="s">
        <v>4058</v>
      </c>
      <c r="AF742" s="12" t="s">
        <v>4063</v>
      </c>
      <c r="AG742" s="12" t="s">
        <v>115</v>
      </c>
      <c r="AH742" s="12" t="s">
        <v>116</v>
      </c>
      <c r="AI742" s="12" t="s">
        <v>117</v>
      </c>
      <c r="AJ742" s="12" t="s">
        <v>4064</v>
      </c>
      <c r="AK742" s="12" t="s">
        <v>4</v>
      </c>
    </row>
    <row r="743" customFormat="false" ht="15" hidden="false" customHeight="false" outlineLevel="0" collapsed="false">
      <c r="A743" s="11" t="n">
        <v>742</v>
      </c>
      <c r="B743" s="12" t="s">
        <v>4050</v>
      </c>
      <c r="C743" s="12" t="s">
        <v>3908</v>
      </c>
      <c r="D743" s="12" t="s">
        <v>3909</v>
      </c>
      <c r="E743" s="12" t="s">
        <v>759</v>
      </c>
      <c r="F743" s="12" t="s">
        <v>4051</v>
      </c>
      <c r="G743" s="12" t="s">
        <v>771</v>
      </c>
      <c r="H743" s="12" t="s">
        <v>4052</v>
      </c>
      <c r="I743" s="12" t="s">
        <v>4053</v>
      </c>
      <c r="J743" s="13" t="s">
        <v>4054</v>
      </c>
      <c r="K743" s="12"/>
      <c r="L743" s="12" t="s">
        <v>4065</v>
      </c>
      <c r="M743" s="12" t="s">
        <v>4066</v>
      </c>
      <c r="N743" s="12" t="s">
        <v>101</v>
      </c>
      <c r="O743" s="12" t="s">
        <v>102</v>
      </c>
      <c r="P743" s="12" t="s">
        <v>103</v>
      </c>
      <c r="Q743" s="12" t="s">
        <v>104</v>
      </c>
      <c r="R743" s="14" t="n">
        <v>90</v>
      </c>
      <c r="S743" s="14" t="s">
        <v>105</v>
      </c>
      <c r="T743" s="14" t="s">
        <v>3930</v>
      </c>
      <c r="U743" s="14" t="n">
        <v>2025</v>
      </c>
      <c r="V743" s="12" t="s">
        <v>157</v>
      </c>
      <c r="W743" s="14"/>
      <c r="X743" s="15" t="n">
        <f aca="false">IF(OR($S743="%",$R743=""),"",$R743*INDEX(Cambi!$J$2:$J$5,MATCH($S743,Cambi!$I$2:$I$5,0))/IF($T743="EUR",1,INDEX(Cambi!$D:$D,MATCH($T743&amp;"|"&amp;$U743,Cambi!$C:$C,0))))</f>
        <v>21.227917069604</v>
      </c>
      <c r="Y743" s="12" t="s">
        <v>130</v>
      </c>
      <c r="Z743" s="12" t="s">
        <v>109</v>
      </c>
      <c r="AA743" s="12" t="s">
        <v>109</v>
      </c>
      <c r="AB743" s="16" t="s">
        <v>394</v>
      </c>
      <c r="AC743" s="16" t="s">
        <v>4057</v>
      </c>
      <c r="AD743" s="12" t="s">
        <v>166</v>
      </c>
      <c r="AE743" s="12" t="s">
        <v>4058</v>
      </c>
      <c r="AF743" s="12" t="s">
        <v>4067</v>
      </c>
      <c r="AG743" s="12" t="s">
        <v>115</v>
      </c>
      <c r="AH743" s="12" t="s">
        <v>116</v>
      </c>
      <c r="AI743" s="12" t="s">
        <v>117</v>
      </c>
      <c r="AJ743" s="12" t="s">
        <v>4060</v>
      </c>
      <c r="AK743" s="12" t="s">
        <v>4</v>
      </c>
    </row>
    <row r="744" customFormat="false" ht="15" hidden="false" customHeight="false" outlineLevel="0" collapsed="false">
      <c r="A744" s="11" t="n">
        <v>743</v>
      </c>
      <c r="B744" s="12" t="s">
        <v>4050</v>
      </c>
      <c r="C744" s="12" t="s">
        <v>3908</v>
      </c>
      <c r="D744" s="12" t="s">
        <v>3909</v>
      </c>
      <c r="E744" s="12" t="s">
        <v>759</v>
      </c>
      <c r="F744" s="12" t="s">
        <v>4051</v>
      </c>
      <c r="G744" s="12" t="s">
        <v>771</v>
      </c>
      <c r="H744" s="12" t="s">
        <v>4052</v>
      </c>
      <c r="I744" s="12" t="s">
        <v>4053</v>
      </c>
      <c r="J744" s="13" t="s">
        <v>4054</v>
      </c>
      <c r="K744" s="12"/>
      <c r="L744" s="12" t="s">
        <v>4068</v>
      </c>
      <c r="M744" s="12" t="s">
        <v>4069</v>
      </c>
      <c r="N744" s="12" t="s">
        <v>101</v>
      </c>
      <c r="O744" s="12" t="s">
        <v>102</v>
      </c>
      <c r="P744" s="12" t="s">
        <v>103</v>
      </c>
      <c r="Q744" s="12" t="s">
        <v>104</v>
      </c>
      <c r="R744" s="14" t="n">
        <v>860</v>
      </c>
      <c r="S744" s="14" t="s">
        <v>105</v>
      </c>
      <c r="T744" s="14" t="s">
        <v>3930</v>
      </c>
      <c r="U744" s="14" t="n">
        <v>2025</v>
      </c>
      <c r="V744" s="12" t="s">
        <v>157</v>
      </c>
      <c r="W744" s="14"/>
      <c r="X744" s="15" t="n">
        <f aca="false">IF(OR($S744="%",$R744=""),"",$R744*INDEX(Cambi!$J$2:$J$5,MATCH($S744,Cambi!$I$2:$I$5,0))/IF($T744="EUR",1,INDEX(Cambi!$D:$D,MATCH($T744&amp;"|"&amp;$U744,Cambi!$C:$C,0))))</f>
        <v>202.844540887327</v>
      </c>
      <c r="Y744" s="12" t="s">
        <v>130</v>
      </c>
      <c r="Z744" s="12" t="s">
        <v>109</v>
      </c>
      <c r="AA744" s="12" t="s">
        <v>109</v>
      </c>
      <c r="AB744" s="16" t="s">
        <v>394</v>
      </c>
      <c r="AC744" s="16" t="s">
        <v>4057</v>
      </c>
      <c r="AD744" s="12" t="s">
        <v>166</v>
      </c>
      <c r="AE744" s="12" t="s">
        <v>4058</v>
      </c>
      <c r="AF744" s="12" t="s">
        <v>4070</v>
      </c>
      <c r="AG744" s="12" t="s">
        <v>115</v>
      </c>
      <c r="AH744" s="12" t="s">
        <v>116</v>
      </c>
      <c r="AI744" s="12" t="s">
        <v>117</v>
      </c>
      <c r="AJ744" s="12" t="s">
        <v>4071</v>
      </c>
      <c r="AK744" s="12" t="s">
        <v>4</v>
      </c>
    </row>
    <row r="745" customFormat="false" ht="15" hidden="false" customHeight="false" outlineLevel="0" collapsed="false">
      <c r="A745" s="11" t="n">
        <v>744</v>
      </c>
      <c r="B745" s="12" t="s">
        <v>4050</v>
      </c>
      <c r="C745" s="12" t="s">
        <v>3908</v>
      </c>
      <c r="D745" s="12" t="s">
        <v>3909</v>
      </c>
      <c r="E745" s="12" t="s">
        <v>759</v>
      </c>
      <c r="F745" s="12" t="s">
        <v>4051</v>
      </c>
      <c r="G745" s="12" t="s">
        <v>771</v>
      </c>
      <c r="H745" s="12" t="s">
        <v>4052</v>
      </c>
      <c r="I745" s="12" t="s">
        <v>4053</v>
      </c>
      <c r="J745" s="13" t="s">
        <v>4054</v>
      </c>
      <c r="K745" s="12"/>
      <c r="L745" s="12" t="s">
        <v>4072</v>
      </c>
      <c r="M745" s="12" t="s">
        <v>4073</v>
      </c>
      <c r="N745" s="12" t="s">
        <v>101</v>
      </c>
      <c r="O745" s="12" t="s">
        <v>102</v>
      </c>
      <c r="P745" s="12" t="s">
        <v>103</v>
      </c>
      <c r="Q745" s="12" t="s">
        <v>104</v>
      </c>
      <c r="R745" s="14" t="n">
        <v>3.1</v>
      </c>
      <c r="S745" s="14" t="s">
        <v>129</v>
      </c>
      <c r="T745" s="14" t="s">
        <v>3930</v>
      </c>
      <c r="U745" s="14" t="n">
        <v>2025</v>
      </c>
      <c r="V745" s="12" t="s">
        <v>157</v>
      </c>
      <c r="W745" s="14"/>
      <c r="X745" s="15" t="n">
        <f aca="false">IF(OR($S745="%",$R745=""),"",$R745*INDEX(Cambi!$J$2:$J$5,MATCH($S745,Cambi!$I$2:$I$5,0))/IF($T745="EUR",1,INDEX(Cambi!$D:$D,MATCH($T745&amp;"|"&amp;$U745,Cambi!$C:$C,0))))</f>
        <v>731.183810175248</v>
      </c>
      <c r="Y745" s="12" t="s">
        <v>130</v>
      </c>
      <c r="Z745" s="12" t="s">
        <v>117</v>
      </c>
      <c r="AA745" s="12" t="s">
        <v>109</v>
      </c>
      <c r="AB745" s="16" t="s">
        <v>394</v>
      </c>
      <c r="AC745" s="16" t="s">
        <v>4057</v>
      </c>
      <c r="AD745" s="12" t="s">
        <v>166</v>
      </c>
      <c r="AE745" s="12" t="s">
        <v>4058</v>
      </c>
      <c r="AF745" s="12" t="s">
        <v>4074</v>
      </c>
      <c r="AG745" s="12" t="s">
        <v>115</v>
      </c>
      <c r="AH745" s="12" t="s">
        <v>116</v>
      </c>
      <c r="AI745" s="12" t="s">
        <v>117</v>
      </c>
      <c r="AJ745" s="12" t="s">
        <v>4075</v>
      </c>
      <c r="AK745" s="12" t="s">
        <v>4</v>
      </c>
    </row>
    <row r="746" customFormat="false" ht="15" hidden="false" customHeight="false" outlineLevel="0" collapsed="false">
      <c r="A746" s="11" t="n">
        <v>745</v>
      </c>
      <c r="B746" s="12" t="s">
        <v>4050</v>
      </c>
      <c r="C746" s="12" t="s">
        <v>3908</v>
      </c>
      <c r="D746" s="12" t="s">
        <v>3909</v>
      </c>
      <c r="E746" s="12" t="s">
        <v>759</v>
      </c>
      <c r="F746" s="12" t="s">
        <v>4051</v>
      </c>
      <c r="G746" s="12" t="s">
        <v>771</v>
      </c>
      <c r="H746" s="12" t="s">
        <v>4052</v>
      </c>
      <c r="I746" s="12" t="s">
        <v>4053</v>
      </c>
      <c r="J746" s="13" t="s">
        <v>4054</v>
      </c>
      <c r="K746" s="12"/>
      <c r="L746" s="12" t="s">
        <v>4076</v>
      </c>
      <c r="M746" s="12" t="s">
        <v>4077</v>
      </c>
      <c r="N746" s="12" t="s">
        <v>101</v>
      </c>
      <c r="O746" s="12" t="s">
        <v>102</v>
      </c>
      <c r="P746" s="12" t="s">
        <v>103</v>
      </c>
      <c r="Q746" s="12" t="s">
        <v>104</v>
      </c>
      <c r="R746" s="14" t="n">
        <v>271</v>
      </c>
      <c r="S746" s="14" t="s">
        <v>105</v>
      </c>
      <c r="T746" s="14" t="s">
        <v>3930</v>
      </c>
      <c r="U746" s="14" t="n">
        <v>2025</v>
      </c>
      <c r="V746" s="12" t="s">
        <v>157</v>
      </c>
      <c r="W746" s="14"/>
      <c r="X746" s="15" t="n">
        <f aca="false">IF(OR($S746="%",$R746=""),"",$R746*INDEX(Cambi!$J$2:$J$5,MATCH($S746,Cambi!$I$2:$I$5,0))/IF($T746="EUR",1,INDEX(Cambi!$D:$D,MATCH($T746&amp;"|"&amp;$U746,Cambi!$C:$C,0))))</f>
        <v>63.9196169540298</v>
      </c>
      <c r="Y746" s="12" t="s">
        <v>130</v>
      </c>
      <c r="Z746" s="12" t="s">
        <v>109</v>
      </c>
      <c r="AA746" s="12" t="s">
        <v>109</v>
      </c>
      <c r="AB746" s="16" t="s">
        <v>394</v>
      </c>
      <c r="AC746" s="16" t="s">
        <v>4057</v>
      </c>
      <c r="AD746" s="12" t="s">
        <v>166</v>
      </c>
      <c r="AE746" s="12" t="s">
        <v>4058</v>
      </c>
      <c r="AF746" s="12" t="s">
        <v>4078</v>
      </c>
      <c r="AG746" s="12" t="s">
        <v>115</v>
      </c>
      <c r="AH746" s="12" t="s">
        <v>116</v>
      </c>
      <c r="AI746" s="12" t="s">
        <v>117</v>
      </c>
      <c r="AJ746" s="12" t="s">
        <v>4071</v>
      </c>
      <c r="AK746" s="12" t="s">
        <v>4</v>
      </c>
    </row>
    <row r="747" customFormat="false" ht="15" hidden="false" customHeight="false" outlineLevel="0" collapsed="false">
      <c r="A747" s="11" t="n">
        <v>746</v>
      </c>
      <c r="B747" s="12" t="s">
        <v>4050</v>
      </c>
      <c r="C747" s="12" t="s">
        <v>3908</v>
      </c>
      <c r="D747" s="12" t="s">
        <v>3909</v>
      </c>
      <c r="E747" s="12" t="s">
        <v>759</v>
      </c>
      <c r="F747" s="12" t="s">
        <v>4051</v>
      </c>
      <c r="G747" s="12" t="s">
        <v>771</v>
      </c>
      <c r="H747" s="12" t="s">
        <v>4052</v>
      </c>
      <c r="I747" s="12" t="s">
        <v>4053</v>
      </c>
      <c r="J747" s="13" t="s">
        <v>4054</v>
      </c>
      <c r="K747" s="12"/>
      <c r="L747" s="12" t="s">
        <v>4079</v>
      </c>
      <c r="M747" s="12" t="s">
        <v>4080</v>
      </c>
      <c r="N747" s="12" t="s">
        <v>101</v>
      </c>
      <c r="O747" s="12" t="s">
        <v>102</v>
      </c>
      <c r="P747" s="12" t="s">
        <v>103</v>
      </c>
      <c r="Q747" s="12" t="s">
        <v>104</v>
      </c>
      <c r="R747" s="14" t="n">
        <v>1.8</v>
      </c>
      <c r="S747" s="14" t="s">
        <v>129</v>
      </c>
      <c r="T747" s="14" t="s">
        <v>3930</v>
      </c>
      <c r="U747" s="14" t="n">
        <v>2025</v>
      </c>
      <c r="V747" s="12" t="s">
        <v>157</v>
      </c>
      <c r="W747" s="14"/>
      <c r="X747" s="15" t="n">
        <f aca="false">IF(OR($S747="%",$R747=""),"",$R747*INDEX(Cambi!$J$2:$J$5,MATCH($S747,Cambi!$I$2:$I$5,0))/IF($T747="EUR",1,INDEX(Cambi!$D:$D,MATCH($T747&amp;"|"&amp;$U747,Cambi!$C:$C,0))))</f>
        <v>424.55834139208</v>
      </c>
      <c r="Y747" s="12" t="s">
        <v>130</v>
      </c>
      <c r="Z747" s="12" t="s">
        <v>109</v>
      </c>
      <c r="AA747" s="12" t="s">
        <v>109</v>
      </c>
      <c r="AB747" s="16" t="s">
        <v>394</v>
      </c>
      <c r="AC747" s="16" t="s">
        <v>4057</v>
      </c>
      <c r="AD747" s="12" t="s">
        <v>166</v>
      </c>
      <c r="AE747" s="12" t="s">
        <v>4058</v>
      </c>
      <c r="AF747" s="12" t="s">
        <v>4081</v>
      </c>
      <c r="AG747" s="12" t="s">
        <v>115</v>
      </c>
      <c r="AH747" s="12" t="s">
        <v>116</v>
      </c>
      <c r="AI747" s="12" t="s">
        <v>117</v>
      </c>
      <c r="AJ747" s="12" t="s">
        <v>4082</v>
      </c>
      <c r="AK747" s="12" t="s">
        <v>4</v>
      </c>
    </row>
    <row r="748" customFormat="false" ht="15" hidden="false" customHeight="false" outlineLevel="0" collapsed="false">
      <c r="A748" s="11" t="n">
        <v>747</v>
      </c>
      <c r="B748" s="12" t="s">
        <v>4050</v>
      </c>
      <c r="C748" s="12" t="s">
        <v>3908</v>
      </c>
      <c r="D748" s="12" t="s">
        <v>3909</v>
      </c>
      <c r="E748" s="12" t="s">
        <v>759</v>
      </c>
      <c r="F748" s="12" t="s">
        <v>4051</v>
      </c>
      <c r="G748" s="12" t="s">
        <v>771</v>
      </c>
      <c r="H748" s="12" t="s">
        <v>4052</v>
      </c>
      <c r="I748" s="12" t="s">
        <v>4053</v>
      </c>
      <c r="J748" s="13" t="s">
        <v>4054</v>
      </c>
      <c r="K748" s="12"/>
      <c r="L748" s="12" t="s">
        <v>4083</v>
      </c>
      <c r="M748" s="12" t="s">
        <v>4084</v>
      </c>
      <c r="N748" s="12" t="s">
        <v>101</v>
      </c>
      <c r="O748" s="12" t="s">
        <v>102</v>
      </c>
      <c r="P748" s="12" t="s">
        <v>103</v>
      </c>
      <c r="Q748" s="12" t="s">
        <v>104</v>
      </c>
      <c r="R748" s="14" t="n">
        <v>1474</v>
      </c>
      <c r="S748" s="14" t="s">
        <v>105</v>
      </c>
      <c r="T748" s="14" t="s">
        <v>3930</v>
      </c>
      <c r="U748" s="14" t="n">
        <v>2025</v>
      </c>
      <c r="V748" s="12" t="s">
        <v>157</v>
      </c>
      <c r="W748" s="14"/>
      <c r="X748" s="15" t="n">
        <f aca="false">IF(OR($S748="%",$R748=""),"",$R748*INDEX(Cambi!$J$2:$J$5,MATCH($S748,Cambi!$I$2:$I$5,0))/IF($T748="EUR",1,INDEX(Cambi!$D:$D,MATCH($T748&amp;"|"&amp;$U748,Cambi!$C:$C,0))))</f>
        <v>347.66610845107</v>
      </c>
      <c r="Y748" s="12" t="s">
        <v>130</v>
      </c>
      <c r="Z748" s="12" t="s">
        <v>109</v>
      </c>
      <c r="AA748" s="12" t="s">
        <v>109</v>
      </c>
      <c r="AB748" s="16" t="s">
        <v>394</v>
      </c>
      <c r="AC748" s="16" t="s">
        <v>4057</v>
      </c>
      <c r="AD748" s="12" t="s">
        <v>166</v>
      </c>
      <c r="AE748" s="12" t="s">
        <v>4058</v>
      </c>
      <c r="AF748" s="12" t="s">
        <v>4085</v>
      </c>
      <c r="AG748" s="12" t="s">
        <v>115</v>
      </c>
      <c r="AH748" s="12" t="s">
        <v>116</v>
      </c>
      <c r="AI748" s="12" t="s">
        <v>117</v>
      </c>
      <c r="AJ748" s="12" t="s">
        <v>4064</v>
      </c>
      <c r="AK748" s="12" t="s">
        <v>4</v>
      </c>
    </row>
    <row r="749" customFormat="false" ht="15" hidden="false" customHeight="false" outlineLevel="0" collapsed="false">
      <c r="A749" s="11" t="n">
        <v>748</v>
      </c>
      <c r="B749" s="12" t="s">
        <v>4050</v>
      </c>
      <c r="C749" s="12" t="s">
        <v>3908</v>
      </c>
      <c r="D749" s="12" t="s">
        <v>3909</v>
      </c>
      <c r="E749" s="12" t="s">
        <v>759</v>
      </c>
      <c r="F749" s="12" t="s">
        <v>4051</v>
      </c>
      <c r="G749" s="12" t="s">
        <v>771</v>
      </c>
      <c r="H749" s="12" t="s">
        <v>4052</v>
      </c>
      <c r="I749" s="12" t="s">
        <v>4053</v>
      </c>
      <c r="J749" s="13" t="s">
        <v>4054</v>
      </c>
      <c r="K749" s="12"/>
      <c r="L749" s="12" t="s">
        <v>4086</v>
      </c>
      <c r="M749" s="12" t="s">
        <v>4087</v>
      </c>
      <c r="N749" s="12" t="s">
        <v>101</v>
      </c>
      <c r="O749" s="12" t="s">
        <v>102</v>
      </c>
      <c r="P749" s="12" t="s">
        <v>103</v>
      </c>
      <c r="Q749" s="12" t="s">
        <v>104</v>
      </c>
      <c r="R749" s="14" t="n">
        <v>355</v>
      </c>
      <c r="S749" s="14" t="s">
        <v>105</v>
      </c>
      <c r="T749" s="14" t="s">
        <v>3930</v>
      </c>
      <c r="U749" s="14" t="n">
        <v>2025</v>
      </c>
      <c r="V749" s="12" t="s">
        <v>157</v>
      </c>
      <c r="W749" s="14"/>
      <c r="X749" s="15" t="n">
        <f aca="false">IF(OR($S749="%",$R749=""),"",$R749*INDEX(Cambi!$J$2:$J$5,MATCH($S749,Cambi!$I$2:$I$5,0))/IF($T749="EUR",1,INDEX(Cambi!$D:$D,MATCH($T749&amp;"|"&amp;$U749,Cambi!$C:$C,0))))</f>
        <v>83.7323395523268</v>
      </c>
      <c r="Y749" s="12" t="s">
        <v>130</v>
      </c>
      <c r="Z749" s="12" t="s">
        <v>117</v>
      </c>
      <c r="AA749" s="12" t="s">
        <v>109</v>
      </c>
      <c r="AB749" s="16" t="s">
        <v>394</v>
      </c>
      <c r="AC749" s="16" t="s">
        <v>4057</v>
      </c>
      <c r="AD749" s="12" t="s">
        <v>166</v>
      </c>
      <c r="AE749" s="12" t="s">
        <v>4058</v>
      </c>
      <c r="AF749" s="12" t="s">
        <v>4088</v>
      </c>
      <c r="AG749" s="12" t="s">
        <v>115</v>
      </c>
      <c r="AH749" s="12" t="s">
        <v>116</v>
      </c>
      <c r="AI749" s="12" t="s">
        <v>117</v>
      </c>
      <c r="AJ749" s="12" t="s">
        <v>4060</v>
      </c>
      <c r="AK749" s="12" t="s">
        <v>4</v>
      </c>
    </row>
    <row r="750" customFormat="false" ht="15" hidden="false" customHeight="false" outlineLevel="0" collapsed="false">
      <c r="A750" s="11" t="n">
        <v>749</v>
      </c>
      <c r="B750" s="12" t="s">
        <v>4050</v>
      </c>
      <c r="C750" s="12" t="s">
        <v>3908</v>
      </c>
      <c r="D750" s="12" t="s">
        <v>3909</v>
      </c>
      <c r="E750" s="12" t="s">
        <v>759</v>
      </c>
      <c r="F750" s="12" t="s">
        <v>4051</v>
      </c>
      <c r="G750" s="12" t="s">
        <v>771</v>
      </c>
      <c r="H750" s="12" t="s">
        <v>4052</v>
      </c>
      <c r="I750" s="12" t="s">
        <v>4053</v>
      </c>
      <c r="J750" s="13" t="s">
        <v>4054</v>
      </c>
      <c r="K750" s="12"/>
      <c r="L750" s="12" t="s">
        <v>4089</v>
      </c>
      <c r="M750" s="12" t="s">
        <v>4090</v>
      </c>
      <c r="N750" s="12" t="s">
        <v>101</v>
      </c>
      <c r="O750" s="12" t="s">
        <v>102</v>
      </c>
      <c r="P750" s="12" t="s">
        <v>103</v>
      </c>
      <c r="Q750" s="12" t="s">
        <v>104</v>
      </c>
      <c r="R750" s="14" t="n">
        <v>300</v>
      </c>
      <c r="S750" s="14" t="s">
        <v>105</v>
      </c>
      <c r="T750" s="14" t="s">
        <v>3930</v>
      </c>
      <c r="U750" s="14" t="n">
        <v>2025</v>
      </c>
      <c r="V750" s="12" t="s">
        <v>157</v>
      </c>
      <c r="W750" s="14"/>
      <c r="X750" s="15" t="n">
        <f aca="false">IF(OR($S750="%",$R750=""),"",$R750*INDEX(Cambi!$J$2:$J$5,MATCH($S750,Cambi!$I$2:$I$5,0))/IF($T750="EUR",1,INDEX(Cambi!$D:$D,MATCH($T750&amp;"|"&amp;$U750,Cambi!$C:$C,0))))</f>
        <v>70.7597235653466</v>
      </c>
      <c r="Y750" s="12" t="s">
        <v>130</v>
      </c>
      <c r="Z750" s="12" t="s">
        <v>109</v>
      </c>
      <c r="AA750" s="12" t="s">
        <v>109</v>
      </c>
      <c r="AB750" s="16" t="s">
        <v>394</v>
      </c>
      <c r="AC750" s="16" t="s">
        <v>4057</v>
      </c>
      <c r="AD750" s="12" t="s">
        <v>166</v>
      </c>
      <c r="AE750" s="12" t="s">
        <v>4058</v>
      </c>
      <c r="AF750" s="12" t="s">
        <v>4091</v>
      </c>
      <c r="AG750" s="12" t="s">
        <v>115</v>
      </c>
      <c r="AH750" s="12" t="s">
        <v>116</v>
      </c>
      <c r="AI750" s="12" t="s">
        <v>117</v>
      </c>
      <c r="AJ750" s="12" t="s">
        <v>4092</v>
      </c>
      <c r="AK750" s="12" t="s">
        <v>4</v>
      </c>
    </row>
    <row r="751" customFormat="false" ht="15" hidden="false" customHeight="false" outlineLevel="0" collapsed="false">
      <c r="A751" s="11" t="n">
        <v>750</v>
      </c>
      <c r="B751" s="12" t="s">
        <v>4093</v>
      </c>
      <c r="C751" s="12" t="s">
        <v>3908</v>
      </c>
      <c r="D751" s="12" t="s">
        <v>3909</v>
      </c>
      <c r="E751" s="12" t="s">
        <v>759</v>
      </c>
      <c r="F751" s="12" t="s">
        <v>4051</v>
      </c>
      <c r="G751" s="12" t="s">
        <v>771</v>
      </c>
      <c r="H751" s="12" t="s">
        <v>4094</v>
      </c>
      <c r="I751" s="12" t="s">
        <v>4095</v>
      </c>
      <c r="J751" s="13" t="s">
        <v>4096</v>
      </c>
      <c r="K751" s="12"/>
      <c r="L751" s="12" t="s">
        <v>4097</v>
      </c>
      <c r="M751" s="12" t="s">
        <v>4098</v>
      </c>
      <c r="N751" s="12" t="s">
        <v>101</v>
      </c>
      <c r="O751" s="12" t="s">
        <v>102</v>
      </c>
      <c r="P751" s="12" t="s">
        <v>103</v>
      </c>
      <c r="Q751" s="12" t="s">
        <v>104</v>
      </c>
      <c r="R751" s="14" t="n">
        <v>1.5</v>
      </c>
      <c r="S751" s="14" t="s">
        <v>129</v>
      </c>
      <c r="T751" s="14" t="s">
        <v>3930</v>
      </c>
      <c r="U751" s="14" t="n">
        <v>2024</v>
      </c>
      <c r="V751" s="12" t="s">
        <v>157</v>
      </c>
      <c r="W751" s="14"/>
      <c r="X751" s="15" t="n">
        <f aca="false">IF(OR($S751="%",$R751=""),"",$R751*INDEX(Cambi!$J$2:$J$5,MATCH($S751,Cambi!$I$2:$I$5,0))/IF($T751="EUR",1,INDEX(Cambi!$D:$D,MATCH($T751&amp;"|"&amp;$U751,Cambi!$C:$C,0))))</f>
        <v>348.367318500627</v>
      </c>
      <c r="Y751" s="12" t="s">
        <v>108</v>
      </c>
      <c r="Z751" s="12" t="s">
        <v>285</v>
      </c>
      <c r="AA751" s="12" t="s">
        <v>4099</v>
      </c>
      <c r="AB751" s="16" t="s">
        <v>394</v>
      </c>
      <c r="AC751" s="16" t="s">
        <v>4100</v>
      </c>
      <c r="AD751" s="12" t="s">
        <v>166</v>
      </c>
      <c r="AE751" s="12" t="s">
        <v>4101</v>
      </c>
      <c r="AF751" s="12" t="s">
        <v>4102</v>
      </c>
      <c r="AG751" s="12" t="s">
        <v>407</v>
      </c>
      <c r="AH751" s="12" t="s">
        <v>116</v>
      </c>
      <c r="AI751" s="12" t="s">
        <v>117</v>
      </c>
      <c r="AJ751" s="12" t="s">
        <v>4103</v>
      </c>
      <c r="AK751" s="12" t="s">
        <v>4</v>
      </c>
    </row>
    <row r="752" customFormat="false" ht="15" hidden="false" customHeight="false" outlineLevel="0" collapsed="false">
      <c r="A752" s="11" t="n">
        <v>751</v>
      </c>
      <c r="B752" s="12" t="s">
        <v>4093</v>
      </c>
      <c r="C752" s="12" t="s">
        <v>3908</v>
      </c>
      <c r="D752" s="12" t="s">
        <v>3909</v>
      </c>
      <c r="E752" s="12" t="s">
        <v>759</v>
      </c>
      <c r="F752" s="12" t="s">
        <v>4051</v>
      </c>
      <c r="G752" s="12" t="s">
        <v>771</v>
      </c>
      <c r="H752" s="12" t="s">
        <v>4094</v>
      </c>
      <c r="I752" s="12" t="s">
        <v>4095</v>
      </c>
      <c r="J752" s="13" t="s">
        <v>4096</v>
      </c>
      <c r="K752" s="12"/>
      <c r="L752" s="12" t="s">
        <v>4104</v>
      </c>
      <c r="M752" s="12" t="s">
        <v>4105</v>
      </c>
      <c r="N752" s="12" t="s">
        <v>101</v>
      </c>
      <c r="O752" s="12" t="s">
        <v>102</v>
      </c>
      <c r="P752" s="12" t="s">
        <v>155</v>
      </c>
      <c r="Q752" s="12" t="s">
        <v>4106</v>
      </c>
      <c r="R752" s="14" t="n">
        <v>105</v>
      </c>
      <c r="S752" s="14" t="s">
        <v>105</v>
      </c>
      <c r="T752" s="14" t="s">
        <v>3930</v>
      </c>
      <c r="U752" s="14" t="n">
        <v>2024</v>
      </c>
      <c r="V752" s="12" t="s">
        <v>157</v>
      </c>
      <c r="W752" s="14"/>
      <c r="X752" s="15" t="n">
        <f aca="false">IF(OR($S752="%",$R752=""),"",$R752*INDEX(Cambi!$J$2:$J$5,MATCH($S752,Cambi!$I$2:$I$5,0))/IF($T752="EUR",1,INDEX(Cambi!$D:$D,MATCH($T752&amp;"|"&amp;$U752,Cambi!$C:$C,0))))</f>
        <v>24.3857122950439</v>
      </c>
      <c r="Y752" s="12" t="s">
        <v>108</v>
      </c>
      <c r="Z752" s="12" t="s">
        <v>285</v>
      </c>
      <c r="AA752" s="12" t="s">
        <v>109</v>
      </c>
      <c r="AB752" s="16" t="s">
        <v>394</v>
      </c>
      <c r="AC752" s="16" t="s">
        <v>4100</v>
      </c>
      <c r="AD752" s="12" t="s">
        <v>166</v>
      </c>
      <c r="AE752" s="12" t="s">
        <v>4101</v>
      </c>
      <c r="AF752" s="12" t="s">
        <v>4107</v>
      </c>
      <c r="AG752" s="12" t="s">
        <v>407</v>
      </c>
      <c r="AH752" s="12" t="s">
        <v>116</v>
      </c>
      <c r="AI752" s="12" t="s">
        <v>117</v>
      </c>
      <c r="AJ752" s="12" t="s">
        <v>4108</v>
      </c>
      <c r="AK752" s="12" t="s">
        <v>4</v>
      </c>
    </row>
    <row r="753" customFormat="false" ht="15" hidden="false" customHeight="false" outlineLevel="0" collapsed="false">
      <c r="A753" s="11" t="n">
        <v>752</v>
      </c>
      <c r="B753" s="12" t="s">
        <v>4093</v>
      </c>
      <c r="C753" s="12" t="s">
        <v>3908</v>
      </c>
      <c r="D753" s="12" t="s">
        <v>3909</v>
      </c>
      <c r="E753" s="12" t="s">
        <v>759</v>
      </c>
      <c r="F753" s="12" t="s">
        <v>4051</v>
      </c>
      <c r="G753" s="12" t="s">
        <v>771</v>
      </c>
      <c r="H753" s="12" t="s">
        <v>4094</v>
      </c>
      <c r="I753" s="12" t="s">
        <v>4095</v>
      </c>
      <c r="J753" s="13" t="s">
        <v>4096</v>
      </c>
      <c r="K753" s="12"/>
      <c r="L753" s="12" t="s">
        <v>4104</v>
      </c>
      <c r="M753" s="12" t="s">
        <v>4109</v>
      </c>
      <c r="N753" s="12" t="s">
        <v>101</v>
      </c>
      <c r="O753" s="12" t="s">
        <v>102</v>
      </c>
      <c r="P753" s="12" t="s">
        <v>155</v>
      </c>
      <c r="Q753" s="12" t="s">
        <v>4110</v>
      </c>
      <c r="R753" s="14" t="n">
        <v>183</v>
      </c>
      <c r="S753" s="14" t="s">
        <v>105</v>
      </c>
      <c r="T753" s="14" t="s">
        <v>3930</v>
      </c>
      <c r="U753" s="14" t="n">
        <v>2024</v>
      </c>
      <c r="V753" s="12" t="s">
        <v>157</v>
      </c>
      <c r="W753" s="14"/>
      <c r="X753" s="15" t="n">
        <f aca="false">IF(OR($S753="%",$R753=""),"",$R753*INDEX(Cambi!$J$2:$J$5,MATCH($S753,Cambi!$I$2:$I$5,0))/IF($T753="EUR",1,INDEX(Cambi!$D:$D,MATCH($T753&amp;"|"&amp;$U753,Cambi!$C:$C,0))))</f>
        <v>42.5008128570765</v>
      </c>
      <c r="Y753" s="12" t="s">
        <v>108</v>
      </c>
      <c r="Z753" s="12" t="s">
        <v>285</v>
      </c>
      <c r="AA753" s="12" t="s">
        <v>109</v>
      </c>
      <c r="AB753" s="16" t="s">
        <v>394</v>
      </c>
      <c r="AC753" s="16" t="s">
        <v>4100</v>
      </c>
      <c r="AD753" s="12" t="s">
        <v>166</v>
      </c>
      <c r="AE753" s="12" t="s">
        <v>4101</v>
      </c>
      <c r="AF753" s="12" t="s">
        <v>4111</v>
      </c>
      <c r="AG753" s="12" t="s">
        <v>407</v>
      </c>
      <c r="AH753" s="12" t="s">
        <v>116</v>
      </c>
      <c r="AI753" s="12" t="s">
        <v>117</v>
      </c>
      <c r="AJ753" s="12" t="s">
        <v>4108</v>
      </c>
      <c r="AK753" s="12" t="s">
        <v>4</v>
      </c>
    </row>
    <row r="754" customFormat="false" ht="15" hidden="false" customHeight="false" outlineLevel="0" collapsed="false">
      <c r="A754" s="11" t="n">
        <v>753</v>
      </c>
      <c r="B754" s="12" t="s">
        <v>4093</v>
      </c>
      <c r="C754" s="12" t="s">
        <v>3908</v>
      </c>
      <c r="D754" s="12" t="s">
        <v>3909</v>
      </c>
      <c r="E754" s="12" t="s">
        <v>759</v>
      </c>
      <c r="F754" s="12" t="s">
        <v>4051</v>
      </c>
      <c r="G754" s="12" t="s">
        <v>771</v>
      </c>
      <c r="H754" s="12" t="s">
        <v>4094</v>
      </c>
      <c r="I754" s="12" t="s">
        <v>4095</v>
      </c>
      <c r="J754" s="13" t="s">
        <v>4096</v>
      </c>
      <c r="K754" s="12"/>
      <c r="L754" s="12" t="s">
        <v>4104</v>
      </c>
      <c r="M754" s="12" t="s">
        <v>4112</v>
      </c>
      <c r="N754" s="12" t="s">
        <v>101</v>
      </c>
      <c r="O754" s="12" t="s">
        <v>102</v>
      </c>
      <c r="P754" s="12" t="s">
        <v>155</v>
      </c>
      <c r="Q754" s="12" t="s">
        <v>4113</v>
      </c>
      <c r="R754" s="14" t="n">
        <v>1.2</v>
      </c>
      <c r="S754" s="14" t="s">
        <v>129</v>
      </c>
      <c r="T754" s="14" t="s">
        <v>3930</v>
      </c>
      <c r="U754" s="14" t="n">
        <v>2024</v>
      </c>
      <c r="V754" s="12" t="s">
        <v>157</v>
      </c>
      <c r="W754" s="14"/>
      <c r="X754" s="15" t="n">
        <f aca="false">IF(OR($S754="%",$R754=""),"",$R754*INDEX(Cambi!$J$2:$J$5,MATCH($S754,Cambi!$I$2:$I$5,0))/IF($T754="EUR",1,INDEX(Cambi!$D:$D,MATCH($T754&amp;"|"&amp;$U754,Cambi!$C:$C,0))))</f>
        <v>278.693854800502</v>
      </c>
      <c r="Y754" s="12" t="s">
        <v>108</v>
      </c>
      <c r="Z754" s="12" t="s">
        <v>285</v>
      </c>
      <c r="AA754" s="12" t="s">
        <v>109</v>
      </c>
      <c r="AB754" s="16" t="s">
        <v>394</v>
      </c>
      <c r="AC754" s="16" t="s">
        <v>4100</v>
      </c>
      <c r="AD754" s="12" t="s">
        <v>166</v>
      </c>
      <c r="AE754" s="12" t="s">
        <v>4101</v>
      </c>
      <c r="AF754" s="12" t="s">
        <v>4114</v>
      </c>
      <c r="AG754" s="12" t="s">
        <v>407</v>
      </c>
      <c r="AH754" s="12" t="s">
        <v>116</v>
      </c>
      <c r="AI754" s="12" t="s">
        <v>117</v>
      </c>
      <c r="AJ754" s="12" t="s">
        <v>4115</v>
      </c>
      <c r="AK754" s="12" t="s">
        <v>4</v>
      </c>
    </row>
    <row r="755" customFormat="false" ht="15" hidden="false" customHeight="false" outlineLevel="0" collapsed="false">
      <c r="A755" s="11" t="n">
        <v>754</v>
      </c>
      <c r="B755" s="12" t="s">
        <v>4116</v>
      </c>
      <c r="C755" s="12" t="s">
        <v>3908</v>
      </c>
      <c r="D755" s="12" t="s">
        <v>3909</v>
      </c>
      <c r="E755" s="12" t="s">
        <v>759</v>
      </c>
      <c r="F755" s="12" t="s">
        <v>4051</v>
      </c>
      <c r="G755" s="12" t="s">
        <v>771</v>
      </c>
      <c r="H755" s="12" t="s">
        <v>4117</v>
      </c>
      <c r="I755" s="12" t="s">
        <v>4118</v>
      </c>
      <c r="J755" s="13" t="s">
        <v>4119</v>
      </c>
      <c r="K755" s="12"/>
      <c r="L755" s="12" t="s">
        <v>4120</v>
      </c>
      <c r="M755" s="12" t="s">
        <v>4121</v>
      </c>
      <c r="N755" s="12" t="s">
        <v>101</v>
      </c>
      <c r="O755" s="12" t="s">
        <v>102</v>
      </c>
      <c r="P755" s="12" t="s">
        <v>103</v>
      </c>
      <c r="Q755" s="12" t="s">
        <v>104</v>
      </c>
      <c r="R755" s="14" t="n">
        <v>250</v>
      </c>
      <c r="S755" s="14" t="s">
        <v>105</v>
      </c>
      <c r="T755" s="14" t="s">
        <v>3930</v>
      </c>
      <c r="U755" s="14" t="n">
        <v>2024</v>
      </c>
      <c r="V755" s="12" t="s">
        <v>157</v>
      </c>
      <c r="W755" s="14"/>
      <c r="X755" s="15" t="n">
        <f aca="false">IF(OR($S755="%",$R755=""),"",$R755*INDEX(Cambi!$J$2:$J$5,MATCH($S755,Cambi!$I$2:$I$5,0))/IF($T755="EUR",1,INDEX(Cambi!$D:$D,MATCH($T755&amp;"|"&amp;$U755,Cambi!$C:$C,0))))</f>
        <v>58.0612197501045</v>
      </c>
      <c r="Y755" s="12" t="s">
        <v>108</v>
      </c>
      <c r="Z755" s="12" t="s">
        <v>117</v>
      </c>
      <c r="AA755" s="12" t="s">
        <v>4122</v>
      </c>
      <c r="AB755" s="16" t="s">
        <v>394</v>
      </c>
      <c r="AC755" s="16" t="s">
        <v>4123</v>
      </c>
      <c r="AD755" s="12" t="s">
        <v>112</v>
      </c>
      <c r="AE755" s="12" t="s">
        <v>4124</v>
      </c>
      <c r="AF755" s="12" t="s">
        <v>4125</v>
      </c>
      <c r="AG755" s="12" t="s">
        <v>115</v>
      </c>
      <c r="AH755" s="12" t="s">
        <v>116</v>
      </c>
      <c r="AI755" s="12" t="s">
        <v>117</v>
      </c>
      <c r="AJ755" s="12" t="s">
        <v>4126</v>
      </c>
      <c r="AK755" s="12" t="s">
        <v>4</v>
      </c>
    </row>
    <row r="756" customFormat="false" ht="15" hidden="false" customHeight="false" outlineLevel="0" collapsed="false">
      <c r="A756" s="11" t="n">
        <v>755</v>
      </c>
      <c r="B756" s="12" t="s">
        <v>4127</v>
      </c>
      <c r="C756" s="12" t="s">
        <v>3908</v>
      </c>
      <c r="D756" s="12" t="s">
        <v>3909</v>
      </c>
      <c r="E756" s="12" t="s">
        <v>759</v>
      </c>
      <c r="F756" s="12" t="s">
        <v>4051</v>
      </c>
      <c r="G756" s="12" t="s">
        <v>771</v>
      </c>
      <c r="H756" s="12" t="s">
        <v>4128</v>
      </c>
      <c r="I756" s="12" t="s">
        <v>4129</v>
      </c>
      <c r="J756" s="13" t="s">
        <v>4130</v>
      </c>
      <c r="K756" s="12"/>
      <c r="L756" s="12" t="s">
        <v>4131</v>
      </c>
      <c r="M756" s="12" t="s">
        <v>4132</v>
      </c>
      <c r="N756" s="12" t="s">
        <v>101</v>
      </c>
      <c r="O756" s="12" t="s">
        <v>102</v>
      </c>
      <c r="P756" s="12" t="s">
        <v>103</v>
      </c>
      <c r="Q756" s="12" t="s">
        <v>104</v>
      </c>
      <c r="R756" s="14" t="n">
        <v>270</v>
      </c>
      <c r="S756" s="14" t="s">
        <v>105</v>
      </c>
      <c r="T756" s="14" t="s">
        <v>3930</v>
      </c>
      <c r="U756" s="14" t="n">
        <v>2026</v>
      </c>
      <c r="V756" s="12" t="s">
        <v>107</v>
      </c>
      <c r="W756" s="14"/>
      <c r="X756" s="15" t="n">
        <f aca="false">IF(OR($S756="%",$R756=""),"",$R756*INDEX(Cambi!$J$2:$J$5,MATCH($S756,Cambi!$I$2:$I$5,0))/IF($T756="EUR",1,INDEX(Cambi!$D:$D,MATCH($T756&amp;"|"&amp;$U756,Cambi!$C:$C,0))))</f>
        <v>63.6837512088119</v>
      </c>
      <c r="Y756" s="12" t="s">
        <v>108</v>
      </c>
      <c r="Z756" s="12" t="s">
        <v>109</v>
      </c>
      <c r="AA756" s="12" t="s">
        <v>109</v>
      </c>
      <c r="AB756" s="16" t="s">
        <v>394</v>
      </c>
      <c r="AC756" s="16" t="s">
        <v>4133</v>
      </c>
      <c r="AD756" s="12" t="s">
        <v>112</v>
      </c>
      <c r="AE756" s="12" t="s">
        <v>4134</v>
      </c>
      <c r="AF756" s="12" t="s">
        <v>4135</v>
      </c>
      <c r="AG756" s="12" t="s">
        <v>115</v>
      </c>
      <c r="AH756" s="12" t="s">
        <v>116</v>
      </c>
      <c r="AI756" s="12" t="s">
        <v>117</v>
      </c>
      <c r="AJ756" s="12" t="s">
        <v>4136</v>
      </c>
      <c r="AK756" s="12" t="s">
        <v>4</v>
      </c>
    </row>
    <row r="757" customFormat="false" ht="15" hidden="false" customHeight="false" outlineLevel="0" collapsed="false">
      <c r="A757" s="11" t="n">
        <v>756</v>
      </c>
      <c r="B757" s="12" t="s">
        <v>4137</v>
      </c>
      <c r="C757" s="12" t="s">
        <v>3908</v>
      </c>
      <c r="D757" s="12" t="s">
        <v>3909</v>
      </c>
      <c r="E757" s="12" t="s">
        <v>759</v>
      </c>
      <c r="F757" s="12" t="s">
        <v>845</v>
      </c>
      <c r="G757" s="12" t="s">
        <v>830</v>
      </c>
      <c r="H757" s="12" t="s">
        <v>4138</v>
      </c>
      <c r="I757" s="12" t="s">
        <v>808</v>
      </c>
      <c r="J757" s="13" t="s">
        <v>4139</v>
      </c>
      <c r="K757" s="12"/>
      <c r="L757" s="12" t="s">
        <v>4140</v>
      </c>
      <c r="M757" s="12" t="s">
        <v>4141</v>
      </c>
      <c r="N757" s="12" t="s">
        <v>352</v>
      </c>
      <c r="O757" s="12" t="s">
        <v>102</v>
      </c>
      <c r="P757" s="12" t="s">
        <v>103</v>
      </c>
      <c r="Q757" s="12" t="s">
        <v>104</v>
      </c>
      <c r="R757" s="14" t="n">
        <v>1.52</v>
      </c>
      <c r="S757" s="14" t="s">
        <v>129</v>
      </c>
      <c r="T757" s="14" t="s">
        <v>653</v>
      </c>
      <c r="U757" s="14" t="n">
        <v>2024</v>
      </c>
      <c r="V757" s="12" t="s">
        <v>198</v>
      </c>
      <c r="W757" s="14" t="s">
        <v>4142</v>
      </c>
      <c r="X757" s="15" t="n">
        <f aca="false">IF(OR($S757="%",$R757=""),"",$R757*INDEX(Cambi!$J$2:$J$5,MATCH($S757,Cambi!$I$2:$I$5,0))/IF($T757="EUR",1,INDEX(Cambi!$D:$D,MATCH($T757&amp;"|"&amp;$U757,Cambi!$C:$C,0))))</f>
        <v>1404.28677014043</v>
      </c>
      <c r="Y757" s="12" t="s">
        <v>109</v>
      </c>
      <c r="Z757" s="12" t="s">
        <v>109</v>
      </c>
      <c r="AA757" s="12" t="s">
        <v>2677</v>
      </c>
      <c r="AB757" s="16" t="s">
        <v>110</v>
      </c>
      <c r="AC757" s="16" t="s">
        <v>4143</v>
      </c>
      <c r="AD757" s="12" t="s">
        <v>112</v>
      </c>
      <c r="AE757" s="12" t="s">
        <v>4144</v>
      </c>
      <c r="AF757" s="12" t="s">
        <v>4145</v>
      </c>
      <c r="AG757" s="12" t="s">
        <v>498</v>
      </c>
      <c r="AH757" s="12" t="s">
        <v>838</v>
      </c>
      <c r="AI757" s="12" t="s">
        <v>117</v>
      </c>
      <c r="AJ757" s="12" t="s">
        <v>4146</v>
      </c>
      <c r="AK757" s="12" t="s">
        <v>4</v>
      </c>
    </row>
    <row r="758" customFormat="false" ht="15" hidden="false" customHeight="false" outlineLevel="0" collapsed="false">
      <c r="A758" s="11" t="n">
        <v>757</v>
      </c>
      <c r="B758" s="12" t="s">
        <v>4137</v>
      </c>
      <c r="C758" s="12" t="s">
        <v>3908</v>
      </c>
      <c r="D758" s="12" t="s">
        <v>3909</v>
      </c>
      <c r="E758" s="12" t="s">
        <v>759</v>
      </c>
      <c r="F758" s="12" t="s">
        <v>845</v>
      </c>
      <c r="G758" s="12" t="s">
        <v>830</v>
      </c>
      <c r="H758" s="12" t="s">
        <v>4138</v>
      </c>
      <c r="I758" s="12" t="s">
        <v>808</v>
      </c>
      <c r="J758" s="13" t="s">
        <v>4139</v>
      </c>
      <c r="K758" s="12"/>
      <c r="L758" s="12" t="s">
        <v>4140</v>
      </c>
      <c r="M758" s="12" t="s">
        <v>4147</v>
      </c>
      <c r="N758" s="12" t="s">
        <v>352</v>
      </c>
      <c r="O758" s="12" t="s">
        <v>102</v>
      </c>
      <c r="P758" s="12" t="s">
        <v>103</v>
      </c>
      <c r="Q758" s="12" t="s">
        <v>104</v>
      </c>
      <c r="R758" s="14" t="n">
        <v>2.02</v>
      </c>
      <c r="S758" s="14" t="s">
        <v>129</v>
      </c>
      <c r="T758" s="14" t="s">
        <v>653</v>
      </c>
      <c r="U758" s="14" t="n">
        <v>2029</v>
      </c>
      <c r="V758" s="12" t="s">
        <v>107</v>
      </c>
      <c r="W758" s="14" t="s">
        <v>4142</v>
      </c>
      <c r="X758" s="15" t="n">
        <f aca="false">IF(OR($S758="%",$R758=""),"",$R758*INDEX(Cambi!$J$2:$J$5,MATCH($S758,Cambi!$I$2:$I$5,0))/IF($T758="EUR",1,INDEX(Cambi!$D:$D,MATCH($T758&amp;"|"&amp;$U758,Cambi!$C:$C,0))))</f>
        <v>1787.61061946903</v>
      </c>
      <c r="Y758" s="12" t="s">
        <v>109</v>
      </c>
      <c r="Z758" s="12" t="s">
        <v>109</v>
      </c>
      <c r="AA758" s="12" t="s">
        <v>2677</v>
      </c>
      <c r="AB758" s="16" t="s">
        <v>110</v>
      </c>
      <c r="AC758" s="16" t="s">
        <v>4143</v>
      </c>
      <c r="AD758" s="12" t="s">
        <v>112</v>
      </c>
      <c r="AE758" s="12" t="s">
        <v>4144</v>
      </c>
      <c r="AF758" s="12" t="s">
        <v>4148</v>
      </c>
      <c r="AG758" s="12" t="s">
        <v>498</v>
      </c>
      <c r="AH758" s="12" t="s">
        <v>838</v>
      </c>
      <c r="AI758" s="12" t="s">
        <v>117</v>
      </c>
      <c r="AJ758" s="12" t="s">
        <v>266</v>
      </c>
      <c r="AK758" s="12" t="s">
        <v>4</v>
      </c>
    </row>
    <row r="759" customFormat="false" ht="15" hidden="false" customHeight="false" outlineLevel="0" collapsed="false">
      <c r="A759" s="11" t="n">
        <v>758</v>
      </c>
      <c r="B759" s="12" t="s">
        <v>4149</v>
      </c>
      <c r="C759" s="12" t="s">
        <v>3908</v>
      </c>
      <c r="D759" s="12" t="s">
        <v>3909</v>
      </c>
      <c r="E759" s="12" t="s">
        <v>759</v>
      </c>
      <c r="F759" s="12" t="s">
        <v>845</v>
      </c>
      <c r="G759" s="12" t="s">
        <v>830</v>
      </c>
      <c r="H759" s="12" t="s">
        <v>4150</v>
      </c>
      <c r="I759" s="12" t="s">
        <v>1593</v>
      </c>
      <c r="J759" s="13" t="s">
        <v>4139</v>
      </c>
      <c r="K759" s="12"/>
      <c r="L759" s="12" t="s">
        <v>4140</v>
      </c>
      <c r="M759" s="12" t="s">
        <v>4151</v>
      </c>
      <c r="N759" s="12" t="s">
        <v>352</v>
      </c>
      <c r="O759" s="12" t="s">
        <v>102</v>
      </c>
      <c r="P759" s="12" t="s">
        <v>103</v>
      </c>
      <c r="Q759" s="12" t="s">
        <v>104</v>
      </c>
      <c r="R759" s="14" t="n">
        <v>1.61</v>
      </c>
      <c r="S759" s="14" t="s">
        <v>129</v>
      </c>
      <c r="T759" s="14" t="s">
        <v>653</v>
      </c>
      <c r="U759" s="14" t="n">
        <v>2025</v>
      </c>
      <c r="V759" s="12" t="s">
        <v>107</v>
      </c>
      <c r="W759" s="14" t="s">
        <v>4152</v>
      </c>
      <c r="X759" s="15" t="n">
        <f aca="false">IF(OR($S759="%",$R759=""),"",$R759*INDEX(Cambi!$J$2:$J$5,MATCH($S759,Cambi!$I$2:$I$5,0))/IF($T759="EUR",1,INDEX(Cambi!$D:$D,MATCH($T759&amp;"|"&amp;$U759,Cambi!$C:$C,0))))</f>
        <v>1424.77876106195</v>
      </c>
      <c r="Y759" s="12" t="s">
        <v>109</v>
      </c>
      <c r="Z759" s="12" t="s">
        <v>109</v>
      </c>
      <c r="AA759" s="12" t="s">
        <v>2677</v>
      </c>
      <c r="AB759" s="16" t="s">
        <v>110</v>
      </c>
      <c r="AC759" s="16" t="s">
        <v>4143</v>
      </c>
      <c r="AD759" s="12" t="s">
        <v>112</v>
      </c>
      <c r="AE759" s="12" t="s">
        <v>4144</v>
      </c>
      <c r="AF759" s="12" t="s">
        <v>4153</v>
      </c>
      <c r="AG759" s="12" t="s">
        <v>498</v>
      </c>
      <c r="AH759" s="12" t="s">
        <v>838</v>
      </c>
      <c r="AI759" s="12" t="s">
        <v>117</v>
      </c>
      <c r="AJ759" s="12" t="s">
        <v>1904</v>
      </c>
      <c r="AK759" s="12" t="s">
        <v>4</v>
      </c>
    </row>
    <row r="760" customFormat="false" ht="15" hidden="false" customHeight="false" outlineLevel="0" collapsed="false">
      <c r="A760" s="11" t="n">
        <v>759</v>
      </c>
      <c r="B760" s="12" t="s">
        <v>4149</v>
      </c>
      <c r="C760" s="12" t="s">
        <v>3908</v>
      </c>
      <c r="D760" s="12" t="s">
        <v>3909</v>
      </c>
      <c r="E760" s="12" t="s">
        <v>759</v>
      </c>
      <c r="F760" s="12" t="s">
        <v>845</v>
      </c>
      <c r="G760" s="12" t="s">
        <v>830</v>
      </c>
      <c r="H760" s="12" t="s">
        <v>4150</v>
      </c>
      <c r="I760" s="12" t="s">
        <v>1593</v>
      </c>
      <c r="J760" s="13" t="s">
        <v>4139</v>
      </c>
      <c r="K760" s="12"/>
      <c r="L760" s="12" t="s">
        <v>4140</v>
      </c>
      <c r="M760" s="12" t="s">
        <v>4154</v>
      </c>
      <c r="N760" s="12" t="s">
        <v>352</v>
      </c>
      <c r="O760" s="12" t="s">
        <v>102</v>
      </c>
      <c r="P760" s="12" t="s">
        <v>103</v>
      </c>
      <c r="Q760" s="12" t="s">
        <v>104</v>
      </c>
      <c r="R760" s="14" t="n">
        <v>2.14</v>
      </c>
      <c r="S760" s="14" t="s">
        <v>129</v>
      </c>
      <c r="T760" s="14" t="s">
        <v>653</v>
      </c>
      <c r="U760" s="14" t="n">
        <v>2030</v>
      </c>
      <c r="V760" s="12" t="s">
        <v>107</v>
      </c>
      <c r="W760" s="14" t="s">
        <v>4152</v>
      </c>
      <c r="X760" s="15" t="n">
        <f aca="false">IF(OR($S760="%",$R760=""),"",$R760*INDEX(Cambi!$J$2:$J$5,MATCH($S760,Cambi!$I$2:$I$5,0))/IF($T760="EUR",1,INDEX(Cambi!$D:$D,MATCH($T760&amp;"|"&amp;$U760,Cambi!$C:$C,0))))</f>
        <v>1893.80530973451</v>
      </c>
      <c r="Y760" s="12" t="s">
        <v>109</v>
      </c>
      <c r="Z760" s="12" t="s">
        <v>109</v>
      </c>
      <c r="AA760" s="12" t="s">
        <v>2677</v>
      </c>
      <c r="AB760" s="16" t="s">
        <v>110</v>
      </c>
      <c r="AC760" s="16" t="s">
        <v>4143</v>
      </c>
      <c r="AD760" s="12" t="s">
        <v>112</v>
      </c>
      <c r="AE760" s="12" t="s">
        <v>4144</v>
      </c>
      <c r="AF760" s="12" t="s">
        <v>4153</v>
      </c>
      <c r="AG760" s="12" t="s">
        <v>498</v>
      </c>
      <c r="AH760" s="12" t="s">
        <v>838</v>
      </c>
      <c r="AI760" s="12" t="s">
        <v>117</v>
      </c>
      <c r="AJ760" s="12" t="s">
        <v>1923</v>
      </c>
      <c r="AK760" s="12" t="s">
        <v>4</v>
      </c>
    </row>
    <row r="761" customFormat="false" ht="15" hidden="false" customHeight="false" outlineLevel="0" collapsed="false">
      <c r="A761" s="11" t="n">
        <v>760</v>
      </c>
      <c r="B761" s="12" t="s">
        <v>4155</v>
      </c>
      <c r="C761" s="12" t="s">
        <v>3908</v>
      </c>
      <c r="D761" s="12" t="s">
        <v>3909</v>
      </c>
      <c r="E761" s="12" t="s">
        <v>759</v>
      </c>
      <c r="F761" s="12" t="s">
        <v>845</v>
      </c>
      <c r="G761" s="12" t="s">
        <v>830</v>
      </c>
      <c r="H761" s="12" t="s">
        <v>4156</v>
      </c>
      <c r="I761" s="12" t="s">
        <v>847</v>
      </c>
      <c r="J761" s="13" t="s">
        <v>4157</v>
      </c>
      <c r="K761" s="12"/>
      <c r="L761" s="12" t="s">
        <v>4158</v>
      </c>
      <c r="M761" s="12" t="s">
        <v>4159</v>
      </c>
      <c r="N761" s="12" t="s">
        <v>352</v>
      </c>
      <c r="O761" s="12" t="s">
        <v>196</v>
      </c>
      <c r="P761" s="12" t="s">
        <v>214</v>
      </c>
      <c r="Q761" s="12" t="s">
        <v>4160</v>
      </c>
      <c r="R761" s="14" t="n">
        <v>25.6</v>
      </c>
      <c r="S761" s="14" t="s">
        <v>197</v>
      </c>
      <c r="T761" s="14"/>
      <c r="U761" s="14" t="n">
        <v>2025</v>
      </c>
      <c r="V761" s="12" t="s">
        <v>157</v>
      </c>
      <c r="W761" s="14" t="s">
        <v>4161</v>
      </c>
      <c r="X761" s="15" t="str">
        <f aca="false">IF(OR($S761="%",$R761=""),"",$R761*INDEX(Cambi!$J$2:$J$5,MATCH($S761,Cambi!$I$2:$I$5,0))/IF($T761="EUR",1,INDEX(Cambi!$D:$D,MATCH($T761&amp;"|"&amp;$U761,Cambi!$C:$C,0))))</f>
        <v/>
      </c>
      <c r="Y761" s="12" t="s">
        <v>109</v>
      </c>
      <c r="Z761" s="12" t="s">
        <v>109</v>
      </c>
      <c r="AA761" s="12" t="s">
        <v>2677</v>
      </c>
      <c r="AB761" s="16" t="s">
        <v>110</v>
      </c>
      <c r="AC761" s="16" t="s">
        <v>4143</v>
      </c>
      <c r="AD761" s="12" t="s">
        <v>112</v>
      </c>
      <c r="AE761" s="12" t="s">
        <v>4144</v>
      </c>
      <c r="AF761" s="12" t="s">
        <v>4162</v>
      </c>
      <c r="AG761" s="12" t="s">
        <v>498</v>
      </c>
      <c r="AH761" s="12" t="s">
        <v>838</v>
      </c>
      <c r="AI761" s="12" t="s">
        <v>117</v>
      </c>
      <c r="AJ761" s="12" t="s">
        <v>266</v>
      </c>
      <c r="AK761" s="12" t="s">
        <v>4</v>
      </c>
    </row>
    <row r="762" customFormat="false" ht="15" hidden="false" customHeight="false" outlineLevel="0" collapsed="false">
      <c r="A762" s="11" t="n">
        <v>761</v>
      </c>
      <c r="B762" s="12" t="s">
        <v>4155</v>
      </c>
      <c r="C762" s="12" t="s">
        <v>3908</v>
      </c>
      <c r="D762" s="12" t="s">
        <v>3909</v>
      </c>
      <c r="E762" s="12" t="s">
        <v>759</v>
      </c>
      <c r="F762" s="12" t="s">
        <v>845</v>
      </c>
      <c r="G762" s="12" t="s">
        <v>830</v>
      </c>
      <c r="H762" s="12" t="s">
        <v>4156</v>
      </c>
      <c r="I762" s="12" t="s">
        <v>847</v>
      </c>
      <c r="J762" s="13" t="s">
        <v>4157</v>
      </c>
      <c r="K762" s="12"/>
      <c r="L762" s="12" t="s">
        <v>4140</v>
      </c>
      <c r="M762" s="12" t="s">
        <v>4163</v>
      </c>
      <c r="N762" s="12" t="s">
        <v>352</v>
      </c>
      <c r="O762" s="12" t="s">
        <v>102</v>
      </c>
      <c r="P762" s="12" t="s">
        <v>103</v>
      </c>
      <c r="Q762" s="12" t="s">
        <v>104</v>
      </c>
      <c r="R762" s="14" t="n">
        <v>1.61</v>
      </c>
      <c r="S762" s="14" t="s">
        <v>129</v>
      </c>
      <c r="T762" s="14" t="s">
        <v>653</v>
      </c>
      <c r="U762" s="14" t="n">
        <v>2025</v>
      </c>
      <c r="V762" s="12" t="s">
        <v>157</v>
      </c>
      <c r="W762" s="14"/>
      <c r="X762" s="15" t="n">
        <f aca="false">IF(OR($S762="%",$R762=""),"",$R762*INDEX(Cambi!$J$2:$J$5,MATCH($S762,Cambi!$I$2:$I$5,0))/IF($T762="EUR",1,INDEX(Cambi!$D:$D,MATCH($T762&amp;"|"&amp;$U762,Cambi!$C:$C,0))))</f>
        <v>1424.77876106195</v>
      </c>
      <c r="Y762" s="12" t="s">
        <v>109</v>
      </c>
      <c r="Z762" s="12" t="s">
        <v>109</v>
      </c>
      <c r="AA762" s="12" t="s">
        <v>2677</v>
      </c>
      <c r="AB762" s="16" t="s">
        <v>110</v>
      </c>
      <c r="AC762" s="16" t="s">
        <v>4143</v>
      </c>
      <c r="AD762" s="12" t="s">
        <v>112</v>
      </c>
      <c r="AE762" s="12" t="s">
        <v>4144</v>
      </c>
      <c r="AF762" s="12" t="s">
        <v>4164</v>
      </c>
      <c r="AG762" s="12" t="s">
        <v>498</v>
      </c>
      <c r="AH762" s="12" t="s">
        <v>838</v>
      </c>
      <c r="AI762" s="12" t="s">
        <v>117</v>
      </c>
      <c r="AJ762" s="12" t="s">
        <v>4165</v>
      </c>
      <c r="AK762" s="12" t="s">
        <v>4</v>
      </c>
    </row>
    <row r="763" customFormat="false" ht="15" hidden="false" customHeight="false" outlineLevel="0" collapsed="false">
      <c r="A763" s="11" t="n">
        <v>762</v>
      </c>
      <c r="B763" s="12" t="s">
        <v>4155</v>
      </c>
      <c r="C763" s="12" t="s">
        <v>3908</v>
      </c>
      <c r="D763" s="12" t="s">
        <v>3909</v>
      </c>
      <c r="E763" s="12" t="s">
        <v>759</v>
      </c>
      <c r="F763" s="12" t="s">
        <v>845</v>
      </c>
      <c r="G763" s="12" t="s">
        <v>830</v>
      </c>
      <c r="H763" s="12" t="s">
        <v>4156</v>
      </c>
      <c r="I763" s="12" t="s">
        <v>847</v>
      </c>
      <c r="J763" s="13" t="s">
        <v>4157</v>
      </c>
      <c r="K763" s="12"/>
      <c r="L763" s="12" t="s">
        <v>4166</v>
      </c>
      <c r="M763" s="12" t="s">
        <v>4167</v>
      </c>
      <c r="N763" s="12" t="s">
        <v>352</v>
      </c>
      <c r="O763" s="12" t="s">
        <v>196</v>
      </c>
      <c r="P763" s="12" t="s">
        <v>155</v>
      </c>
      <c r="Q763" s="12" t="s">
        <v>1027</v>
      </c>
      <c r="R763" s="14" t="n">
        <v>67.3</v>
      </c>
      <c r="S763" s="14" t="s">
        <v>197</v>
      </c>
      <c r="T763" s="14"/>
      <c r="U763" s="14" t="n">
        <v>2025</v>
      </c>
      <c r="V763" s="12" t="s">
        <v>157</v>
      </c>
      <c r="W763" s="14" t="s">
        <v>4168</v>
      </c>
      <c r="X763" s="15" t="str">
        <f aca="false">IF(OR($S763="%",$R763=""),"",$R763*INDEX(Cambi!$J$2:$J$5,MATCH($S763,Cambi!$I$2:$I$5,0))/IF($T763="EUR",1,INDEX(Cambi!$D:$D,MATCH($T763&amp;"|"&amp;$U763,Cambi!$C:$C,0))))</f>
        <v/>
      </c>
      <c r="Y763" s="12" t="s">
        <v>109</v>
      </c>
      <c r="Z763" s="12" t="s">
        <v>109</v>
      </c>
      <c r="AA763" s="12" t="s">
        <v>2677</v>
      </c>
      <c r="AB763" s="16" t="s">
        <v>110</v>
      </c>
      <c r="AC763" s="16" t="s">
        <v>4143</v>
      </c>
      <c r="AD763" s="12" t="s">
        <v>112</v>
      </c>
      <c r="AE763" s="12" t="s">
        <v>4144</v>
      </c>
      <c r="AF763" s="12" t="s">
        <v>4169</v>
      </c>
      <c r="AG763" s="12" t="s">
        <v>498</v>
      </c>
      <c r="AH763" s="12" t="s">
        <v>838</v>
      </c>
      <c r="AI763" s="12" t="s">
        <v>117</v>
      </c>
      <c r="AJ763" s="12" t="s">
        <v>266</v>
      </c>
      <c r="AK763" s="12" t="s">
        <v>4</v>
      </c>
    </row>
    <row r="764" customFormat="false" ht="15" hidden="false" customHeight="false" outlineLevel="0" collapsed="false">
      <c r="A764" s="11" t="n">
        <v>763</v>
      </c>
      <c r="B764" s="12" t="s">
        <v>4155</v>
      </c>
      <c r="C764" s="12" t="s">
        <v>3908</v>
      </c>
      <c r="D764" s="12" t="s">
        <v>3909</v>
      </c>
      <c r="E764" s="12" t="s">
        <v>759</v>
      </c>
      <c r="F764" s="12" t="s">
        <v>845</v>
      </c>
      <c r="G764" s="12" t="s">
        <v>830</v>
      </c>
      <c r="H764" s="12" t="s">
        <v>4156</v>
      </c>
      <c r="I764" s="12" t="s">
        <v>847</v>
      </c>
      <c r="J764" s="13" t="s">
        <v>4157</v>
      </c>
      <c r="K764" s="12"/>
      <c r="L764" s="12" t="s">
        <v>4140</v>
      </c>
      <c r="M764" s="12" t="s">
        <v>4170</v>
      </c>
      <c r="N764" s="12" t="s">
        <v>352</v>
      </c>
      <c r="O764" s="12" t="s">
        <v>102</v>
      </c>
      <c r="P764" s="12" t="s">
        <v>103</v>
      </c>
      <c r="Q764" s="12" t="s">
        <v>104</v>
      </c>
      <c r="R764" s="14" t="n">
        <v>1.7</v>
      </c>
      <c r="S764" s="14" t="s">
        <v>129</v>
      </c>
      <c r="T764" s="14" t="s">
        <v>653</v>
      </c>
      <c r="U764" s="14" t="n">
        <v>2026</v>
      </c>
      <c r="V764" s="12" t="s">
        <v>198</v>
      </c>
      <c r="W764" s="14" t="s">
        <v>4171</v>
      </c>
      <c r="X764" s="15" t="n">
        <f aca="false">IF(OR($S764="%",$R764=""),"",$R764*INDEX(Cambi!$J$2:$J$5,MATCH($S764,Cambi!$I$2:$I$5,0))/IF($T764="EUR",1,INDEX(Cambi!$D:$D,MATCH($T764&amp;"|"&amp;$U764,Cambi!$C:$C,0))))</f>
        <v>1504.42477876106</v>
      </c>
      <c r="Y764" s="12" t="s">
        <v>109</v>
      </c>
      <c r="Z764" s="12" t="s">
        <v>109</v>
      </c>
      <c r="AA764" s="12" t="s">
        <v>2677</v>
      </c>
      <c r="AB764" s="16" t="s">
        <v>110</v>
      </c>
      <c r="AC764" s="16" t="s">
        <v>4143</v>
      </c>
      <c r="AD764" s="12" t="s">
        <v>112</v>
      </c>
      <c r="AE764" s="12" t="s">
        <v>4144</v>
      </c>
      <c r="AF764" s="12" t="s">
        <v>4172</v>
      </c>
      <c r="AG764" s="12" t="s">
        <v>498</v>
      </c>
      <c r="AH764" s="12" t="s">
        <v>838</v>
      </c>
      <c r="AI764" s="12" t="s">
        <v>117</v>
      </c>
      <c r="AJ764" s="12" t="s">
        <v>266</v>
      </c>
      <c r="AK764" s="12" t="s">
        <v>4</v>
      </c>
    </row>
    <row r="765" customFormat="false" ht="15" hidden="false" customHeight="false" outlineLevel="0" collapsed="false">
      <c r="A765" s="11" t="n">
        <v>764</v>
      </c>
      <c r="B765" s="12" t="s">
        <v>4155</v>
      </c>
      <c r="C765" s="12" t="s">
        <v>3908</v>
      </c>
      <c r="D765" s="12" t="s">
        <v>3909</v>
      </c>
      <c r="E765" s="12" t="s">
        <v>759</v>
      </c>
      <c r="F765" s="12" t="s">
        <v>845</v>
      </c>
      <c r="G765" s="12" t="s">
        <v>830</v>
      </c>
      <c r="H765" s="12" t="s">
        <v>4156</v>
      </c>
      <c r="I765" s="12" t="s">
        <v>847</v>
      </c>
      <c r="J765" s="13" t="s">
        <v>4157</v>
      </c>
      <c r="K765" s="12"/>
      <c r="L765" s="12" t="s">
        <v>4140</v>
      </c>
      <c r="M765" s="12" t="s">
        <v>4173</v>
      </c>
      <c r="N765" s="12" t="s">
        <v>352</v>
      </c>
      <c r="O765" s="12" t="s">
        <v>102</v>
      </c>
      <c r="P765" s="12" t="s">
        <v>103</v>
      </c>
      <c r="Q765" s="12" t="s">
        <v>104</v>
      </c>
      <c r="R765" s="14" t="n">
        <v>2.26</v>
      </c>
      <c r="S765" s="14" t="s">
        <v>129</v>
      </c>
      <c r="T765" s="14" t="s">
        <v>653</v>
      </c>
      <c r="U765" s="14" t="n">
        <v>2031</v>
      </c>
      <c r="V765" s="12" t="s">
        <v>107</v>
      </c>
      <c r="W765" s="14" t="s">
        <v>4171</v>
      </c>
      <c r="X765" s="15" t="n">
        <f aca="false">IF(OR($S765="%",$R765=""),"",$R765*INDEX(Cambi!$J$2:$J$5,MATCH($S765,Cambi!$I$2:$I$5,0))/IF($T765="EUR",1,INDEX(Cambi!$D:$D,MATCH($T765&amp;"|"&amp;$U765,Cambi!$C:$C,0))))</f>
        <v>2000</v>
      </c>
      <c r="Y765" s="12" t="s">
        <v>109</v>
      </c>
      <c r="Z765" s="12" t="s">
        <v>109</v>
      </c>
      <c r="AA765" s="12" t="s">
        <v>2677</v>
      </c>
      <c r="AB765" s="16" t="s">
        <v>110</v>
      </c>
      <c r="AC765" s="16" t="s">
        <v>4143</v>
      </c>
      <c r="AD765" s="12" t="s">
        <v>112</v>
      </c>
      <c r="AE765" s="12" t="s">
        <v>4144</v>
      </c>
      <c r="AF765" s="12" t="s">
        <v>4174</v>
      </c>
      <c r="AG765" s="12" t="s">
        <v>498</v>
      </c>
      <c r="AH765" s="12" t="s">
        <v>838</v>
      </c>
      <c r="AI765" s="12" t="s">
        <v>117</v>
      </c>
      <c r="AJ765" s="12" t="s">
        <v>266</v>
      </c>
      <c r="AK765" s="12" t="s">
        <v>4</v>
      </c>
    </row>
    <row r="766" customFormat="false" ht="15" hidden="false" customHeight="false" outlineLevel="0" collapsed="false">
      <c r="A766" s="11" t="n">
        <v>765</v>
      </c>
      <c r="B766" s="12" t="s">
        <v>625</v>
      </c>
      <c r="C766" s="12" t="s">
        <v>3908</v>
      </c>
      <c r="D766" s="12" t="s">
        <v>3909</v>
      </c>
      <c r="E766" s="12" t="s">
        <v>759</v>
      </c>
      <c r="F766" s="12" t="s">
        <v>626</v>
      </c>
      <c r="G766" s="12" t="s">
        <v>95</v>
      </c>
      <c r="H766" s="12" t="s">
        <v>627</v>
      </c>
      <c r="I766" s="12" t="s">
        <v>628</v>
      </c>
      <c r="J766" s="13" t="s">
        <v>629</v>
      </c>
      <c r="K766" s="12" t="s">
        <v>630</v>
      </c>
      <c r="L766" s="12" t="s">
        <v>1110</v>
      </c>
      <c r="M766" s="12" t="s">
        <v>1111</v>
      </c>
      <c r="N766" s="12" t="s">
        <v>101</v>
      </c>
      <c r="O766" s="12" t="s">
        <v>102</v>
      </c>
      <c r="P766" s="12" t="s">
        <v>103</v>
      </c>
      <c r="Q766" s="12" t="s">
        <v>104</v>
      </c>
      <c r="R766" s="14" t="n">
        <v>193</v>
      </c>
      <c r="S766" s="14" t="s">
        <v>105</v>
      </c>
      <c r="T766" s="14" t="s">
        <v>106</v>
      </c>
      <c r="U766" s="14" t="n">
        <v>2026</v>
      </c>
      <c r="V766" s="12" t="s">
        <v>107</v>
      </c>
      <c r="W766" s="14"/>
      <c r="X766" s="15" t="n">
        <f aca="false">IF(OR($S766="%",$R766=""),"",$R766*INDEX(Cambi!$J$2:$J$5,MATCH($S766,Cambi!$I$2:$I$5,0))/IF($T766="EUR",1,INDEX(Cambi!$D:$D,MATCH($T766&amp;"|"&amp;$U766,Cambi!$C:$C,0))))</f>
        <v>193</v>
      </c>
      <c r="Y766" s="12" t="s">
        <v>130</v>
      </c>
      <c r="Z766" s="12" t="s">
        <v>109</v>
      </c>
      <c r="AA766" s="12" t="s">
        <v>633</v>
      </c>
      <c r="AB766" s="16" t="s">
        <v>110</v>
      </c>
      <c r="AC766" s="16" t="s">
        <v>634</v>
      </c>
      <c r="AD766" s="12" t="s">
        <v>281</v>
      </c>
      <c r="AE766" s="12" t="s">
        <v>635</v>
      </c>
      <c r="AF766" s="12" t="s">
        <v>4175</v>
      </c>
      <c r="AG766" s="12" t="s">
        <v>115</v>
      </c>
      <c r="AH766" s="12" t="s">
        <v>116</v>
      </c>
      <c r="AI766" s="12" t="s">
        <v>285</v>
      </c>
      <c r="AJ766" s="12" t="s">
        <v>1113</v>
      </c>
      <c r="AK766" s="12" t="s">
        <v>4</v>
      </c>
    </row>
    <row r="767" customFormat="false" ht="15" hidden="false" customHeight="false" outlineLevel="0" collapsed="false">
      <c r="A767" s="11" t="n">
        <v>766</v>
      </c>
      <c r="B767" s="12" t="s">
        <v>4176</v>
      </c>
      <c r="C767" s="12" t="s">
        <v>3908</v>
      </c>
      <c r="D767" s="12" t="s">
        <v>3909</v>
      </c>
      <c r="E767" s="12" t="s">
        <v>759</v>
      </c>
      <c r="F767" s="12" t="s">
        <v>4177</v>
      </c>
      <c r="G767" s="12" t="s">
        <v>830</v>
      </c>
      <c r="H767" s="12" t="s">
        <v>4178</v>
      </c>
      <c r="I767" s="12" t="s">
        <v>4179</v>
      </c>
      <c r="J767" s="13" t="s">
        <v>4180</v>
      </c>
      <c r="K767" s="12"/>
      <c r="L767" s="12" t="s">
        <v>4181</v>
      </c>
      <c r="M767" s="12" t="s">
        <v>4182</v>
      </c>
      <c r="N767" s="12" t="s">
        <v>352</v>
      </c>
      <c r="O767" s="12" t="s">
        <v>102</v>
      </c>
      <c r="P767" s="12" t="s">
        <v>103</v>
      </c>
      <c r="Q767" s="12" t="s">
        <v>104</v>
      </c>
      <c r="R767" s="14" t="n">
        <v>1.14</v>
      </c>
      <c r="S767" s="14" t="s">
        <v>129</v>
      </c>
      <c r="T767" s="14" t="s">
        <v>3930</v>
      </c>
      <c r="U767" s="14" t="n">
        <v>2018</v>
      </c>
      <c r="V767" s="12" t="s">
        <v>157</v>
      </c>
      <c r="W767" s="14" t="s">
        <v>4183</v>
      </c>
      <c r="X767" s="15" t="n">
        <f aca="false">IF(OR($S767="%",$R767=""),"",$R767*INDEX(Cambi!$J$2:$J$5,MATCH($S767,Cambi!$I$2:$I$5,0))/IF($T767="EUR",1,INDEX(Cambi!$D:$D,MATCH($T767&amp;"|"&amp;$U767,Cambi!$C:$C,0))))</f>
        <v>267.511439633932</v>
      </c>
      <c r="Y767" s="12" t="s">
        <v>109</v>
      </c>
      <c r="Z767" s="12" t="s">
        <v>285</v>
      </c>
      <c r="AA767" s="12" t="s">
        <v>3995</v>
      </c>
      <c r="AB767" s="16" t="s">
        <v>110</v>
      </c>
      <c r="AC767" s="16" t="s">
        <v>3989</v>
      </c>
      <c r="AD767" s="12" t="s">
        <v>112</v>
      </c>
      <c r="AE767" s="12" t="s">
        <v>3990</v>
      </c>
      <c r="AF767" s="12" t="s">
        <v>4184</v>
      </c>
      <c r="AG767" s="12" t="s">
        <v>498</v>
      </c>
      <c r="AH767" s="12" t="s">
        <v>838</v>
      </c>
      <c r="AI767" s="12" t="s">
        <v>117</v>
      </c>
      <c r="AJ767" s="12" t="s">
        <v>4185</v>
      </c>
      <c r="AK767" s="12" t="s">
        <v>4</v>
      </c>
    </row>
    <row r="768" customFormat="false" ht="15" hidden="false" customHeight="false" outlineLevel="0" collapsed="false">
      <c r="A768" s="11" t="n">
        <v>767</v>
      </c>
      <c r="B768" s="12" t="s">
        <v>4176</v>
      </c>
      <c r="C768" s="12" t="s">
        <v>3908</v>
      </c>
      <c r="D768" s="12" t="s">
        <v>3909</v>
      </c>
      <c r="E768" s="12" t="s">
        <v>759</v>
      </c>
      <c r="F768" s="12" t="s">
        <v>4177</v>
      </c>
      <c r="G768" s="12" t="s">
        <v>830</v>
      </c>
      <c r="H768" s="12" t="s">
        <v>4178</v>
      </c>
      <c r="I768" s="12" t="s">
        <v>4179</v>
      </c>
      <c r="J768" s="13" t="s">
        <v>4180</v>
      </c>
      <c r="K768" s="12"/>
      <c r="L768" s="12" t="s">
        <v>4181</v>
      </c>
      <c r="M768" s="12" t="s">
        <v>4186</v>
      </c>
      <c r="N768" s="12" t="s">
        <v>352</v>
      </c>
      <c r="O768" s="12" t="s">
        <v>102</v>
      </c>
      <c r="P768" s="12" t="s">
        <v>103</v>
      </c>
      <c r="Q768" s="12" t="s">
        <v>104</v>
      </c>
      <c r="R768" s="14" t="n">
        <v>1.56</v>
      </c>
      <c r="S768" s="14" t="s">
        <v>129</v>
      </c>
      <c r="T768" s="14" t="s">
        <v>3930</v>
      </c>
      <c r="U768" s="14" t="n">
        <v>2019</v>
      </c>
      <c r="V768" s="12" t="s">
        <v>157</v>
      </c>
      <c r="W768" s="14" t="s">
        <v>4187</v>
      </c>
      <c r="X768" s="15" t="n">
        <f aca="false">IF(OR($S768="%",$R768=""),"",$R768*INDEX(Cambi!$J$2:$J$5,MATCH($S768,Cambi!$I$2:$I$5,0))/IF($T768="EUR",1,INDEX(Cambi!$D:$D,MATCH($T768&amp;"|"&amp;$U768,Cambi!$C:$C,0))))</f>
        <v>362.993298585257</v>
      </c>
      <c r="Y768" s="12" t="s">
        <v>109</v>
      </c>
      <c r="Z768" s="12" t="s">
        <v>285</v>
      </c>
      <c r="AA768" s="12" t="s">
        <v>3995</v>
      </c>
      <c r="AB768" s="16" t="s">
        <v>110</v>
      </c>
      <c r="AC768" s="16" t="s">
        <v>3989</v>
      </c>
      <c r="AD768" s="12" t="s">
        <v>112</v>
      </c>
      <c r="AE768" s="12" t="s">
        <v>3990</v>
      </c>
      <c r="AF768" s="12" t="s">
        <v>4184</v>
      </c>
      <c r="AG768" s="12" t="s">
        <v>498</v>
      </c>
      <c r="AH768" s="12" t="s">
        <v>838</v>
      </c>
      <c r="AI768" s="12" t="s">
        <v>117</v>
      </c>
      <c r="AJ768" s="12" t="s">
        <v>4188</v>
      </c>
      <c r="AK768" s="12" t="s">
        <v>4</v>
      </c>
    </row>
    <row r="769" customFormat="false" ht="15" hidden="false" customHeight="false" outlineLevel="0" collapsed="false">
      <c r="A769" s="11" t="n">
        <v>768</v>
      </c>
      <c r="B769" s="12" t="s">
        <v>4176</v>
      </c>
      <c r="C769" s="12" t="s">
        <v>3908</v>
      </c>
      <c r="D769" s="12" t="s">
        <v>3909</v>
      </c>
      <c r="E769" s="12" t="s">
        <v>759</v>
      </c>
      <c r="F769" s="12" t="s">
        <v>4177</v>
      </c>
      <c r="G769" s="12" t="s">
        <v>830</v>
      </c>
      <c r="H769" s="12" t="s">
        <v>4178</v>
      </c>
      <c r="I769" s="12" t="s">
        <v>4179</v>
      </c>
      <c r="J769" s="13" t="s">
        <v>4180</v>
      </c>
      <c r="K769" s="12"/>
      <c r="L769" s="12" t="s">
        <v>4181</v>
      </c>
      <c r="M769" s="12" t="s">
        <v>4189</v>
      </c>
      <c r="N769" s="12" t="s">
        <v>352</v>
      </c>
      <c r="O769" s="12" t="s">
        <v>102</v>
      </c>
      <c r="P769" s="12" t="s">
        <v>103</v>
      </c>
      <c r="Q769" s="12" t="s">
        <v>104</v>
      </c>
      <c r="R769" s="14" t="n">
        <v>1.65</v>
      </c>
      <c r="S769" s="14" t="s">
        <v>129</v>
      </c>
      <c r="T769" s="14" t="s">
        <v>3930</v>
      </c>
      <c r="U769" s="14" t="n">
        <v>2020</v>
      </c>
      <c r="V769" s="12" t="s">
        <v>157</v>
      </c>
      <c r="W769" s="14" t="s">
        <v>4190</v>
      </c>
      <c r="X769" s="15" t="n">
        <f aca="false">IF(OR($S769="%",$R769=""),"",$R769*INDEX(Cambi!$J$2:$J$5,MATCH($S769,Cambi!$I$2:$I$5,0))/IF($T769="EUR",1,INDEX(Cambi!$D:$D,MATCH($T769&amp;"|"&amp;$U769,Cambi!$C:$C,0))))</f>
        <v>371.37069547603</v>
      </c>
      <c r="Y769" s="12" t="s">
        <v>109</v>
      </c>
      <c r="Z769" s="12" t="s">
        <v>285</v>
      </c>
      <c r="AA769" s="12" t="s">
        <v>3995</v>
      </c>
      <c r="AB769" s="16" t="s">
        <v>110</v>
      </c>
      <c r="AC769" s="16" t="s">
        <v>3989</v>
      </c>
      <c r="AD769" s="12" t="s">
        <v>112</v>
      </c>
      <c r="AE769" s="12" t="s">
        <v>3990</v>
      </c>
      <c r="AF769" s="12" t="s">
        <v>4184</v>
      </c>
      <c r="AG769" s="12" t="s">
        <v>498</v>
      </c>
      <c r="AH769" s="12" t="s">
        <v>838</v>
      </c>
      <c r="AI769" s="12" t="s">
        <v>117</v>
      </c>
      <c r="AJ769" s="12" t="s">
        <v>4188</v>
      </c>
      <c r="AK769" s="12" t="s">
        <v>4</v>
      </c>
    </row>
    <row r="770" customFormat="false" ht="15" hidden="false" customHeight="false" outlineLevel="0" collapsed="false">
      <c r="A770" s="11" t="n">
        <v>769</v>
      </c>
      <c r="B770" s="12" t="s">
        <v>4176</v>
      </c>
      <c r="C770" s="12" t="s">
        <v>3908</v>
      </c>
      <c r="D770" s="12" t="s">
        <v>3909</v>
      </c>
      <c r="E770" s="12" t="s">
        <v>759</v>
      </c>
      <c r="F770" s="12" t="s">
        <v>4177</v>
      </c>
      <c r="G770" s="12" t="s">
        <v>830</v>
      </c>
      <c r="H770" s="12" t="s">
        <v>4178</v>
      </c>
      <c r="I770" s="12" t="s">
        <v>4179</v>
      </c>
      <c r="J770" s="13" t="s">
        <v>4180</v>
      </c>
      <c r="K770" s="12"/>
      <c r="L770" s="12" t="s">
        <v>4181</v>
      </c>
      <c r="M770" s="12" t="s">
        <v>4191</v>
      </c>
      <c r="N770" s="12" t="s">
        <v>352</v>
      </c>
      <c r="O770" s="12" t="s">
        <v>102</v>
      </c>
      <c r="P770" s="12" t="s">
        <v>103</v>
      </c>
      <c r="Q770" s="12" t="s">
        <v>104</v>
      </c>
      <c r="R770" s="14" t="n">
        <v>1.84</v>
      </c>
      <c r="S770" s="14" t="s">
        <v>129</v>
      </c>
      <c r="T770" s="14" t="s">
        <v>3930</v>
      </c>
      <c r="U770" s="14" t="n">
        <v>2021</v>
      </c>
      <c r="V770" s="12" t="s">
        <v>157</v>
      </c>
      <c r="W770" s="14" t="s">
        <v>4192</v>
      </c>
      <c r="X770" s="15" t="n">
        <f aca="false">IF(OR($S770="%",$R770=""),"",$R770*INDEX(Cambi!$J$2:$J$5,MATCH($S770,Cambi!$I$2:$I$5,0))/IF($T770="EUR",1,INDEX(Cambi!$D:$D,MATCH($T770&amp;"|"&amp;$U770,Cambi!$C:$C,0))))</f>
        <v>403.049154472969</v>
      </c>
      <c r="Y770" s="12" t="s">
        <v>109</v>
      </c>
      <c r="Z770" s="12" t="s">
        <v>285</v>
      </c>
      <c r="AA770" s="12" t="s">
        <v>3995</v>
      </c>
      <c r="AB770" s="16" t="s">
        <v>110</v>
      </c>
      <c r="AC770" s="16" t="s">
        <v>3989</v>
      </c>
      <c r="AD770" s="12" t="s">
        <v>112</v>
      </c>
      <c r="AE770" s="12" t="s">
        <v>3990</v>
      </c>
      <c r="AF770" s="12" t="s">
        <v>4184</v>
      </c>
      <c r="AG770" s="12" t="s">
        <v>498</v>
      </c>
      <c r="AH770" s="12" t="s">
        <v>838</v>
      </c>
      <c r="AI770" s="12" t="s">
        <v>117</v>
      </c>
      <c r="AJ770" s="12" t="s">
        <v>4193</v>
      </c>
      <c r="AK770" s="12" t="s">
        <v>4</v>
      </c>
    </row>
    <row r="771" customFormat="false" ht="15" hidden="false" customHeight="false" outlineLevel="0" collapsed="false">
      <c r="A771" s="11" t="n">
        <v>770</v>
      </c>
      <c r="B771" s="12" t="s">
        <v>4176</v>
      </c>
      <c r="C771" s="12" t="s">
        <v>3908</v>
      </c>
      <c r="D771" s="12" t="s">
        <v>3909</v>
      </c>
      <c r="E771" s="12" t="s">
        <v>759</v>
      </c>
      <c r="F771" s="12" t="s">
        <v>4177</v>
      </c>
      <c r="G771" s="12" t="s">
        <v>830</v>
      </c>
      <c r="H771" s="12" t="s">
        <v>4178</v>
      </c>
      <c r="I771" s="12" t="s">
        <v>4179</v>
      </c>
      <c r="J771" s="13" t="s">
        <v>4180</v>
      </c>
      <c r="K771" s="12"/>
      <c r="L771" s="12" t="s">
        <v>4194</v>
      </c>
      <c r="M771" s="12" t="s">
        <v>4195</v>
      </c>
      <c r="N771" s="12" t="s">
        <v>352</v>
      </c>
      <c r="O771" s="12" t="s">
        <v>102</v>
      </c>
      <c r="P771" s="12" t="s">
        <v>103</v>
      </c>
      <c r="Q771" s="12" t="s">
        <v>104</v>
      </c>
      <c r="R771" s="14" t="n">
        <v>10</v>
      </c>
      <c r="S771" s="14" t="s">
        <v>129</v>
      </c>
      <c r="T771" s="14" t="s">
        <v>3930</v>
      </c>
      <c r="U771" s="14" t="n">
        <v>2022</v>
      </c>
      <c r="V771" s="12" t="s">
        <v>198</v>
      </c>
      <c r="W771" s="14"/>
      <c r="X771" s="15" t="n">
        <f aca="false">IF(OR($S771="%",$R771=""),"",$R771*INDEX(Cambi!$J$2:$J$5,MATCH($S771,Cambi!$I$2:$I$5,0))/IF($T771="EUR",1,INDEX(Cambi!$D:$D,MATCH($T771&amp;"|"&amp;$U771,Cambi!$C:$C,0))))</f>
        <v>2133.97067924287</v>
      </c>
      <c r="Y771" s="12" t="s">
        <v>109</v>
      </c>
      <c r="Z771" s="12" t="s">
        <v>109</v>
      </c>
      <c r="AA771" s="12" t="s">
        <v>4196</v>
      </c>
      <c r="AB771" s="16" t="s">
        <v>110</v>
      </c>
      <c r="AC771" s="16" t="s">
        <v>3989</v>
      </c>
      <c r="AD771" s="12" t="s">
        <v>112</v>
      </c>
      <c r="AE771" s="12" t="s">
        <v>3990</v>
      </c>
      <c r="AF771" s="12" t="s">
        <v>4197</v>
      </c>
      <c r="AG771" s="12" t="s">
        <v>498</v>
      </c>
      <c r="AH771" s="12" t="s">
        <v>838</v>
      </c>
      <c r="AI771" s="12" t="s">
        <v>117</v>
      </c>
      <c r="AJ771" s="12" t="s">
        <v>4198</v>
      </c>
      <c r="AK771" s="12" t="s">
        <v>4</v>
      </c>
    </row>
    <row r="772" customFormat="false" ht="15" hidden="false" customHeight="false" outlineLevel="0" collapsed="false">
      <c r="A772" s="11" t="n">
        <v>771</v>
      </c>
      <c r="B772" s="12" t="s">
        <v>4176</v>
      </c>
      <c r="C772" s="12" t="s">
        <v>3908</v>
      </c>
      <c r="D772" s="12" t="s">
        <v>3909</v>
      </c>
      <c r="E772" s="12" t="s">
        <v>759</v>
      </c>
      <c r="F772" s="12" t="s">
        <v>4177</v>
      </c>
      <c r="G772" s="12" t="s">
        <v>830</v>
      </c>
      <c r="H772" s="12" t="s">
        <v>4178</v>
      </c>
      <c r="I772" s="12" t="s">
        <v>4179</v>
      </c>
      <c r="J772" s="13" t="s">
        <v>4180</v>
      </c>
      <c r="K772" s="12"/>
      <c r="L772" s="12" t="s">
        <v>4181</v>
      </c>
      <c r="M772" s="12" t="s">
        <v>4199</v>
      </c>
      <c r="N772" s="12" t="s">
        <v>352</v>
      </c>
      <c r="O772" s="12" t="s">
        <v>102</v>
      </c>
      <c r="P772" s="12" t="s">
        <v>103</v>
      </c>
      <c r="Q772" s="12" t="s">
        <v>104</v>
      </c>
      <c r="R772" s="14" t="n">
        <v>2.1</v>
      </c>
      <c r="S772" s="14" t="s">
        <v>129</v>
      </c>
      <c r="T772" s="14" t="s">
        <v>3930</v>
      </c>
      <c r="U772" s="14" t="n">
        <v>2022</v>
      </c>
      <c r="V772" s="12" t="s">
        <v>198</v>
      </c>
      <c r="W772" s="14" t="s">
        <v>4200</v>
      </c>
      <c r="X772" s="15" t="n">
        <f aca="false">IF(OR($S772="%",$R772=""),"",$R772*INDEX(Cambi!$J$2:$J$5,MATCH($S772,Cambi!$I$2:$I$5,0))/IF($T772="EUR",1,INDEX(Cambi!$D:$D,MATCH($T772&amp;"|"&amp;$U772,Cambi!$C:$C,0))))</f>
        <v>448.133842641002</v>
      </c>
      <c r="Y772" s="12" t="s">
        <v>109</v>
      </c>
      <c r="Z772" s="12" t="s">
        <v>285</v>
      </c>
      <c r="AA772" s="12" t="s">
        <v>3995</v>
      </c>
      <c r="AB772" s="16" t="s">
        <v>110</v>
      </c>
      <c r="AC772" s="16" t="s">
        <v>3989</v>
      </c>
      <c r="AD772" s="12" t="s">
        <v>112</v>
      </c>
      <c r="AE772" s="12" t="s">
        <v>3990</v>
      </c>
      <c r="AF772" s="12" t="s">
        <v>4201</v>
      </c>
      <c r="AG772" s="12" t="s">
        <v>498</v>
      </c>
      <c r="AH772" s="12" t="s">
        <v>838</v>
      </c>
      <c r="AI772" s="12" t="s">
        <v>117</v>
      </c>
      <c r="AJ772" s="12" t="s">
        <v>4188</v>
      </c>
      <c r="AK772" s="12" t="s">
        <v>4</v>
      </c>
    </row>
    <row r="773" customFormat="false" ht="15" hidden="false" customHeight="false" outlineLevel="0" collapsed="false">
      <c r="A773" s="11" t="n">
        <v>772</v>
      </c>
      <c r="B773" s="12" t="s">
        <v>4176</v>
      </c>
      <c r="C773" s="12" t="s">
        <v>3908</v>
      </c>
      <c r="D773" s="12" t="s">
        <v>3909</v>
      </c>
      <c r="E773" s="12" t="s">
        <v>759</v>
      </c>
      <c r="F773" s="12" t="s">
        <v>4177</v>
      </c>
      <c r="G773" s="12" t="s">
        <v>830</v>
      </c>
      <c r="H773" s="12" t="s">
        <v>4178</v>
      </c>
      <c r="I773" s="12" t="s">
        <v>4179</v>
      </c>
      <c r="J773" s="13" t="s">
        <v>4180</v>
      </c>
      <c r="K773" s="12"/>
      <c r="L773" s="12" t="s">
        <v>4181</v>
      </c>
      <c r="M773" s="12" t="s">
        <v>4202</v>
      </c>
      <c r="N773" s="12" t="s">
        <v>352</v>
      </c>
      <c r="O773" s="12" t="s">
        <v>102</v>
      </c>
      <c r="P773" s="12" t="s">
        <v>103</v>
      </c>
      <c r="Q773" s="12" t="s">
        <v>104</v>
      </c>
      <c r="R773" s="14" t="n">
        <v>2.52</v>
      </c>
      <c r="S773" s="14" t="s">
        <v>129</v>
      </c>
      <c r="T773" s="14" t="s">
        <v>3930</v>
      </c>
      <c r="U773" s="14" t="n">
        <v>2024</v>
      </c>
      <c r="V773" s="12" t="s">
        <v>107</v>
      </c>
      <c r="W773" s="14" t="s">
        <v>4203</v>
      </c>
      <c r="X773" s="15" t="n">
        <f aca="false">IF(OR($S773="%",$R773=""),"",$R773*INDEX(Cambi!$J$2:$J$5,MATCH($S773,Cambi!$I$2:$I$5,0))/IF($T773="EUR",1,INDEX(Cambi!$D:$D,MATCH($T773&amp;"|"&amp;$U773,Cambi!$C:$C,0))))</f>
        <v>585.257095081054</v>
      </c>
      <c r="Y773" s="12" t="s">
        <v>109</v>
      </c>
      <c r="Z773" s="12" t="s">
        <v>285</v>
      </c>
      <c r="AA773" s="12" t="s">
        <v>3995</v>
      </c>
      <c r="AB773" s="16" t="s">
        <v>110</v>
      </c>
      <c r="AC773" s="16" t="s">
        <v>3989</v>
      </c>
      <c r="AD773" s="12" t="s">
        <v>112</v>
      </c>
      <c r="AE773" s="12" t="s">
        <v>3990</v>
      </c>
      <c r="AF773" s="12" t="s">
        <v>4184</v>
      </c>
      <c r="AG773" s="12" t="s">
        <v>498</v>
      </c>
      <c r="AH773" s="12" t="s">
        <v>838</v>
      </c>
      <c r="AI773" s="12" t="s">
        <v>117</v>
      </c>
      <c r="AJ773" s="12" t="s">
        <v>4188</v>
      </c>
      <c r="AK773" s="12" t="s">
        <v>4</v>
      </c>
    </row>
    <row r="774" customFormat="false" ht="15" hidden="false" customHeight="false" outlineLevel="0" collapsed="false">
      <c r="A774" s="11" t="n">
        <v>773</v>
      </c>
      <c r="B774" s="12" t="s">
        <v>4204</v>
      </c>
      <c r="C774" s="12" t="s">
        <v>3908</v>
      </c>
      <c r="D774" s="12" t="s">
        <v>3909</v>
      </c>
      <c r="E774" s="12" t="s">
        <v>759</v>
      </c>
      <c r="F774" s="12" t="s">
        <v>4205</v>
      </c>
      <c r="G774" s="12" t="s">
        <v>1055</v>
      </c>
      <c r="H774" s="12" t="s">
        <v>4206</v>
      </c>
      <c r="I774" s="12" t="s">
        <v>4207</v>
      </c>
      <c r="J774" s="13" t="s">
        <v>4208</v>
      </c>
      <c r="K774" s="12" t="s">
        <v>4209</v>
      </c>
      <c r="L774" s="12" t="s">
        <v>4210</v>
      </c>
      <c r="M774" s="12" t="s">
        <v>4211</v>
      </c>
      <c r="N774" s="12" t="s">
        <v>352</v>
      </c>
      <c r="O774" s="12" t="s">
        <v>102</v>
      </c>
      <c r="P774" s="12" t="s">
        <v>103</v>
      </c>
      <c r="Q774" s="12" t="s">
        <v>104</v>
      </c>
      <c r="R774" s="14" t="n">
        <v>3</v>
      </c>
      <c r="S774" s="14" t="s">
        <v>129</v>
      </c>
      <c r="T774" s="14" t="s">
        <v>3930</v>
      </c>
      <c r="U774" s="14" t="n">
        <v>2024</v>
      </c>
      <c r="V774" s="12" t="s">
        <v>157</v>
      </c>
      <c r="W774" s="14" t="s">
        <v>4212</v>
      </c>
      <c r="X774" s="15" t="n">
        <f aca="false">IF(OR($S774="%",$R774=""),"",$R774*INDEX(Cambi!$J$2:$J$5,MATCH($S774,Cambi!$I$2:$I$5,0))/IF($T774="EUR",1,INDEX(Cambi!$D:$D,MATCH($T774&amp;"|"&amp;$U774,Cambi!$C:$C,0))))</f>
        <v>696.734637001254</v>
      </c>
      <c r="Y774" s="12" t="s">
        <v>654</v>
      </c>
      <c r="Z774" s="12" t="s">
        <v>285</v>
      </c>
      <c r="AA774" s="12" t="s">
        <v>3995</v>
      </c>
      <c r="AB774" s="16" t="s">
        <v>110</v>
      </c>
      <c r="AC774" s="16" t="s">
        <v>3989</v>
      </c>
      <c r="AD774" s="12" t="s">
        <v>112</v>
      </c>
      <c r="AE774" s="12" t="s">
        <v>3990</v>
      </c>
      <c r="AF774" s="12" t="s">
        <v>4213</v>
      </c>
      <c r="AG774" s="12" t="s">
        <v>498</v>
      </c>
      <c r="AH774" s="12" t="s">
        <v>499</v>
      </c>
      <c r="AI774" s="12" t="s">
        <v>285</v>
      </c>
      <c r="AJ774" s="12" t="s">
        <v>4214</v>
      </c>
      <c r="AK774" s="12" t="s">
        <v>4</v>
      </c>
    </row>
    <row r="775" customFormat="false" ht="15" hidden="false" customHeight="false" outlineLevel="0" collapsed="false">
      <c r="A775" s="11" t="n">
        <v>774</v>
      </c>
      <c r="B775" s="12" t="s">
        <v>4215</v>
      </c>
      <c r="C775" s="12" t="s">
        <v>3908</v>
      </c>
      <c r="D775" s="12" t="s">
        <v>3909</v>
      </c>
      <c r="E775" s="12" t="s">
        <v>759</v>
      </c>
      <c r="F775" s="12" t="s">
        <v>4216</v>
      </c>
      <c r="G775" s="12" t="s">
        <v>581</v>
      </c>
      <c r="H775" s="12" t="s">
        <v>4217</v>
      </c>
      <c r="I775" s="12" t="s">
        <v>4218</v>
      </c>
      <c r="J775" s="13" t="s">
        <v>4219</v>
      </c>
      <c r="K775" s="12"/>
      <c r="L775" s="12" t="s">
        <v>4220</v>
      </c>
      <c r="M775" s="12" t="s">
        <v>4221</v>
      </c>
      <c r="N775" s="12" t="s">
        <v>212</v>
      </c>
      <c r="O775" s="12" t="s">
        <v>196</v>
      </c>
      <c r="P775" s="12" t="s">
        <v>103</v>
      </c>
      <c r="Q775" s="12" t="s">
        <v>104</v>
      </c>
      <c r="R775" s="14" t="n">
        <v>12</v>
      </c>
      <c r="S775" s="14" t="s">
        <v>197</v>
      </c>
      <c r="T775" s="14"/>
      <c r="U775" s="14" t="n">
        <v>2017</v>
      </c>
      <c r="V775" s="12" t="s">
        <v>157</v>
      </c>
      <c r="W775" s="14"/>
      <c r="X775" s="15" t="str">
        <f aca="false">IF(OR($S775="%",$R775=""),"",$R775*INDEX(Cambi!$J$2:$J$5,MATCH($S775,Cambi!$I$2:$I$5,0))/IF($T775="EUR",1,INDEX(Cambi!$D:$D,MATCH($T775&amp;"|"&amp;$U775,Cambi!$C:$C,0))))</f>
        <v/>
      </c>
      <c r="Y775" s="12" t="s">
        <v>239</v>
      </c>
      <c r="Z775" s="12" t="s">
        <v>117</v>
      </c>
      <c r="AA775" s="12" t="s">
        <v>4222</v>
      </c>
      <c r="AB775" s="12" t="s">
        <v>394</v>
      </c>
      <c r="AC775" s="12" t="s">
        <v>395</v>
      </c>
      <c r="AD775" s="12" t="s">
        <v>112</v>
      </c>
      <c r="AE775" s="12" t="s">
        <v>4223</v>
      </c>
      <c r="AF775" s="12" t="s">
        <v>4224</v>
      </c>
      <c r="AG775" s="12" t="s">
        <v>115</v>
      </c>
      <c r="AH775" s="12" t="s">
        <v>116</v>
      </c>
      <c r="AI775" s="12" t="s">
        <v>117</v>
      </c>
      <c r="AJ775" s="12" t="s">
        <v>4225</v>
      </c>
      <c r="AK775" s="12" t="s">
        <v>4</v>
      </c>
    </row>
    <row r="776" customFormat="false" ht="15" hidden="false" customHeight="false" outlineLevel="0" collapsed="false">
      <c r="A776" s="11" t="n">
        <v>775</v>
      </c>
      <c r="B776" s="12" t="s">
        <v>4215</v>
      </c>
      <c r="C776" s="12" t="s">
        <v>3908</v>
      </c>
      <c r="D776" s="12" t="s">
        <v>3909</v>
      </c>
      <c r="E776" s="12" t="s">
        <v>759</v>
      </c>
      <c r="F776" s="12" t="s">
        <v>4216</v>
      </c>
      <c r="G776" s="12" t="s">
        <v>581</v>
      </c>
      <c r="H776" s="12" t="s">
        <v>4217</v>
      </c>
      <c r="I776" s="12" t="s">
        <v>4218</v>
      </c>
      <c r="J776" s="13" t="s">
        <v>4219</v>
      </c>
      <c r="K776" s="12"/>
      <c r="L776" s="12" t="s">
        <v>4226</v>
      </c>
      <c r="M776" s="12" t="s">
        <v>4227</v>
      </c>
      <c r="N776" s="12" t="s">
        <v>195</v>
      </c>
      <c r="O776" s="12" t="s">
        <v>196</v>
      </c>
      <c r="P776" s="12" t="s">
        <v>103</v>
      </c>
      <c r="Q776" s="12" t="s">
        <v>104</v>
      </c>
      <c r="R776" s="14" t="n">
        <v>3</v>
      </c>
      <c r="S776" s="14" t="s">
        <v>197</v>
      </c>
      <c r="T776" s="14"/>
      <c r="U776" s="14" t="n">
        <v>2017</v>
      </c>
      <c r="V776" s="12" t="s">
        <v>157</v>
      </c>
      <c r="W776" s="14"/>
      <c r="X776" s="15" t="str">
        <f aca="false">IF(OR($S776="%",$R776=""),"",$R776*INDEX(Cambi!$J$2:$J$5,MATCH($S776,Cambi!$I$2:$I$5,0))/IF($T776="EUR",1,INDEX(Cambi!$D:$D,MATCH($T776&amp;"|"&amp;$U776,Cambi!$C:$C,0))))</f>
        <v/>
      </c>
      <c r="Y776" s="12" t="s">
        <v>239</v>
      </c>
      <c r="Z776" s="12" t="s">
        <v>117</v>
      </c>
      <c r="AA776" s="12" t="s">
        <v>4222</v>
      </c>
      <c r="AB776" s="12" t="s">
        <v>394</v>
      </c>
      <c r="AC776" s="12" t="s">
        <v>395</v>
      </c>
      <c r="AD776" s="12" t="s">
        <v>112</v>
      </c>
      <c r="AE776" s="12" t="s">
        <v>4223</v>
      </c>
      <c r="AF776" s="12" t="s">
        <v>4228</v>
      </c>
      <c r="AG776" s="12" t="s">
        <v>115</v>
      </c>
      <c r="AH776" s="12" t="s">
        <v>116</v>
      </c>
      <c r="AI776" s="12" t="s">
        <v>117</v>
      </c>
      <c r="AJ776" s="12" t="s">
        <v>4229</v>
      </c>
      <c r="AK776" s="12" t="s">
        <v>4</v>
      </c>
    </row>
    <row r="777" customFormat="false" ht="15" hidden="false" customHeight="false" outlineLevel="0" collapsed="false">
      <c r="A777" s="11" t="n">
        <v>776</v>
      </c>
      <c r="B777" s="12" t="s">
        <v>4215</v>
      </c>
      <c r="C777" s="12" t="s">
        <v>3908</v>
      </c>
      <c r="D777" s="12" t="s">
        <v>3909</v>
      </c>
      <c r="E777" s="12" t="s">
        <v>759</v>
      </c>
      <c r="F777" s="12" t="s">
        <v>4216</v>
      </c>
      <c r="G777" s="12" t="s">
        <v>581</v>
      </c>
      <c r="H777" s="12" t="s">
        <v>4217</v>
      </c>
      <c r="I777" s="12" t="s">
        <v>4218</v>
      </c>
      <c r="J777" s="13" t="s">
        <v>4219</v>
      </c>
      <c r="K777" s="12"/>
      <c r="L777" s="12" t="s">
        <v>4230</v>
      </c>
      <c r="M777" s="12" t="s">
        <v>4231</v>
      </c>
      <c r="N777" s="12" t="s">
        <v>212</v>
      </c>
      <c r="O777" s="12" t="s">
        <v>196</v>
      </c>
      <c r="P777" s="12" t="s">
        <v>103</v>
      </c>
      <c r="Q777" s="12" t="s">
        <v>104</v>
      </c>
      <c r="R777" s="14" t="n">
        <v>28</v>
      </c>
      <c r="S777" s="14" t="s">
        <v>197</v>
      </c>
      <c r="T777" s="14"/>
      <c r="U777" s="14" t="n">
        <v>2017</v>
      </c>
      <c r="V777" s="12" t="s">
        <v>157</v>
      </c>
      <c r="W777" s="14"/>
      <c r="X777" s="15" t="str">
        <f aca="false">IF(OR($S777="%",$R777=""),"",$R777*INDEX(Cambi!$J$2:$J$5,MATCH($S777,Cambi!$I$2:$I$5,0))/IF($T777="EUR",1,INDEX(Cambi!$D:$D,MATCH($T777&amp;"|"&amp;$U777,Cambi!$C:$C,0))))</f>
        <v/>
      </c>
      <c r="Y777" s="12" t="s">
        <v>239</v>
      </c>
      <c r="Z777" s="12" t="s">
        <v>117</v>
      </c>
      <c r="AA777" s="12" t="s">
        <v>4222</v>
      </c>
      <c r="AB777" s="12" t="s">
        <v>394</v>
      </c>
      <c r="AC777" s="12" t="s">
        <v>395</v>
      </c>
      <c r="AD777" s="12" t="s">
        <v>112</v>
      </c>
      <c r="AE777" s="12" t="s">
        <v>4223</v>
      </c>
      <c r="AF777" s="12" t="s">
        <v>4232</v>
      </c>
      <c r="AG777" s="12" t="s">
        <v>115</v>
      </c>
      <c r="AH777" s="12" t="s">
        <v>116</v>
      </c>
      <c r="AI777" s="12" t="s">
        <v>117</v>
      </c>
      <c r="AJ777" s="12" t="s">
        <v>4225</v>
      </c>
      <c r="AK777" s="12" t="s">
        <v>4</v>
      </c>
    </row>
    <row r="778" customFormat="false" ht="15" hidden="false" customHeight="false" outlineLevel="0" collapsed="false">
      <c r="A778" s="11" t="n">
        <v>777</v>
      </c>
      <c r="B778" s="12" t="s">
        <v>4204</v>
      </c>
      <c r="C778" s="12" t="s">
        <v>3908</v>
      </c>
      <c r="D778" s="12" t="s">
        <v>3909</v>
      </c>
      <c r="E778" s="12" t="s">
        <v>759</v>
      </c>
      <c r="F778" s="12" t="s">
        <v>4233</v>
      </c>
      <c r="G778" s="12" t="s">
        <v>1055</v>
      </c>
      <c r="H778" s="12" t="s">
        <v>4234</v>
      </c>
      <c r="I778" s="12" t="s">
        <v>1434</v>
      </c>
      <c r="J778" s="13" t="s">
        <v>4235</v>
      </c>
      <c r="K778" s="12" t="s">
        <v>4209</v>
      </c>
      <c r="L778" s="12" t="s">
        <v>4236</v>
      </c>
      <c r="M778" s="12" t="s">
        <v>4237</v>
      </c>
      <c r="N778" s="12" t="s">
        <v>352</v>
      </c>
      <c r="O778" s="12" t="s">
        <v>102</v>
      </c>
      <c r="P778" s="12" t="s">
        <v>103</v>
      </c>
      <c r="Q778" s="12" t="s">
        <v>104</v>
      </c>
      <c r="R778" s="14" t="n">
        <v>2.7</v>
      </c>
      <c r="S778" s="14" t="s">
        <v>129</v>
      </c>
      <c r="T778" s="14" t="s">
        <v>3930</v>
      </c>
      <c r="U778" s="14" t="n">
        <v>2024</v>
      </c>
      <c r="V778" s="12" t="s">
        <v>157</v>
      </c>
      <c r="W778" s="14"/>
      <c r="X778" s="15" t="n">
        <f aca="false">IF(OR($S778="%",$R778=""),"",$R778*INDEX(Cambi!$J$2:$J$5,MATCH($S778,Cambi!$I$2:$I$5,0))/IF($T778="EUR",1,INDEX(Cambi!$D:$D,MATCH($T778&amp;"|"&amp;$U778,Cambi!$C:$C,0))))</f>
        <v>627.061173301129</v>
      </c>
      <c r="Y778" s="12" t="s">
        <v>654</v>
      </c>
      <c r="Z778" s="12" t="s">
        <v>285</v>
      </c>
      <c r="AA778" s="12" t="s">
        <v>3995</v>
      </c>
      <c r="AB778" s="16" t="s">
        <v>110</v>
      </c>
      <c r="AC778" s="16" t="s">
        <v>3989</v>
      </c>
      <c r="AD778" s="12" t="s">
        <v>112</v>
      </c>
      <c r="AE778" s="12" t="s">
        <v>3990</v>
      </c>
      <c r="AF778" s="12" t="s">
        <v>4238</v>
      </c>
      <c r="AG778" s="12" t="s">
        <v>498</v>
      </c>
      <c r="AH778" s="12" t="s">
        <v>499</v>
      </c>
      <c r="AI778" s="12" t="s">
        <v>285</v>
      </c>
      <c r="AJ778" s="12" t="s">
        <v>4239</v>
      </c>
      <c r="AK778" s="12" t="s">
        <v>4</v>
      </c>
    </row>
    <row r="779" customFormat="false" ht="15" hidden="false" customHeight="false" outlineLevel="0" collapsed="false">
      <c r="A779" s="11" t="n">
        <v>778</v>
      </c>
      <c r="B779" s="12" t="s">
        <v>4204</v>
      </c>
      <c r="C779" s="12" t="s">
        <v>3908</v>
      </c>
      <c r="D779" s="12" t="s">
        <v>3909</v>
      </c>
      <c r="E779" s="12" t="s">
        <v>759</v>
      </c>
      <c r="F779" s="12" t="s">
        <v>4233</v>
      </c>
      <c r="G779" s="12" t="s">
        <v>1055</v>
      </c>
      <c r="H779" s="12" t="s">
        <v>4234</v>
      </c>
      <c r="I779" s="12" t="s">
        <v>1434</v>
      </c>
      <c r="J779" s="13" t="s">
        <v>4235</v>
      </c>
      <c r="K779" s="12" t="s">
        <v>4209</v>
      </c>
      <c r="L779" s="12" t="s">
        <v>4236</v>
      </c>
      <c r="M779" s="12" t="s">
        <v>4240</v>
      </c>
      <c r="N779" s="12" t="s">
        <v>352</v>
      </c>
      <c r="O779" s="12" t="s">
        <v>102</v>
      </c>
      <c r="P779" s="12" t="s">
        <v>103</v>
      </c>
      <c r="Q779" s="12" t="s">
        <v>104</v>
      </c>
      <c r="R779" s="14" t="n">
        <v>3.5</v>
      </c>
      <c r="S779" s="14" t="s">
        <v>129</v>
      </c>
      <c r="T779" s="14" t="s">
        <v>3930</v>
      </c>
      <c r="U779" s="14" t="n">
        <v>2025</v>
      </c>
      <c r="V779" s="12" t="s">
        <v>157</v>
      </c>
      <c r="W779" s="14" t="s">
        <v>4241</v>
      </c>
      <c r="X779" s="15" t="n">
        <f aca="false">IF(OR($S779="%",$R779=""),"",$R779*INDEX(Cambi!$J$2:$J$5,MATCH($S779,Cambi!$I$2:$I$5,0))/IF($T779="EUR",1,INDEX(Cambi!$D:$D,MATCH($T779&amp;"|"&amp;$U779,Cambi!$C:$C,0))))</f>
        <v>825.530108262377</v>
      </c>
      <c r="Y779" s="12" t="s">
        <v>654</v>
      </c>
      <c r="Z779" s="12" t="s">
        <v>285</v>
      </c>
      <c r="AA779" s="12" t="s">
        <v>3995</v>
      </c>
      <c r="AB779" s="16" t="s">
        <v>110</v>
      </c>
      <c r="AC779" s="16" t="s">
        <v>3989</v>
      </c>
      <c r="AD779" s="12" t="s">
        <v>112</v>
      </c>
      <c r="AE779" s="12" t="s">
        <v>3990</v>
      </c>
      <c r="AF779" s="12" t="s">
        <v>4242</v>
      </c>
      <c r="AG779" s="12" t="s">
        <v>498</v>
      </c>
      <c r="AH779" s="12" t="s">
        <v>499</v>
      </c>
      <c r="AI779" s="12" t="s">
        <v>285</v>
      </c>
      <c r="AJ779" s="12" t="s">
        <v>4243</v>
      </c>
      <c r="AK779" s="12" t="s">
        <v>4</v>
      </c>
    </row>
    <row r="780" customFormat="false" ht="15" hidden="false" customHeight="false" outlineLevel="0" collapsed="false">
      <c r="A780" s="11" t="n">
        <v>779</v>
      </c>
      <c r="B780" s="12" t="s">
        <v>3981</v>
      </c>
      <c r="C780" s="12" t="s">
        <v>3908</v>
      </c>
      <c r="D780" s="12" t="s">
        <v>3909</v>
      </c>
      <c r="E780" s="12" t="s">
        <v>759</v>
      </c>
      <c r="F780" s="12" t="s">
        <v>4244</v>
      </c>
      <c r="G780" s="12" t="s">
        <v>1055</v>
      </c>
      <c r="H780" s="12" t="s">
        <v>4245</v>
      </c>
      <c r="I780" s="12" t="s">
        <v>4246</v>
      </c>
      <c r="J780" s="13" t="s">
        <v>4247</v>
      </c>
      <c r="K780" s="12" t="s">
        <v>3985</v>
      </c>
      <c r="L780" s="12" t="s">
        <v>4248</v>
      </c>
      <c r="M780" s="12" t="s">
        <v>4249</v>
      </c>
      <c r="N780" s="12" t="s">
        <v>352</v>
      </c>
      <c r="O780" s="12" t="s">
        <v>102</v>
      </c>
      <c r="P780" s="12" t="s">
        <v>103</v>
      </c>
      <c r="Q780" s="12" t="s">
        <v>104</v>
      </c>
      <c r="R780" s="14" t="n">
        <v>2.4</v>
      </c>
      <c r="S780" s="14" t="s">
        <v>129</v>
      </c>
      <c r="T780" s="14" t="s">
        <v>3930</v>
      </c>
      <c r="U780" s="14" t="n">
        <v>2023</v>
      </c>
      <c r="V780" s="12" t="s">
        <v>157</v>
      </c>
      <c r="W780" s="14"/>
      <c r="X780" s="15" t="n">
        <f aca="false">IF(OR($S780="%",$R780=""),"",$R780*INDEX(Cambi!$J$2:$J$5,MATCH($S780,Cambi!$I$2:$I$5,0))/IF($T780="EUR",1,INDEX(Cambi!$D:$D,MATCH($T780&amp;"|"&amp;$U780,Cambi!$C:$C,0))))</f>
        <v>528.401585204756</v>
      </c>
      <c r="Y780" s="12" t="s">
        <v>109</v>
      </c>
      <c r="Z780" s="12" t="s">
        <v>285</v>
      </c>
      <c r="AA780" s="12" t="s">
        <v>3995</v>
      </c>
      <c r="AB780" s="16" t="s">
        <v>110</v>
      </c>
      <c r="AC780" s="16" t="s">
        <v>3989</v>
      </c>
      <c r="AD780" s="12" t="s">
        <v>112</v>
      </c>
      <c r="AE780" s="12" t="s">
        <v>3990</v>
      </c>
      <c r="AF780" s="12" t="s">
        <v>4250</v>
      </c>
      <c r="AG780" s="12" t="s">
        <v>498</v>
      </c>
      <c r="AH780" s="12" t="s">
        <v>499</v>
      </c>
      <c r="AI780" s="12" t="s">
        <v>285</v>
      </c>
      <c r="AJ780" s="12" t="s">
        <v>4251</v>
      </c>
      <c r="AK780" s="12" t="s">
        <v>4</v>
      </c>
    </row>
    <row r="781" customFormat="false" ht="15" hidden="false" customHeight="false" outlineLevel="0" collapsed="false">
      <c r="A781" s="11" t="n">
        <v>780</v>
      </c>
      <c r="B781" s="12" t="s">
        <v>3981</v>
      </c>
      <c r="C781" s="12" t="s">
        <v>3908</v>
      </c>
      <c r="D781" s="12" t="s">
        <v>3909</v>
      </c>
      <c r="E781" s="12" t="s">
        <v>759</v>
      </c>
      <c r="F781" s="12" t="s">
        <v>4244</v>
      </c>
      <c r="G781" s="12" t="s">
        <v>1055</v>
      </c>
      <c r="H781" s="12" t="s">
        <v>4245</v>
      </c>
      <c r="I781" s="12" t="s">
        <v>4246</v>
      </c>
      <c r="J781" s="13" t="s">
        <v>4247</v>
      </c>
      <c r="K781" s="12" t="s">
        <v>3985</v>
      </c>
      <c r="L781" s="12" t="s">
        <v>4248</v>
      </c>
      <c r="M781" s="12" t="s">
        <v>4237</v>
      </c>
      <c r="N781" s="12" t="s">
        <v>352</v>
      </c>
      <c r="O781" s="12" t="s">
        <v>102</v>
      </c>
      <c r="P781" s="12" t="s">
        <v>103</v>
      </c>
      <c r="Q781" s="12" t="s">
        <v>104</v>
      </c>
      <c r="R781" s="14" t="n">
        <v>2.7</v>
      </c>
      <c r="S781" s="14" t="s">
        <v>129</v>
      </c>
      <c r="T781" s="14" t="s">
        <v>3930</v>
      </c>
      <c r="U781" s="14" t="n">
        <v>2024</v>
      </c>
      <c r="V781" s="12" t="s">
        <v>198</v>
      </c>
      <c r="W781" s="14" t="s">
        <v>4252</v>
      </c>
      <c r="X781" s="15" t="n">
        <f aca="false">IF(OR($S781="%",$R781=""),"",$R781*INDEX(Cambi!$J$2:$J$5,MATCH($S781,Cambi!$I$2:$I$5,0))/IF($T781="EUR",1,INDEX(Cambi!$D:$D,MATCH($T781&amp;"|"&amp;$U781,Cambi!$C:$C,0))))</f>
        <v>627.061173301129</v>
      </c>
      <c r="Y781" s="12" t="s">
        <v>109</v>
      </c>
      <c r="Z781" s="12" t="s">
        <v>285</v>
      </c>
      <c r="AA781" s="12" t="s">
        <v>3995</v>
      </c>
      <c r="AB781" s="16" t="s">
        <v>110</v>
      </c>
      <c r="AC781" s="16" t="s">
        <v>3989</v>
      </c>
      <c r="AD781" s="12" t="s">
        <v>112</v>
      </c>
      <c r="AE781" s="12" t="s">
        <v>3990</v>
      </c>
      <c r="AF781" s="12" t="s">
        <v>4253</v>
      </c>
      <c r="AG781" s="12" t="s">
        <v>498</v>
      </c>
      <c r="AH781" s="12" t="s">
        <v>499</v>
      </c>
      <c r="AI781" s="12" t="s">
        <v>285</v>
      </c>
      <c r="AJ781" s="12" t="s">
        <v>4254</v>
      </c>
      <c r="AK781" s="12" t="s">
        <v>4</v>
      </c>
    </row>
    <row r="782" customFormat="false" ht="15" hidden="false" customHeight="false" outlineLevel="0" collapsed="false">
      <c r="A782" s="11" t="n">
        <v>781</v>
      </c>
      <c r="B782" s="12" t="s">
        <v>4255</v>
      </c>
      <c r="C782" s="12" t="s">
        <v>3908</v>
      </c>
      <c r="D782" s="12" t="s">
        <v>3909</v>
      </c>
      <c r="E782" s="12" t="s">
        <v>759</v>
      </c>
      <c r="F782" s="12" t="s">
        <v>4256</v>
      </c>
      <c r="G782" s="12" t="s">
        <v>771</v>
      </c>
      <c r="H782" s="12" t="s">
        <v>4257</v>
      </c>
      <c r="I782" s="12" t="s">
        <v>808</v>
      </c>
      <c r="J782" s="13" t="s">
        <v>4258</v>
      </c>
      <c r="K782" s="12"/>
      <c r="L782" s="12" t="s">
        <v>4259</v>
      </c>
      <c r="M782" s="12" t="s">
        <v>4260</v>
      </c>
      <c r="N782" s="12" t="s">
        <v>101</v>
      </c>
      <c r="O782" s="12" t="s">
        <v>102</v>
      </c>
      <c r="P782" s="12" t="s">
        <v>103</v>
      </c>
      <c r="Q782" s="12" t="s">
        <v>104</v>
      </c>
      <c r="R782" s="14" t="n">
        <v>150</v>
      </c>
      <c r="S782" s="14" t="s">
        <v>105</v>
      </c>
      <c r="T782" s="14" t="s">
        <v>3930</v>
      </c>
      <c r="U782" s="14" t="n">
        <v>2022</v>
      </c>
      <c r="V782" s="12" t="s">
        <v>157</v>
      </c>
      <c r="W782" s="14"/>
      <c r="X782" s="15" t="n">
        <f aca="false">IF(OR($S782="%",$R782=""),"",$R782*INDEX(Cambi!$J$2:$J$5,MATCH($S782,Cambi!$I$2:$I$5,0))/IF($T782="EUR",1,INDEX(Cambi!$D:$D,MATCH($T782&amp;"|"&amp;$U782,Cambi!$C:$C,0))))</f>
        <v>32.009560188643</v>
      </c>
      <c r="Y782" s="12" t="s">
        <v>108</v>
      </c>
      <c r="Z782" s="12" t="s">
        <v>117</v>
      </c>
      <c r="AA782" s="12" t="s">
        <v>4122</v>
      </c>
      <c r="AB782" s="16" t="s">
        <v>394</v>
      </c>
      <c r="AC782" s="16" t="s">
        <v>4123</v>
      </c>
      <c r="AD782" s="12" t="s">
        <v>112</v>
      </c>
      <c r="AE782" s="12" t="s">
        <v>4124</v>
      </c>
      <c r="AF782" s="12" t="s">
        <v>4261</v>
      </c>
      <c r="AG782" s="12" t="s">
        <v>115</v>
      </c>
      <c r="AH782" s="12" t="s">
        <v>116</v>
      </c>
      <c r="AI782" s="12" t="s">
        <v>117</v>
      </c>
      <c r="AJ782" s="12" t="s">
        <v>4262</v>
      </c>
      <c r="AK782" s="12" t="s">
        <v>4</v>
      </c>
    </row>
    <row r="783" customFormat="false" ht="15" hidden="false" customHeight="false" outlineLevel="0" collapsed="false">
      <c r="A783" s="11" t="n">
        <v>782</v>
      </c>
      <c r="B783" s="12" t="s">
        <v>4255</v>
      </c>
      <c r="C783" s="12" t="s">
        <v>3908</v>
      </c>
      <c r="D783" s="12" t="s">
        <v>3909</v>
      </c>
      <c r="E783" s="12" t="s">
        <v>759</v>
      </c>
      <c r="F783" s="12" t="s">
        <v>4256</v>
      </c>
      <c r="G783" s="12" t="s">
        <v>771</v>
      </c>
      <c r="H783" s="12" t="s">
        <v>4257</v>
      </c>
      <c r="I783" s="12" t="s">
        <v>808</v>
      </c>
      <c r="J783" s="13" t="s">
        <v>4258</v>
      </c>
      <c r="K783" s="12"/>
      <c r="L783" s="12" t="s">
        <v>4259</v>
      </c>
      <c r="M783" s="12" t="s">
        <v>4263</v>
      </c>
      <c r="N783" s="12" t="s">
        <v>101</v>
      </c>
      <c r="O783" s="12" t="s">
        <v>102</v>
      </c>
      <c r="P783" s="12" t="s">
        <v>103</v>
      </c>
      <c r="Q783" s="12" t="s">
        <v>104</v>
      </c>
      <c r="R783" s="14" t="n">
        <v>100</v>
      </c>
      <c r="S783" s="14" t="s">
        <v>105</v>
      </c>
      <c r="T783" s="14" t="s">
        <v>3930</v>
      </c>
      <c r="U783" s="14" t="n">
        <v>2023</v>
      </c>
      <c r="V783" s="12" t="s">
        <v>157</v>
      </c>
      <c r="W783" s="14"/>
      <c r="X783" s="15" t="n">
        <f aca="false">IF(OR($S783="%",$R783=""),"",$R783*INDEX(Cambi!$J$2:$J$5,MATCH($S783,Cambi!$I$2:$I$5,0))/IF($T783="EUR",1,INDEX(Cambi!$D:$D,MATCH($T783&amp;"|"&amp;$U783,Cambi!$C:$C,0))))</f>
        <v>22.0167327168648</v>
      </c>
      <c r="Y783" s="12" t="s">
        <v>108</v>
      </c>
      <c r="Z783" s="12" t="s">
        <v>117</v>
      </c>
      <c r="AA783" s="12" t="s">
        <v>4122</v>
      </c>
      <c r="AB783" s="16" t="s">
        <v>394</v>
      </c>
      <c r="AC783" s="16" t="s">
        <v>4123</v>
      </c>
      <c r="AD783" s="12" t="s">
        <v>112</v>
      </c>
      <c r="AE783" s="12" t="s">
        <v>4124</v>
      </c>
      <c r="AF783" s="12" t="s">
        <v>4264</v>
      </c>
      <c r="AG783" s="12" t="s">
        <v>115</v>
      </c>
      <c r="AH783" s="12" t="s">
        <v>116</v>
      </c>
      <c r="AI783" s="12" t="s">
        <v>117</v>
      </c>
      <c r="AJ783" s="12" t="s">
        <v>4262</v>
      </c>
      <c r="AK783" s="12" t="s">
        <v>4</v>
      </c>
    </row>
    <row r="784" customFormat="false" ht="15" hidden="false" customHeight="false" outlineLevel="0" collapsed="false">
      <c r="A784" s="11" t="n">
        <v>783</v>
      </c>
      <c r="B784" s="12" t="s">
        <v>4255</v>
      </c>
      <c r="C784" s="12" t="s">
        <v>3908</v>
      </c>
      <c r="D784" s="12" t="s">
        <v>3909</v>
      </c>
      <c r="E784" s="12" t="s">
        <v>759</v>
      </c>
      <c r="F784" s="12" t="s">
        <v>4256</v>
      </c>
      <c r="G784" s="12" t="s">
        <v>771</v>
      </c>
      <c r="H784" s="12" t="s">
        <v>4257</v>
      </c>
      <c r="I784" s="12" t="s">
        <v>808</v>
      </c>
      <c r="J784" s="13" t="s">
        <v>4258</v>
      </c>
      <c r="K784" s="12"/>
      <c r="L784" s="12" t="s">
        <v>4259</v>
      </c>
      <c r="M784" s="12" t="s">
        <v>4265</v>
      </c>
      <c r="N784" s="12" t="s">
        <v>101</v>
      </c>
      <c r="O784" s="12" t="s">
        <v>102</v>
      </c>
      <c r="P784" s="12" t="s">
        <v>103</v>
      </c>
      <c r="Q784" s="12" t="s">
        <v>104</v>
      </c>
      <c r="R784" s="14" t="n">
        <v>250</v>
      </c>
      <c r="S784" s="14" t="s">
        <v>105</v>
      </c>
      <c r="T784" s="14" t="s">
        <v>3930</v>
      </c>
      <c r="U784" s="14" t="n">
        <v>2025</v>
      </c>
      <c r="V784" s="12" t="s">
        <v>157</v>
      </c>
      <c r="W784" s="14"/>
      <c r="X784" s="15" t="n">
        <f aca="false">IF(OR($S784="%",$R784=""),"",$R784*INDEX(Cambi!$J$2:$J$5,MATCH($S784,Cambi!$I$2:$I$5,0))/IF($T784="EUR",1,INDEX(Cambi!$D:$D,MATCH($T784&amp;"|"&amp;$U784,Cambi!$C:$C,0))))</f>
        <v>58.9664363044555</v>
      </c>
      <c r="Y784" s="12" t="s">
        <v>108</v>
      </c>
      <c r="Z784" s="12" t="s">
        <v>117</v>
      </c>
      <c r="AA784" s="12" t="s">
        <v>4122</v>
      </c>
      <c r="AB784" s="16" t="s">
        <v>394</v>
      </c>
      <c r="AC784" s="16" t="s">
        <v>4123</v>
      </c>
      <c r="AD784" s="12" t="s">
        <v>112</v>
      </c>
      <c r="AE784" s="12" t="s">
        <v>4124</v>
      </c>
      <c r="AF784" s="12" t="s">
        <v>4266</v>
      </c>
      <c r="AG784" s="12" t="s">
        <v>115</v>
      </c>
      <c r="AH784" s="12" t="s">
        <v>116</v>
      </c>
      <c r="AI784" s="12" t="s">
        <v>117</v>
      </c>
      <c r="AJ784" s="12" t="s">
        <v>4267</v>
      </c>
      <c r="AK784" s="12" t="s">
        <v>4</v>
      </c>
    </row>
    <row r="785" customFormat="false" ht="15" hidden="false" customHeight="false" outlineLevel="0" collapsed="false">
      <c r="A785" s="11" t="n">
        <v>784</v>
      </c>
      <c r="B785" s="12" t="s">
        <v>4268</v>
      </c>
      <c r="C785" s="12" t="s">
        <v>3908</v>
      </c>
      <c r="D785" s="12" t="s">
        <v>3909</v>
      </c>
      <c r="E785" s="12" t="s">
        <v>759</v>
      </c>
      <c r="F785" s="12" t="s">
        <v>4256</v>
      </c>
      <c r="G785" s="12" t="s">
        <v>771</v>
      </c>
      <c r="H785" s="12" t="s">
        <v>4269</v>
      </c>
      <c r="I785" s="12" t="s">
        <v>847</v>
      </c>
      <c r="J785" s="13" t="s">
        <v>4270</v>
      </c>
      <c r="K785" s="12"/>
      <c r="L785" s="12" t="s">
        <v>4259</v>
      </c>
      <c r="M785" s="12" t="s">
        <v>4271</v>
      </c>
      <c r="N785" s="12" t="s">
        <v>101</v>
      </c>
      <c r="O785" s="12" t="s">
        <v>102</v>
      </c>
      <c r="P785" s="12" t="s">
        <v>103</v>
      </c>
      <c r="Q785" s="12" t="s">
        <v>104</v>
      </c>
      <c r="R785" s="14" t="n">
        <v>351.922</v>
      </c>
      <c r="S785" s="14" t="s">
        <v>105</v>
      </c>
      <c r="T785" s="14" t="s">
        <v>3930</v>
      </c>
      <c r="U785" s="14" t="n">
        <v>2026</v>
      </c>
      <c r="V785" s="12" t="s">
        <v>198</v>
      </c>
      <c r="W785" s="14"/>
      <c r="X785" s="15" t="n">
        <f aca="false">IF(OR($S785="%",$R785=""),"",$R785*INDEX(Cambi!$J$2:$J$5,MATCH($S785,Cambi!$I$2:$I$5,0))/IF($T785="EUR",1,INDEX(Cambi!$D:$D,MATCH($T785&amp;"|"&amp;$U785,Cambi!$C:$C,0))))</f>
        <v>83.0063447885464</v>
      </c>
      <c r="Y785" s="12" t="s">
        <v>108</v>
      </c>
      <c r="Z785" s="12" t="s">
        <v>117</v>
      </c>
      <c r="AA785" s="12" t="s">
        <v>4122</v>
      </c>
      <c r="AB785" s="16" t="s">
        <v>394</v>
      </c>
      <c r="AC785" s="16" t="s">
        <v>4123</v>
      </c>
      <c r="AD785" s="12" t="s">
        <v>112</v>
      </c>
      <c r="AE785" s="12" t="s">
        <v>4124</v>
      </c>
      <c r="AF785" s="12" t="s">
        <v>4272</v>
      </c>
      <c r="AG785" s="12" t="s">
        <v>115</v>
      </c>
      <c r="AH785" s="12" t="s">
        <v>116</v>
      </c>
      <c r="AI785" s="12" t="s">
        <v>117</v>
      </c>
      <c r="AJ785" s="12" t="s">
        <v>4273</v>
      </c>
      <c r="AK785" s="12" t="s">
        <v>4</v>
      </c>
    </row>
    <row r="786" customFormat="false" ht="15" hidden="false" customHeight="false" outlineLevel="0" collapsed="false">
      <c r="A786" s="11" t="n">
        <v>785</v>
      </c>
      <c r="B786" s="12" t="s">
        <v>4268</v>
      </c>
      <c r="C786" s="12" t="s">
        <v>3908</v>
      </c>
      <c r="D786" s="12" t="s">
        <v>3909</v>
      </c>
      <c r="E786" s="12" t="s">
        <v>759</v>
      </c>
      <c r="F786" s="12" t="s">
        <v>4256</v>
      </c>
      <c r="G786" s="12" t="s">
        <v>771</v>
      </c>
      <c r="H786" s="12" t="s">
        <v>4269</v>
      </c>
      <c r="I786" s="12" t="s">
        <v>847</v>
      </c>
      <c r="J786" s="13" t="s">
        <v>4270</v>
      </c>
      <c r="K786" s="12"/>
      <c r="L786" s="12" t="s">
        <v>4259</v>
      </c>
      <c r="M786" s="12" t="s">
        <v>4274</v>
      </c>
      <c r="N786" s="12" t="s">
        <v>101</v>
      </c>
      <c r="O786" s="12" t="s">
        <v>102</v>
      </c>
      <c r="P786" s="12" t="s">
        <v>103</v>
      </c>
      <c r="Q786" s="12" t="s">
        <v>104</v>
      </c>
      <c r="R786" s="14" t="n">
        <v>351.935</v>
      </c>
      <c r="S786" s="14" t="s">
        <v>105</v>
      </c>
      <c r="T786" s="14" t="s">
        <v>3930</v>
      </c>
      <c r="U786" s="14" t="n">
        <v>2027</v>
      </c>
      <c r="V786" s="12" t="s">
        <v>107</v>
      </c>
      <c r="W786" s="14"/>
      <c r="X786" s="15" t="n">
        <f aca="false">IF(OR($S786="%",$R786=""),"",$R786*INDEX(Cambi!$J$2:$J$5,MATCH($S786,Cambi!$I$2:$I$5,0))/IF($T786="EUR",1,INDEX(Cambi!$D:$D,MATCH($T786&amp;"|"&amp;$U786,Cambi!$C:$C,0))))</f>
        <v>83.0094110432342</v>
      </c>
      <c r="Y786" s="12" t="s">
        <v>108</v>
      </c>
      <c r="Z786" s="12" t="s">
        <v>117</v>
      </c>
      <c r="AA786" s="12" t="s">
        <v>4122</v>
      </c>
      <c r="AB786" s="16" t="s">
        <v>394</v>
      </c>
      <c r="AC786" s="16" t="s">
        <v>4123</v>
      </c>
      <c r="AD786" s="12" t="s">
        <v>112</v>
      </c>
      <c r="AE786" s="12" t="s">
        <v>4124</v>
      </c>
      <c r="AF786" s="12" t="s">
        <v>4275</v>
      </c>
      <c r="AG786" s="12" t="s">
        <v>115</v>
      </c>
      <c r="AH786" s="12" t="s">
        <v>116</v>
      </c>
      <c r="AI786" s="12" t="s">
        <v>117</v>
      </c>
      <c r="AJ786" s="12" t="s">
        <v>4262</v>
      </c>
      <c r="AK786" s="12" t="s">
        <v>4</v>
      </c>
    </row>
    <row r="787" customFormat="false" ht="15" hidden="false" customHeight="false" outlineLevel="0" collapsed="false">
      <c r="A787" s="11" t="n">
        <v>786</v>
      </c>
      <c r="B787" s="12" t="s">
        <v>4268</v>
      </c>
      <c r="C787" s="12" t="s">
        <v>3908</v>
      </c>
      <c r="D787" s="12" t="s">
        <v>3909</v>
      </c>
      <c r="E787" s="12" t="s">
        <v>759</v>
      </c>
      <c r="F787" s="12" t="s">
        <v>4256</v>
      </c>
      <c r="G787" s="12" t="s">
        <v>771</v>
      </c>
      <c r="H787" s="12" t="s">
        <v>4269</v>
      </c>
      <c r="I787" s="12" t="s">
        <v>847</v>
      </c>
      <c r="J787" s="13" t="s">
        <v>4270</v>
      </c>
      <c r="K787" s="12"/>
      <c r="L787" s="12" t="s">
        <v>4259</v>
      </c>
      <c r="M787" s="12" t="s">
        <v>4276</v>
      </c>
      <c r="N787" s="12" t="s">
        <v>101</v>
      </c>
      <c r="O787" s="12" t="s">
        <v>102</v>
      </c>
      <c r="P787" s="12" t="s">
        <v>103</v>
      </c>
      <c r="Q787" s="12" t="s">
        <v>104</v>
      </c>
      <c r="R787" s="14" t="n">
        <v>351.964</v>
      </c>
      <c r="S787" s="14" t="s">
        <v>105</v>
      </c>
      <c r="T787" s="14" t="s">
        <v>3930</v>
      </c>
      <c r="U787" s="14" t="n">
        <v>2028</v>
      </c>
      <c r="V787" s="12" t="s">
        <v>107</v>
      </c>
      <c r="W787" s="14"/>
      <c r="X787" s="15" t="n">
        <f aca="false">IF(OR($S787="%",$R787=""),"",$R787*INDEX(Cambi!$J$2:$J$5,MATCH($S787,Cambi!$I$2:$I$5,0))/IF($T787="EUR",1,INDEX(Cambi!$D:$D,MATCH($T787&amp;"|"&amp;$U787,Cambi!$C:$C,0))))</f>
        <v>83.0162511498455</v>
      </c>
      <c r="Y787" s="12" t="s">
        <v>108</v>
      </c>
      <c r="Z787" s="12" t="s">
        <v>117</v>
      </c>
      <c r="AA787" s="12" t="s">
        <v>4122</v>
      </c>
      <c r="AB787" s="16" t="s">
        <v>394</v>
      </c>
      <c r="AC787" s="16" t="s">
        <v>4123</v>
      </c>
      <c r="AD787" s="12" t="s">
        <v>112</v>
      </c>
      <c r="AE787" s="12" t="s">
        <v>4124</v>
      </c>
      <c r="AF787" s="12" t="s">
        <v>4277</v>
      </c>
      <c r="AG787" s="12" t="s">
        <v>115</v>
      </c>
      <c r="AH787" s="12" t="s">
        <v>116</v>
      </c>
      <c r="AI787" s="12" t="s">
        <v>117</v>
      </c>
      <c r="AJ787" s="12" t="s">
        <v>4262</v>
      </c>
      <c r="AK787" s="12" t="s">
        <v>4</v>
      </c>
    </row>
    <row r="788" customFormat="false" ht="15" hidden="false" customHeight="false" outlineLevel="0" collapsed="false">
      <c r="A788" s="11" t="n">
        <v>787</v>
      </c>
      <c r="B788" s="12" t="s">
        <v>4268</v>
      </c>
      <c r="C788" s="12" t="s">
        <v>3908</v>
      </c>
      <c r="D788" s="12" t="s">
        <v>3909</v>
      </c>
      <c r="E788" s="12" t="s">
        <v>759</v>
      </c>
      <c r="F788" s="12" t="s">
        <v>4256</v>
      </c>
      <c r="G788" s="12" t="s">
        <v>771</v>
      </c>
      <c r="H788" s="12" t="s">
        <v>4269</v>
      </c>
      <c r="I788" s="12" t="s">
        <v>847</v>
      </c>
      <c r="J788" s="13" t="s">
        <v>4270</v>
      </c>
      <c r="K788" s="12"/>
      <c r="L788" s="12" t="s">
        <v>4259</v>
      </c>
      <c r="M788" s="12" t="s">
        <v>4278</v>
      </c>
      <c r="N788" s="12" t="s">
        <v>101</v>
      </c>
      <c r="O788" s="12" t="s">
        <v>102</v>
      </c>
      <c r="P788" s="12" t="s">
        <v>103</v>
      </c>
      <c r="Q788" s="12" t="s">
        <v>104</v>
      </c>
      <c r="R788" s="14" t="n">
        <v>351.996</v>
      </c>
      <c r="S788" s="14" t="s">
        <v>105</v>
      </c>
      <c r="T788" s="14" t="s">
        <v>3930</v>
      </c>
      <c r="U788" s="14" t="n">
        <v>2029</v>
      </c>
      <c r="V788" s="12" t="s">
        <v>107</v>
      </c>
      <c r="W788" s="14"/>
      <c r="X788" s="15" t="n">
        <f aca="false">IF(OR($S788="%",$R788=""),"",$R788*INDEX(Cambi!$J$2:$J$5,MATCH($S788,Cambi!$I$2:$I$5,0))/IF($T788="EUR",1,INDEX(Cambi!$D:$D,MATCH($T788&amp;"|"&amp;$U788,Cambi!$C:$C,0))))</f>
        <v>83.0237988536925</v>
      </c>
      <c r="Y788" s="12" t="s">
        <v>108</v>
      </c>
      <c r="Z788" s="12" t="s">
        <v>117</v>
      </c>
      <c r="AA788" s="12" t="s">
        <v>4122</v>
      </c>
      <c r="AB788" s="16" t="s">
        <v>394</v>
      </c>
      <c r="AC788" s="16" t="s">
        <v>4123</v>
      </c>
      <c r="AD788" s="12" t="s">
        <v>112</v>
      </c>
      <c r="AE788" s="12" t="s">
        <v>4124</v>
      </c>
      <c r="AF788" s="12" t="s">
        <v>4279</v>
      </c>
      <c r="AG788" s="12" t="s">
        <v>115</v>
      </c>
      <c r="AH788" s="12" t="s">
        <v>116</v>
      </c>
      <c r="AI788" s="12" t="s">
        <v>117</v>
      </c>
      <c r="AJ788" s="12" t="s">
        <v>4262</v>
      </c>
      <c r="AK788" s="12" t="s">
        <v>4</v>
      </c>
    </row>
    <row r="789" customFormat="false" ht="15" hidden="false" customHeight="false" outlineLevel="0" collapsed="false">
      <c r="A789" s="11" t="n">
        <v>788</v>
      </c>
      <c r="B789" s="12" t="s">
        <v>4268</v>
      </c>
      <c r="C789" s="12" t="s">
        <v>3908</v>
      </c>
      <c r="D789" s="12" t="s">
        <v>3909</v>
      </c>
      <c r="E789" s="12" t="s">
        <v>759</v>
      </c>
      <c r="F789" s="12" t="s">
        <v>4256</v>
      </c>
      <c r="G789" s="12" t="s">
        <v>771</v>
      </c>
      <c r="H789" s="12" t="s">
        <v>4269</v>
      </c>
      <c r="I789" s="12" t="s">
        <v>847</v>
      </c>
      <c r="J789" s="13" t="s">
        <v>4270</v>
      </c>
      <c r="K789" s="12"/>
      <c r="L789" s="12" t="s">
        <v>4259</v>
      </c>
      <c r="M789" s="12" t="s">
        <v>4280</v>
      </c>
      <c r="N789" s="12" t="s">
        <v>101</v>
      </c>
      <c r="O789" s="12" t="s">
        <v>102</v>
      </c>
      <c r="P789" s="12" t="s">
        <v>103</v>
      </c>
      <c r="Q789" s="12" t="s">
        <v>104</v>
      </c>
      <c r="R789" s="14" t="n">
        <v>352.03</v>
      </c>
      <c r="S789" s="14" t="s">
        <v>105</v>
      </c>
      <c r="T789" s="14" t="s">
        <v>3930</v>
      </c>
      <c r="U789" s="14" t="n">
        <v>2030</v>
      </c>
      <c r="V789" s="12" t="s">
        <v>107</v>
      </c>
      <c r="W789" s="14"/>
      <c r="X789" s="15" t="n">
        <f aca="false">IF(OR($S789="%",$R789=""),"",$R789*INDEX(Cambi!$J$2:$J$5,MATCH($S789,Cambi!$I$2:$I$5,0))/IF($T789="EUR",1,INDEX(Cambi!$D:$D,MATCH($T789&amp;"|"&amp;$U789,Cambi!$C:$C,0))))</f>
        <v>83.0318182890299</v>
      </c>
      <c r="Y789" s="12" t="s">
        <v>108</v>
      </c>
      <c r="Z789" s="12" t="s">
        <v>117</v>
      </c>
      <c r="AA789" s="12" t="s">
        <v>4122</v>
      </c>
      <c r="AB789" s="16" t="s">
        <v>394</v>
      </c>
      <c r="AC789" s="16" t="s">
        <v>4123</v>
      </c>
      <c r="AD789" s="12" t="s">
        <v>112</v>
      </c>
      <c r="AE789" s="12" t="s">
        <v>4124</v>
      </c>
      <c r="AF789" s="12" t="s">
        <v>4281</v>
      </c>
      <c r="AG789" s="12" t="s">
        <v>115</v>
      </c>
      <c r="AH789" s="12" t="s">
        <v>116</v>
      </c>
      <c r="AI789" s="12" t="s">
        <v>117</v>
      </c>
      <c r="AJ789" s="12" t="s">
        <v>4262</v>
      </c>
      <c r="AK789" s="12" t="s">
        <v>4</v>
      </c>
    </row>
    <row r="790" customFormat="false" ht="15" hidden="false" customHeight="false" outlineLevel="0" collapsed="false">
      <c r="A790" s="11" t="n">
        <v>789</v>
      </c>
      <c r="B790" s="12" t="s">
        <v>4268</v>
      </c>
      <c r="C790" s="12" t="s">
        <v>3908</v>
      </c>
      <c r="D790" s="12" t="s">
        <v>3909</v>
      </c>
      <c r="E790" s="12" t="s">
        <v>759</v>
      </c>
      <c r="F790" s="12" t="s">
        <v>4256</v>
      </c>
      <c r="G790" s="12" t="s">
        <v>771</v>
      </c>
      <c r="H790" s="12" t="s">
        <v>4269</v>
      </c>
      <c r="I790" s="12" t="s">
        <v>847</v>
      </c>
      <c r="J790" s="13" t="s">
        <v>4270</v>
      </c>
      <c r="K790" s="12"/>
      <c r="L790" s="12" t="s">
        <v>4259</v>
      </c>
      <c r="M790" s="12" t="s">
        <v>4282</v>
      </c>
      <c r="N790" s="12" t="s">
        <v>101</v>
      </c>
      <c r="O790" s="12" t="s">
        <v>102</v>
      </c>
      <c r="P790" s="12" t="s">
        <v>103</v>
      </c>
      <c r="Q790" s="12" t="s">
        <v>104</v>
      </c>
      <c r="R790" s="14" t="n">
        <v>352.067</v>
      </c>
      <c r="S790" s="14" t="s">
        <v>105</v>
      </c>
      <c r="T790" s="14" t="s">
        <v>3930</v>
      </c>
      <c r="U790" s="14" t="n">
        <v>2031</v>
      </c>
      <c r="V790" s="12" t="s">
        <v>107</v>
      </c>
      <c r="W790" s="14"/>
      <c r="X790" s="15" t="n">
        <f aca="false">IF(OR($S790="%",$R790=""),"",$R790*INDEX(Cambi!$J$2:$J$5,MATCH($S790,Cambi!$I$2:$I$5,0))/IF($T790="EUR",1,INDEX(Cambi!$D:$D,MATCH($T790&amp;"|"&amp;$U790,Cambi!$C:$C,0))))</f>
        <v>83.040545321603</v>
      </c>
      <c r="Y790" s="12" t="s">
        <v>108</v>
      </c>
      <c r="Z790" s="12" t="s">
        <v>117</v>
      </c>
      <c r="AA790" s="12" t="s">
        <v>4122</v>
      </c>
      <c r="AB790" s="16" t="s">
        <v>394</v>
      </c>
      <c r="AC790" s="16" t="s">
        <v>4123</v>
      </c>
      <c r="AD790" s="12" t="s">
        <v>112</v>
      </c>
      <c r="AE790" s="12" t="s">
        <v>4124</v>
      </c>
      <c r="AF790" s="12" t="s">
        <v>4283</v>
      </c>
      <c r="AG790" s="12" t="s">
        <v>115</v>
      </c>
      <c r="AH790" s="12" t="s">
        <v>116</v>
      </c>
      <c r="AI790" s="12" t="s">
        <v>117</v>
      </c>
      <c r="AJ790" s="12" t="s">
        <v>4262</v>
      </c>
      <c r="AK790" s="12" t="s">
        <v>4</v>
      </c>
    </row>
    <row r="791" customFormat="false" ht="15" hidden="false" customHeight="false" outlineLevel="0" collapsed="false">
      <c r="A791" s="11" t="n">
        <v>790</v>
      </c>
      <c r="B791" s="12" t="s">
        <v>4284</v>
      </c>
      <c r="C791" s="12" t="s">
        <v>3908</v>
      </c>
      <c r="D791" s="12" t="s">
        <v>3909</v>
      </c>
      <c r="E791" s="12" t="s">
        <v>759</v>
      </c>
      <c r="F791" s="12" t="s">
        <v>56</v>
      </c>
      <c r="G791" s="12" t="s">
        <v>830</v>
      </c>
      <c r="H791" s="12" t="s">
        <v>4285</v>
      </c>
      <c r="I791" s="12" t="s">
        <v>4286</v>
      </c>
      <c r="J791" s="13" t="s">
        <v>4287</v>
      </c>
      <c r="K791" s="12" t="s">
        <v>4288</v>
      </c>
      <c r="L791" s="12" t="s">
        <v>4289</v>
      </c>
      <c r="M791" s="12" t="s">
        <v>4290</v>
      </c>
      <c r="N791" s="12" t="s">
        <v>352</v>
      </c>
      <c r="O791" s="12" t="s">
        <v>102</v>
      </c>
      <c r="P791" s="12" t="s">
        <v>103</v>
      </c>
      <c r="Q791" s="12" t="s">
        <v>104</v>
      </c>
      <c r="R791" s="14" t="n">
        <v>1.52</v>
      </c>
      <c r="S791" s="14" t="s">
        <v>129</v>
      </c>
      <c r="T791" s="14" t="s">
        <v>653</v>
      </c>
      <c r="U791" s="14" t="n">
        <v>2024</v>
      </c>
      <c r="V791" s="12" t="s">
        <v>198</v>
      </c>
      <c r="W791" s="14" t="s">
        <v>4291</v>
      </c>
      <c r="X791" s="15" t="n">
        <f aca="false">IF(OR($S791="%",$R791=""),"",$R791*INDEX(Cambi!$J$2:$J$5,MATCH($S791,Cambi!$I$2:$I$5,0))/IF($T791="EUR",1,INDEX(Cambi!$D:$D,MATCH($T791&amp;"|"&amp;$U791,Cambi!$C:$C,0))))</f>
        <v>1404.28677014043</v>
      </c>
      <c r="Y791" s="12" t="s">
        <v>109</v>
      </c>
      <c r="Z791" s="12" t="s">
        <v>109</v>
      </c>
      <c r="AA791" s="12" t="s">
        <v>109</v>
      </c>
      <c r="AB791" s="16" t="s">
        <v>110</v>
      </c>
      <c r="AC791" s="16" t="s">
        <v>4292</v>
      </c>
      <c r="AD791" s="12" t="s">
        <v>281</v>
      </c>
      <c r="AE791" s="12" t="s">
        <v>1196</v>
      </c>
      <c r="AF791" s="12" t="s">
        <v>4293</v>
      </c>
      <c r="AG791" s="12" t="s">
        <v>284</v>
      </c>
      <c r="AH791" s="12" t="s">
        <v>838</v>
      </c>
      <c r="AI791" s="12" t="s">
        <v>285</v>
      </c>
      <c r="AJ791" s="12" t="s">
        <v>4294</v>
      </c>
      <c r="AK791" s="12" t="s">
        <v>4</v>
      </c>
    </row>
    <row r="792" customFormat="false" ht="15" hidden="false" customHeight="false" outlineLevel="0" collapsed="false">
      <c r="A792" s="11" t="n">
        <v>791</v>
      </c>
      <c r="B792" s="12" t="s">
        <v>4295</v>
      </c>
      <c r="C792" s="12" t="s">
        <v>3908</v>
      </c>
      <c r="D792" s="12" t="s">
        <v>3909</v>
      </c>
      <c r="E792" s="12" t="s">
        <v>759</v>
      </c>
      <c r="F792" s="12" t="s">
        <v>927</v>
      </c>
      <c r="G792" s="12" t="s">
        <v>830</v>
      </c>
      <c r="H792" s="12" t="s">
        <v>4296</v>
      </c>
      <c r="I792" s="12" t="s">
        <v>4297</v>
      </c>
      <c r="J792" s="13" t="s">
        <v>4298</v>
      </c>
      <c r="K792" s="12"/>
      <c r="L792" s="12" t="s">
        <v>4140</v>
      </c>
      <c r="M792" s="12" t="s">
        <v>4299</v>
      </c>
      <c r="N792" s="12" t="s">
        <v>352</v>
      </c>
      <c r="O792" s="12" t="s">
        <v>102</v>
      </c>
      <c r="P792" s="12" t="s">
        <v>103</v>
      </c>
      <c r="Q792" s="12" t="s">
        <v>104</v>
      </c>
      <c r="R792" s="14" t="n">
        <v>1.8</v>
      </c>
      <c r="S792" s="14" t="s">
        <v>129</v>
      </c>
      <c r="T792" s="14" t="s">
        <v>653</v>
      </c>
      <c r="U792" s="14" t="n">
        <v>2024</v>
      </c>
      <c r="V792" s="12" t="s">
        <v>157</v>
      </c>
      <c r="W792" s="14" t="s">
        <v>4300</v>
      </c>
      <c r="X792" s="15" t="n">
        <f aca="false">IF(OR($S792="%",$R792=""),"",$R792*INDEX(Cambi!$J$2:$J$5,MATCH($S792,Cambi!$I$2:$I$5,0))/IF($T792="EUR",1,INDEX(Cambi!$D:$D,MATCH($T792&amp;"|"&amp;$U792,Cambi!$C:$C,0))))</f>
        <v>1662.9711751663</v>
      </c>
      <c r="Y792" s="12" t="s">
        <v>654</v>
      </c>
      <c r="Z792" s="12" t="s">
        <v>109</v>
      </c>
      <c r="AA792" s="12" t="s">
        <v>109</v>
      </c>
      <c r="AB792" s="16" t="s">
        <v>110</v>
      </c>
      <c r="AC792" s="16" t="s">
        <v>3943</v>
      </c>
      <c r="AD792" s="12" t="s">
        <v>112</v>
      </c>
      <c r="AE792" s="12" t="s">
        <v>1196</v>
      </c>
      <c r="AF792" s="12" t="s">
        <v>4301</v>
      </c>
      <c r="AG792" s="12" t="s">
        <v>284</v>
      </c>
      <c r="AH792" s="12" t="s">
        <v>838</v>
      </c>
      <c r="AI792" s="12" t="s">
        <v>117</v>
      </c>
      <c r="AJ792" s="12" t="s">
        <v>4302</v>
      </c>
      <c r="AK792" s="12" t="s">
        <v>4</v>
      </c>
    </row>
    <row r="793" customFormat="false" ht="15" hidden="false" customHeight="false" outlineLevel="0" collapsed="false">
      <c r="A793" s="11" t="n">
        <v>792</v>
      </c>
      <c r="B793" s="12" t="s">
        <v>4295</v>
      </c>
      <c r="C793" s="12" t="s">
        <v>3908</v>
      </c>
      <c r="D793" s="12" t="s">
        <v>3909</v>
      </c>
      <c r="E793" s="12" t="s">
        <v>759</v>
      </c>
      <c r="F793" s="12" t="s">
        <v>927</v>
      </c>
      <c r="G793" s="12" t="s">
        <v>830</v>
      </c>
      <c r="H793" s="12" t="s">
        <v>4296</v>
      </c>
      <c r="I793" s="12" t="s">
        <v>4297</v>
      </c>
      <c r="J793" s="13" t="s">
        <v>4298</v>
      </c>
      <c r="K793" s="12"/>
      <c r="L793" s="12" t="s">
        <v>4140</v>
      </c>
      <c r="M793" s="12" t="s">
        <v>4303</v>
      </c>
      <c r="N793" s="12" t="s">
        <v>352</v>
      </c>
      <c r="O793" s="12" t="s">
        <v>102</v>
      </c>
      <c r="P793" s="12" t="s">
        <v>103</v>
      </c>
      <c r="Q793" s="12" t="s">
        <v>104</v>
      </c>
      <c r="R793" s="14" t="n">
        <v>5</v>
      </c>
      <c r="S793" s="14" t="s">
        <v>129</v>
      </c>
      <c r="T793" s="14" t="s">
        <v>653</v>
      </c>
      <c r="U793" s="14" t="n">
        <v>2032</v>
      </c>
      <c r="V793" s="12" t="s">
        <v>107</v>
      </c>
      <c r="W793" s="14" t="s">
        <v>4300</v>
      </c>
      <c r="X793" s="15" t="n">
        <f aca="false">IF(OR($S793="%",$R793=""),"",$R793*INDEX(Cambi!$J$2:$J$5,MATCH($S793,Cambi!$I$2:$I$5,0))/IF($T793="EUR",1,INDEX(Cambi!$D:$D,MATCH($T793&amp;"|"&amp;$U793,Cambi!$C:$C,0))))</f>
        <v>4424.77876106195</v>
      </c>
      <c r="Y793" s="12" t="s">
        <v>654</v>
      </c>
      <c r="Z793" s="12" t="s">
        <v>109</v>
      </c>
      <c r="AA793" s="12" t="s">
        <v>109</v>
      </c>
      <c r="AB793" s="16" t="s">
        <v>110</v>
      </c>
      <c r="AC793" s="16" t="s">
        <v>3943</v>
      </c>
      <c r="AD793" s="12" t="s">
        <v>112</v>
      </c>
      <c r="AE793" s="12" t="s">
        <v>1196</v>
      </c>
      <c r="AF793" s="12" t="s">
        <v>4301</v>
      </c>
      <c r="AG793" s="12" t="s">
        <v>284</v>
      </c>
      <c r="AH793" s="12" t="s">
        <v>838</v>
      </c>
      <c r="AI793" s="12" t="s">
        <v>117</v>
      </c>
      <c r="AJ793" s="12" t="s">
        <v>4304</v>
      </c>
      <c r="AK793" s="12" t="s">
        <v>4</v>
      </c>
    </row>
    <row r="794" customFormat="false" ht="15" hidden="false" customHeight="false" outlineLevel="0" collapsed="false">
      <c r="A794" s="11" t="n">
        <v>793</v>
      </c>
      <c r="B794" s="12" t="s">
        <v>4305</v>
      </c>
      <c r="C794" s="12" t="s">
        <v>3908</v>
      </c>
      <c r="D794" s="12" t="s">
        <v>3909</v>
      </c>
      <c r="E794" s="12" t="s">
        <v>759</v>
      </c>
      <c r="F794" s="12" t="s">
        <v>4306</v>
      </c>
      <c r="G794" s="12" t="s">
        <v>345</v>
      </c>
      <c r="H794" s="12" t="s">
        <v>4307</v>
      </c>
      <c r="I794" s="12" t="s">
        <v>3161</v>
      </c>
      <c r="J794" s="13" t="s">
        <v>4308</v>
      </c>
      <c r="K794" s="12" t="s">
        <v>4309</v>
      </c>
      <c r="L794" s="12" t="s">
        <v>4310</v>
      </c>
      <c r="M794" s="12" t="s">
        <v>4311</v>
      </c>
      <c r="N794" s="12" t="s">
        <v>352</v>
      </c>
      <c r="O794" s="12" t="s">
        <v>102</v>
      </c>
      <c r="P794" s="12" t="s">
        <v>103</v>
      </c>
      <c r="Q794" s="12" t="s">
        <v>104</v>
      </c>
      <c r="R794" s="14" t="n">
        <v>2</v>
      </c>
      <c r="S794" s="14" t="s">
        <v>129</v>
      </c>
      <c r="T794" s="14" t="s">
        <v>3930</v>
      </c>
      <c r="U794" s="14" t="n">
        <v>2023</v>
      </c>
      <c r="V794" s="12" t="s">
        <v>157</v>
      </c>
      <c r="W794" s="14"/>
      <c r="X794" s="15" t="n">
        <f aca="false">IF(OR($S794="%",$R794=""),"",$R794*INDEX(Cambi!$J$2:$J$5,MATCH($S794,Cambi!$I$2:$I$5,0))/IF($T794="EUR",1,INDEX(Cambi!$D:$D,MATCH($T794&amp;"|"&amp;$U794,Cambi!$C:$C,0))))</f>
        <v>440.334654337296</v>
      </c>
      <c r="Y794" s="12" t="s">
        <v>109</v>
      </c>
      <c r="Z794" s="12" t="s">
        <v>109</v>
      </c>
      <c r="AA794" s="12" t="s">
        <v>109</v>
      </c>
      <c r="AB794" s="16" t="s">
        <v>110</v>
      </c>
      <c r="AC794" s="16" t="s">
        <v>4312</v>
      </c>
      <c r="AD794" s="12" t="s">
        <v>281</v>
      </c>
      <c r="AE794" s="12" t="s">
        <v>1196</v>
      </c>
      <c r="AF794" s="12" t="s">
        <v>4313</v>
      </c>
      <c r="AG794" s="12" t="s">
        <v>284</v>
      </c>
      <c r="AH794" s="12" t="s">
        <v>499</v>
      </c>
      <c r="AI794" s="12" t="s">
        <v>285</v>
      </c>
      <c r="AJ794" s="12" t="s">
        <v>4314</v>
      </c>
      <c r="AK794" s="12" t="s">
        <v>4</v>
      </c>
    </row>
    <row r="795" customFormat="false" ht="15" hidden="false" customHeight="false" outlineLevel="0" collapsed="false">
      <c r="A795" s="11" t="n">
        <v>794</v>
      </c>
      <c r="B795" s="12" t="s">
        <v>4305</v>
      </c>
      <c r="C795" s="12" t="s">
        <v>3908</v>
      </c>
      <c r="D795" s="12" t="s">
        <v>3909</v>
      </c>
      <c r="E795" s="12" t="s">
        <v>759</v>
      </c>
      <c r="F795" s="12" t="s">
        <v>4306</v>
      </c>
      <c r="G795" s="12" t="s">
        <v>345</v>
      </c>
      <c r="H795" s="12" t="s">
        <v>4307</v>
      </c>
      <c r="I795" s="12" t="s">
        <v>3161</v>
      </c>
      <c r="J795" s="13" t="s">
        <v>4308</v>
      </c>
      <c r="K795" s="12" t="s">
        <v>4309</v>
      </c>
      <c r="L795" s="12" t="s">
        <v>4310</v>
      </c>
      <c r="M795" s="12" t="s">
        <v>4315</v>
      </c>
      <c r="N795" s="12" t="s">
        <v>352</v>
      </c>
      <c r="O795" s="12" t="s">
        <v>102</v>
      </c>
      <c r="P795" s="12" t="s">
        <v>103</v>
      </c>
      <c r="Q795" s="12" t="s">
        <v>104</v>
      </c>
      <c r="R795" s="14" t="n">
        <v>2.5</v>
      </c>
      <c r="S795" s="14" t="s">
        <v>129</v>
      </c>
      <c r="T795" s="14" t="s">
        <v>3930</v>
      </c>
      <c r="U795" s="14" t="n">
        <v>2024</v>
      </c>
      <c r="V795" s="12" t="s">
        <v>157</v>
      </c>
      <c r="W795" s="14" t="s">
        <v>4316</v>
      </c>
      <c r="X795" s="15" t="n">
        <f aca="false">IF(OR($S795="%",$R795=""),"",$R795*INDEX(Cambi!$J$2:$J$5,MATCH($S795,Cambi!$I$2:$I$5,0))/IF($T795="EUR",1,INDEX(Cambi!$D:$D,MATCH($T795&amp;"|"&amp;$U795,Cambi!$C:$C,0))))</f>
        <v>580.612197501045</v>
      </c>
      <c r="Y795" s="12" t="s">
        <v>109</v>
      </c>
      <c r="Z795" s="12" t="s">
        <v>109</v>
      </c>
      <c r="AA795" s="12" t="s">
        <v>109</v>
      </c>
      <c r="AB795" s="16" t="s">
        <v>110</v>
      </c>
      <c r="AC795" s="16" t="s">
        <v>4312</v>
      </c>
      <c r="AD795" s="12" t="s">
        <v>281</v>
      </c>
      <c r="AE795" s="12" t="s">
        <v>1196</v>
      </c>
      <c r="AF795" s="12" t="s">
        <v>4313</v>
      </c>
      <c r="AG795" s="12" t="s">
        <v>284</v>
      </c>
      <c r="AH795" s="12" t="s">
        <v>499</v>
      </c>
      <c r="AI795" s="12" t="s">
        <v>285</v>
      </c>
      <c r="AJ795" s="12" t="s">
        <v>4317</v>
      </c>
      <c r="AK795" s="12" t="s">
        <v>4</v>
      </c>
    </row>
    <row r="796" customFormat="false" ht="15" hidden="false" customHeight="false" outlineLevel="0" collapsed="false">
      <c r="A796" s="11" t="n">
        <v>795</v>
      </c>
      <c r="B796" s="12" t="s">
        <v>4318</v>
      </c>
      <c r="C796" s="12" t="s">
        <v>4319</v>
      </c>
      <c r="D796" s="12" t="s">
        <v>4320</v>
      </c>
      <c r="E796" s="12" t="s">
        <v>759</v>
      </c>
      <c r="F796" s="12" t="s">
        <v>4321</v>
      </c>
      <c r="G796" s="12" t="s">
        <v>771</v>
      </c>
      <c r="H796" s="12" t="s">
        <v>4322</v>
      </c>
      <c r="I796" s="12" t="s">
        <v>181</v>
      </c>
      <c r="J796" s="13" t="s">
        <v>4323</v>
      </c>
      <c r="K796" s="12"/>
      <c r="L796" s="12" t="s">
        <v>4324</v>
      </c>
      <c r="M796" s="12" t="s">
        <v>4325</v>
      </c>
      <c r="N796" s="12" t="s">
        <v>101</v>
      </c>
      <c r="O796" s="12" t="s">
        <v>102</v>
      </c>
      <c r="P796" s="12" t="s">
        <v>103</v>
      </c>
      <c r="Q796" s="12" t="s">
        <v>104</v>
      </c>
      <c r="R796" s="14" t="n">
        <v>8.099032</v>
      </c>
      <c r="S796" s="14" t="s">
        <v>105</v>
      </c>
      <c r="T796" s="14" t="s">
        <v>106</v>
      </c>
      <c r="U796" s="14" t="n">
        <v>2025</v>
      </c>
      <c r="V796" s="12" t="s">
        <v>107</v>
      </c>
      <c r="W796" s="14"/>
      <c r="X796" s="15" t="n">
        <f aca="false">IF(OR($S796="%",$R796=""),"",$R796*INDEX(Cambi!$J$2:$J$5,MATCH($S796,Cambi!$I$2:$I$5,0))/IF($T796="EUR",1,INDEX(Cambi!$D:$D,MATCH($T796&amp;"|"&amp;$U796,Cambi!$C:$C,0))))</f>
        <v>8.099032</v>
      </c>
      <c r="Y796" s="12" t="s">
        <v>108</v>
      </c>
      <c r="Z796" s="12" t="s">
        <v>109</v>
      </c>
      <c r="AA796" s="12" t="s">
        <v>109</v>
      </c>
      <c r="AB796" s="16" t="s">
        <v>394</v>
      </c>
      <c r="AC796" s="16" t="s">
        <v>4326</v>
      </c>
      <c r="AD796" s="12" t="s">
        <v>112</v>
      </c>
      <c r="AE796" s="12" t="s">
        <v>4327</v>
      </c>
      <c r="AF796" s="12" t="s">
        <v>4328</v>
      </c>
      <c r="AG796" s="12" t="s">
        <v>115</v>
      </c>
      <c r="AH796" s="12" t="s">
        <v>116</v>
      </c>
      <c r="AI796" s="12" t="s">
        <v>117</v>
      </c>
      <c r="AJ796" s="12" t="s">
        <v>4329</v>
      </c>
      <c r="AK796" s="12" t="s">
        <v>4</v>
      </c>
    </row>
    <row r="797" customFormat="false" ht="15" hidden="false" customHeight="false" outlineLevel="0" collapsed="false">
      <c r="A797" s="11" t="n">
        <v>796</v>
      </c>
      <c r="B797" s="12" t="s">
        <v>4318</v>
      </c>
      <c r="C797" s="12" t="s">
        <v>4319</v>
      </c>
      <c r="D797" s="12" t="s">
        <v>4320</v>
      </c>
      <c r="E797" s="12" t="s">
        <v>759</v>
      </c>
      <c r="F797" s="12" t="s">
        <v>4321</v>
      </c>
      <c r="G797" s="12" t="s">
        <v>771</v>
      </c>
      <c r="H797" s="12" t="s">
        <v>4322</v>
      </c>
      <c r="I797" s="12" t="s">
        <v>181</v>
      </c>
      <c r="J797" s="13" t="s">
        <v>4323</v>
      </c>
      <c r="K797" s="12"/>
      <c r="L797" s="12" t="s">
        <v>4330</v>
      </c>
      <c r="M797" s="12" t="s">
        <v>4331</v>
      </c>
      <c r="N797" s="12" t="s">
        <v>101</v>
      </c>
      <c r="O797" s="12" t="s">
        <v>102</v>
      </c>
      <c r="P797" s="12" t="s">
        <v>103</v>
      </c>
      <c r="Q797" s="12" t="s">
        <v>104</v>
      </c>
      <c r="R797" s="14" t="n">
        <v>5.245801</v>
      </c>
      <c r="S797" s="14" t="s">
        <v>105</v>
      </c>
      <c r="T797" s="14" t="s">
        <v>106</v>
      </c>
      <c r="U797" s="14" t="n">
        <v>2025</v>
      </c>
      <c r="V797" s="12" t="s">
        <v>107</v>
      </c>
      <c r="W797" s="14"/>
      <c r="X797" s="15" t="n">
        <f aca="false">IF(OR($S797="%",$R797=""),"",$R797*INDEX(Cambi!$J$2:$J$5,MATCH($S797,Cambi!$I$2:$I$5,0))/IF($T797="EUR",1,INDEX(Cambi!$D:$D,MATCH($T797&amp;"|"&amp;$U797,Cambi!$C:$C,0))))</f>
        <v>5.245801</v>
      </c>
      <c r="Y797" s="12" t="s">
        <v>108</v>
      </c>
      <c r="Z797" s="12" t="s">
        <v>109</v>
      </c>
      <c r="AA797" s="12" t="s">
        <v>109</v>
      </c>
      <c r="AB797" s="16" t="s">
        <v>394</v>
      </c>
      <c r="AC797" s="16" t="s">
        <v>4326</v>
      </c>
      <c r="AD797" s="12" t="s">
        <v>112</v>
      </c>
      <c r="AE797" s="12" t="s">
        <v>4327</v>
      </c>
      <c r="AF797" s="12" t="s">
        <v>4332</v>
      </c>
      <c r="AG797" s="12" t="s">
        <v>115</v>
      </c>
      <c r="AH797" s="12" t="s">
        <v>116</v>
      </c>
      <c r="AI797" s="12" t="s">
        <v>117</v>
      </c>
      <c r="AJ797" s="12" t="s">
        <v>4333</v>
      </c>
      <c r="AK797" s="12" t="s">
        <v>4</v>
      </c>
    </row>
    <row r="798" customFormat="false" ht="15" hidden="false" customHeight="false" outlineLevel="0" collapsed="false">
      <c r="A798" s="11" t="n">
        <v>797</v>
      </c>
      <c r="B798" s="12" t="s">
        <v>4318</v>
      </c>
      <c r="C798" s="12" t="s">
        <v>4319</v>
      </c>
      <c r="D798" s="12" t="s">
        <v>4320</v>
      </c>
      <c r="E798" s="12" t="s">
        <v>759</v>
      </c>
      <c r="F798" s="12" t="s">
        <v>4321</v>
      </c>
      <c r="G798" s="12" t="s">
        <v>771</v>
      </c>
      <c r="H798" s="12" t="s">
        <v>4322</v>
      </c>
      <c r="I798" s="12" t="s">
        <v>181</v>
      </c>
      <c r="J798" s="13" t="s">
        <v>4323</v>
      </c>
      <c r="K798" s="12"/>
      <c r="L798" s="12" t="s">
        <v>4334</v>
      </c>
      <c r="M798" s="12" t="s">
        <v>4335</v>
      </c>
      <c r="N798" s="12" t="s">
        <v>101</v>
      </c>
      <c r="O798" s="12" t="s">
        <v>102</v>
      </c>
      <c r="P798" s="12" t="s">
        <v>103</v>
      </c>
      <c r="Q798" s="12" t="s">
        <v>104</v>
      </c>
      <c r="R798" s="14" t="n">
        <v>34.352843</v>
      </c>
      <c r="S798" s="14" t="s">
        <v>105</v>
      </c>
      <c r="T798" s="14" t="s">
        <v>106</v>
      </c>
      <c r="U798" s="14" t="n">
        <v>2025</v>
      </c>
      <c r="V798" s="12" t="s">
        <v>107</v>
      </c>
      <c r="W798" s="14"/>
      <c r="X798" s="15" t="n">
        <f aca="false">IF(OR($S798="%",$R798=""),"",$R798*INDEX(Cambi!$J$2:$J$5,MATCH($S798,Cambi!$I$2:$I$5,0))/IF($T798="EUR",1,INDEX(Cambi!$D:$D,MATCH($T798&amp;"|"&amp;$U798,Cambi!$C:$C,0))))</f>
        <v>34.352843</v>
      </c>
      <c r="Y798" s="12" t="s">
        <v>108</v>
      </c>
      <c r="Z798" s="12" t="s">
        <v>109</v>
      </c>
      <c r="AA798" s="12" t="s">
        <v>109</v>
      </c>
      <c r="AB798" s="16" t="s">
        <v>394</v>
      </c>
      <c r="AC798" s="16" t="s">
        <v>4326</v>
      </c>
      <c r="AD798" s="12" t="s">
        <v>112</v>
      </c>
      <c r="AE798" s="12" t="s">
        <v>4327</v>
      </c>
      <c r="AF798" s="12" t="s">
        <v>4336</v>
      </c>
      <c r="AG798" s="12" t="s">
        <v>115</v>
      </c>
      <c r="AH798" s="12" t="s">
        <v>116</v>
      </c>
      <c r="AI798" s="12" t="s">
        <v>117</v>
      </c>
      <c r="AJ798" s="12" t="s">
        <v>4337</v>
      </c>
      <c r="AK798" s="12" t="s">
        <v>4</v>
      </c>
    </row>
    <row r="799" customFormat="false" ht="15" hidden="false" customHeight="false" outlineLevel="0" collapsed="false">
      <c r="A799" s="11" t="n">
        <v>798</v>
      </c>
      <c r="B799" s="12" t="s">
        <v>4338</v>
      </c>
      <c r="C799" s="12" t="s">
        <v>4319</v>
      </c>
      <c r="D799" s="12" t="s">
        <v>4320</v>
      </c>
      <c r="E799" s="12" t="s">
        <v>759</v>
      </c>
      <c r="F799" s="12" t="s">
        <v>4339</v>
      </c>
      <c r="G799" s="12" t="s">
        <v>771</v>
      </c>
      <c r="H799" s="12" t="s">
        <v>4340</v>
      </c>
      <c r="I799" s="12" t="s">
        <v>4341</v>
      </c>
      <c r="J799" s="13" t="s">
        <v>4342</v>
      </c>
      <c r="K799" s="12"/>
      <c r="L799" s="12" t="s">
        <v>4343</v>
      </c>
      <c r="M799" s="12" t="s">
        <v>4344</v>
      </c>
      <c r="N799" s="12" t="s">
        <v>101</v>
      </c>
      <c r="O799" s="12" t="s">
        <v>102</v>
      </c>
      <c r="P799" s="12" t="s">
        <v>103</v>
      </c>
      <c r="Q799" s="12" t="s">
        <v>104</v>
      </c>
      <c r="R799" s="14" t="n">
        <v>47</v>
      </c>
      <c r="S799" s="14" t="s">
        <v>105</v>
      </c>
      <c r="T799" s="14" t="s">
        <v>106</v>
      </c>
      <c r="U799" s="14" t="n">
        <v>2026</v>
      </c>
      <c r="V799" s="12" t="s">
        <v>107</v>
      </c>
      <c r="W799" s="14"/>
      <c r="X799" s="15" t="n">
        <f aca="false">IF(OR($S799="%",$R799=""),"",$R799*INDEX(Cambi!$J$2:$J$5,MATCH($S799,Cambi!$I$2:$I$5,0))/IF($T799="EUR",1,INDEX(Cambi!$D:$D,MATCH($T799&amp;"|"&amp;$U799,Cambi!$C:$C,0))))</f>
        <v>47</v>
      </c>
      <c r="Y799" s="12" t="s">
        <v>130</v>
      </c>
      <c r="Z799" s="12" t="s">
        <v>109</v>
      </c>
      <c r="AA799" s="12" t="s">
        <v>109</v>
      </c>
      <c r="AB799" s="16" t="s">
        <v>394</v>
      </c>
      <c r="AC799" s="16" t="s">
        <v>4345</v>
      </c>
      <c r="AD799" s="12" t="s">
        <v>112</v>
      </c>
      <c r="AE799" s="12" t="s">
        <v>4346</v>
      </c>
      <c r="AF799" s="12" t="s">
        <v>4347</v>
      </c>
      <c r="AG799" s="12" t="s">
        <v>115</v>
      </c>
      <c r="AH799" s="12" t="s">
        <v>116</v>
      </c>
      <c r="AI799" s="12" t="s">
        <v>117</v>
      </c>
      <c r="AJ799" s="12" t="s">
        <v>4348</v>
      </c>
      <c r="AK799" s="12" t="s">
        <v>4</v>
      </c>
    </row>
    <row r="800" customFormat="false" ht="15" hidden="false" customHeight="false" outlineLevel="0" collapsed="false">
      <c r="A800" s="11" t="n">
        <v>799</v>
      </c>
      <c r="B800" s="12" t="s">
        <v>4349</v>
      </c>
      <c r="C800" s="12" t="s">
        <v>4319</v>
      </c>
      <c r="D800" s="12" t="s">
        <v>4320</v>
      </c>
      <c r="E800" s="12" t="s">
        <v>759</v>
      </c>
      <c r="F800" s="12" t="s">
        <v>845</v>
      </c>
      <c r="G800" s="12" t="s">
        <v>830</v>
      </c>
      <c r="H800" s="12" t="s">
        <v>4350</v>
      </c>
      <c r="I800" s="12" t="s">
        <v>181</v>
      </c>
      <c r="J800" s="13" t="s">
        <v>4351</v>
      </c>
      <c r="K800" s="12"/>
      <c r="L800" s="12" t="s">
        <v>4352</v>
      </c>
      <c r="M800" s="12" t="s">
        <v>4353</v>
      </c>
      <c r="N800" s="12" t="s">
        <v>352</v>
      </c>
      <c r="O800" s="12" t="s">
        <v>213</v>
      </c>
      <c r="P800" s="12" t="s">
        <v>103</v>
      </c>
      <c r="Q800" s="12" t="s">
        <v>104</v>
      </c>
      <c r="R800" s="14" t="n">
        <v>7.7</v>
      </c>
      <c r="S800" s="14" t="s">
        <v>197</v>
      </c>
      <c r="T800" s="14"/>
      <c r="U800" s="14" t="n">
        <v>2030</v>
      </c>
      <c r="V800" s="12" t="s">
        <v>107</v>
      </c>
      <c r="W800" s="14" t="s">
        <v>4354</v>
      </c>
      <c r="X800" s="15" t="str">
        <f aca="false">IF(OR($S800="%",$R800=""),"",$R800*INDEX(Cambi!$J$2:$J$5,MATCH($S800,Cambi!$I$2:$I$5,0))/IF($T800="EUR",1,INDEX(Cambi!$D:$D,MATCH($T800&amp;"|"&amp;$U800,Cambi!$C:$C,0))))</f>
        <v/>
      </c>
      <c r="Y800" s="12" t="s">
        <v>109</v>
      </c>
      <c r="Z800" s="12" t="s">
        <v>109</v>
      </c>
      <c r="AA800" s="12" t="s">
        <v>109</v>
      </c>
      <c r="AB800" s="16" t="s">
        <v>110</v>
      </c>
      <c r="AC800" s="16" t="s">
        <v>2665</v>
      </c>
      <c r="AD800" s="12" t="s">
        <v>112</v>
      </c>
      <c r="AE800" s="12" t="s">
        <v>282</v>
      </c>
      <c r="AF800" s="12" t="s">
        <v>4355</v>
      </c>
      <c r="AG800" s="12" t="s">
        <v>284</v>
      </c>
      <c r="AH800" s="12" t="s">
        <v>838</v>
      </c>
      <c r="AI800" s="12" t="s">
        <v>117</v>
      </c>
      <c r="AJ800" s="12" t="s">
        <v>4356</v>
      </c>
      <c r="AK800" s="12" t="s">
        <v>4</v>
      </c>
    </row>
    <row r="801" customFormat="false" ht="15" hidden="false" customHeight="false" outlineLevel="0" collapsed="false">
      <c r="A801" s="11" t="n">
        <v>800</v>
      </c>
      <c r="B801" s="12" t="s">
        <v>4357</v>
      </c>
      <c r="C801" s="12" t="s">
        <v>4319</v>
      </c>
      <c r="D801" s="12" t="s">
        <v>4320</v>
      </c>
      <c r="E801" s="12" t="s">
        <v>759</v>
      </c>
      <c r="F801" s="12" t="s">
        <v>845</v>
      </c>
      <c r="G801" s="12" t="s">
        <v>830</v>
      </c>
      <c r="H801" s="12" t="s">
        <v>4358</v>
      </c>
      <c r="I801" s="12" t="s">
        <v>847</v>
      </c>
      <c r="J801" s="13" t="s">
        <v>4359</v>
      </c>
      <c r="K801" s="12"/>
      <c r="L801" s="12" t="s">
        <v>4360</v>
      </c>
      <c r="M801" s="12" t="s">
        <v>4361</v>
      </c>
      <c r="N801" s="12" t="s">
        <v>352</v>
      </c>
      <c r="O801" s="12" t="s">
        <v>102</v>
      </c>
      <c r="P801" s="12" t="s">
        <v>103</v>
      </c>
      <c r="Q801" s="12" t="s">
        <v>104</v>
      </c>
      <c r="R801" s="14" t="n">
        <v>1.2</v>
      </c>
      <c r="S801" s="14" t="s">
        <v>129</v>
      </c>
      <c r="T801" s="14" t="s">
        <v>653</v>
      </c>
      <c r="U801" s="14" t="n">
        <v>2025</v>
      </c>
      <c r="V801" s="12" t="s">
        <v>157</v>
      </c>
      <c r="W801" s="14"/>
      <c r="X801" s="15" t="n">
        <f aca="false">IF(OR($S801="%",$R801=""),"",$R801*INDEX(Cambi!$J$2:$J$5,MATCH($S801,Cambi!$I$2:$I$5,0))/IF($T801="EUR",1,INDEX(Cambi!$D:$D,MATCH($T801&amp;"|"&amp;$U801,Cambi!$C:$C,0))))</f>
        <v>1061.94690265487</v>
      </c>
      <c r="Y801" s="12" t="s">
        <v>109</v>
      </c>
      <c r="Z801" s="12" t="s">
        <v>109</v>
      </c>
      <c r="AA801" s="12" t="s">
        <v>109</v>
      </c>
      <c r="AB801" s="16" t="s">
        <v>110</v>
      </c>
      <c r="AC801" s="16" t="s">
        <v>2665</v>
      </c>
      <c r="AD801" s="12" t="s">
        <v>112</v>
      </c>
      <c r="AE801" s="12" t="s">
        <v>282</v>
      </c>
      <c r="AF801" s="12" t="s">
        <v>4362</v>
      </c>
      <c r="AG801" s="12" t="s">
        <v>284</v>
      </c>
      <c r="AH801" s="12" t="s">
        <v>838</v>
      </c>
      <c r="AI801" s="12" t="s">
        <v>117</v>
      </c>
      <c r="AJ801" s="12" t="s">
        <v>4363</v>
      </c>
      <c r="AK801" s="12" t="s">
        <v>4</v>
      </c>
    </row>
    <row r="802" customFormat="false" ht="15" hidden="false" customHeight="false" outlineLevel="0" collapsed="false">
      <c r="A802" s="11" t="n">
        <v>801</v>
      </c>
      <c r="B802" s="12" t="s">
        <v>4357</v>
      </c>
      <c r="C802" s="12" t="s">
        <v>4319</v>
      </c>
      <c r="D802" s="12" t="s">
        <v>4320</v>
      </c>
      <c r="E802" s="12" t="s">
        <v>759</v>
      </c>
      <c r="F802" s="12" t="s">
        <v>845</v>
      </c>
      <c r="G802" s="12" t="s">
        <v>830</v>
      </c>
      <c r="H802" s="12" t="s">
        <v>4358</v>
      </c>
      <c r="I802" s="12" t="s">
        <v>847</v>
      </c>
      <c r="J802" s="13" t="s">
        <v>4359</v>
      </c>
      <c r="K802" s="12"/>
      <c r="L802" s="12" t="s">
        <v>4360</v>
      </c>
      <c r="M802" s="12" t="s">
        <v>4364</v>
      </c>
      <c r="N802" s="12" t="s">
        <v>352</v>
      </c>
      <c r="O802" s="12" t="s">
        <v>102</v>
      </c>
      <c r="P802" s="12" t="s">
        <v>103</v>
      </c>
      <c r="Q802" s="12" t="s">
        <v>104</v>
      </c>
      <c r="R802" s="14" t="n">
        <v>1.28</v>
      </c>
      <c r="S802" s="14" t="s">
        <v>129</v>
      </c>
      <c r="T802" s="14" t="s">
        <v>653</v>
      </c>
      <c r="U802" s="14" t="n">
        <v>2026</v>
      </c>
      <c r="V802" s="12" t="s">
        <v>198</v>
      </c>
      <c r="W802" s="14"/>
      <c r="X802" s="15" t="n">
        <f aca="false">IF(OR($S802="%",$R802=""),"",$R802*INDEX(Cambi!$J$2:$J$5,MATCH($S802,Cambi!$I$2:$I$5,0))/IF($T802="EUR",1,INDEX(Cambi!$D:$D,MATCH($T802&amp;"|"&amp;$U802,Cambi!$C:$C,0))))</f>
        <v>1132.74336283186</v>
      </c>
      <c r="Y802" s="12" t="s">
        <v>109</v>
      </c>
      <c r="Z802" s="12" t="s">
        <v>109</v>
      </c>
      <c r="AA802" s="12" t="s">
        <v>109</v>
      </c>
      <c r="AB802" s="16" t="s">
        <v>110</v>
      </c>
      <c r="AC802" s="16" t="s">
        <v>2665</v>
      </c>
      <c r="AD802" s="12" t="s">
        <v>112</v>
      </c>
      <c r="AE802" s="12" t="s">
        <v>282</v>
      </c>
      <c r="AF802" s="12" t="s">
        <v>4365</v>
      </c>
      <c r="AG802" s="12" t="s">
        <v>284</v>
      </c>
      <c r="AH802" s="12" t="s">
        <v>838</v>
      </c>
      <c r="AI802" s="12" t="s">
        <v>117</v>
      </c>
      <c r="AJ802" s="12" t="s">
        <v>266</v>
      </c>
      <c r="AK802" s="12" t="s">
        <v>4</v>
      </c>
    </row>
    <row r="803" customFormat="false" ht="15" hidden="false" customHeight="false" outlineLevel="0" collapsed="false">
      <c r="A803" s="11" t="n">
        <v>802</v>
      </c>
      <c r="B803" s="12" t="s">
        <v>4357</v>
      </c>
      <c r="C803" s="12" t="s">
        <v>4319</v>
      </c>
      <c r="D803" s="12" t="s">
        <v>4320</v>
      </c>
      <c r="E803" s="12" t="s">
        <v>759</v>
      </c>
      <c r="F803" s="12" t="s">
        <v>845</v>
      </c>
      <c r="G803" s="12" t="s">
        <v>830</v>
      </c>
      <c r="H803" s="12" t="s">
        <v>4358</v>
      </c>
      <c r="I803" s="12" t="s">
        <v>847</v>
      </c>
      <c r="J803" s="13" t="s">
        <v>4359</v>
      </c>
      <c r="K803" s="12"/>
      <c r="L803" s="12" t="s">
        <v>4360</v>
      </c>
      <c r="M803" s="12" t="s">
        <v>4366</v>
      </c>
      <c r="N803" s="12" t="s">
        <v>352</v>
      </c>
      <c r="O803" s="12" t="s">
        <v>102</v>
      </c>
      <c r="P803" s="12" t="s">
        <v>103</v>
      </c>
      <c r="Q803" s="12" t="s">
        <v>104</v>
      </c>
      <c r="R803" s="14" t="n">
        <v>1.76</v>
      </c>
      <c r="S803" s="14" t="s">
        <v>129</v>
      </c>
      <c r="T803" s="14" t="s">
        <v>653</v>
      </c>
      <c r="U803" s="14" t="n">
        <v>2031</v>
      </c>
      <c r="V803" s="12" t="s">
        <v>107</v>
      </c>
      <c r="W803" s="14" t="s">
        <v>4367</v>
      </c>
      <c r="X803" s="15" t="n">
        <f aca="false">IF(OR($S803="%",$R803=""),"",$R803*INDEX(Cambi!$J$2:$J$5,MATCH($S803,Cambi!$I$2:$I$5,0))/IF($T803="EUR",1,INDEX(Cambi!$D:$D,MATCH($T803&amp;"|"&amp;$U803,Cambi!$C:$C,0))))</f>
        <v>1557.52212389381</v>
      </c>
      <c r="Y803" s="12" t="s">
        <v>109</v>
      </c>
      <c r="Z803" s="12" t="s">
        <v>109</v>
      </c>
      <c r="AA803" s="12" t="s">
        <v>109</v>
      </c>
      <c r="AB803" s="16" t="s">
        <v>110</v>
      </c>
      <c r="AC803" s="16" t="s">
        <v>2665</v>
      </c>
      <c r="AD803" s="12" t="s">
        <v>112</v>
      </c>
      <c r="AE803" s="12" t="s">
        <v>282</v>
      </c>
      <c r="AF803" s="12" t="s">
        <v>4368</v>
      </c>
      <c r="AG803" s="12" t="s">
        <v>284</v>
      </c>
      <c r="AH803" s="12" t="s">
        <v>838</v>
      </c>
      <c r="AI803" s="12" t="s">
        <v>117</v>
      </c>
      <c r="AJ803" s="12" t="s">
        <v>266</v>
      </c>
      <c r="AK803" s="12" t="s">
        <v>4</v>
      </c>
    </row>
    <row r="804" customFormat="false" ht="15" hidden="false" customHeight="false" outlineLevel="0" collapsed="false">
      <c r="A804" s="11" t="n">
        <v>803</v>
      </c>
      <c r="B804" s="12" t="s">
        <v>4369</v>
      </c>
      <c r="C804" s="12" t="s">
        <v>4319</v>
      </c>
      <c r="D804" s="12" t="s">
        <v>4320</v>
      </c>
      <c r="E804" s="12" t="s">
        <v>759</v>
      </c>
      <c r="F804" s="12" t="s">
        <v>4370</v>
      </c>
      <c r="G804" s="12" t="s">
        <v>771</v>
      </c>
      <c r="H804" s="12" t="s">
        <v>4371</v>
      </c>
      <c r="I804" s="12" t="s">
        <v>1716</v>
      </c>
      <c r="J804" s="13" t="s">
        <v>4372</v>
      </c>
      <c r="K804" s="12"/>
      <c r="L804" s="12" t="s">
        <v>4373</v>
      </c>
      <c r="M804" s="12" t="s">
        <v>4374</v>
      </c>
      <c r="N804" s="12" t="s">
        <v>956</v>
      </c>
      <c r="O804" s="12" t="s">
        <v>102</v>
      </c>
      <c r="P804" s="12" t="s">
        <v>103</v>
      </c>
      <c r="Q804" s="12" t="s">
        <v>104</v>
      </c>
      <c r="R804" s="14" t="n">
        <v>130</v>
      </c>
      <c r="S804" s="14" t="s">
        <v>105</v>
      </c>
      <c r="T804" s="14" t="s">
        <v>106</v>
      </c>
      <c r="U804" s="14" t="n">
        <v>2019</v>
      </c>
      <c r="V804" s="12" t="s">
        <v>157</v>
      </c>
      <c r="W804" s="14"/>
      <c r="X804" s="15" t="n">
        <f aca="false">IF(OR($S804="%",$R804=""),"",$R804*INDEX(Cambi!$J$2:$J$5,MATCH($S804,Cambi!$I$2:$I$5,0))/IF($T804="EUR",1,INDEX(Cambi!$D:$D,MATCH($T804&amp;"|"&amp;$U804,Cambi!$C:$C,0))))</f>
        <v>130</v>
      </c>
      <c r="Y804" s="12" t="s">
        <v>109</v>
      </c>
      <c r="Z804" s="12" t="s">
        <v>109</v>
      </c>
      <c r="AA804" s="12" t="s">
        <v>109</v>
      </c>
      <c r="AB804" s="12" t="s">
        <v>679</v>
      </c>
      <c r="AC804" s="12" t="s">
        <v>395</v>
      </c>
      <c r="AD804" s="12" t="s">
        <v>166</v>
      </c>
      <c r="AE804" s="12" t="s">
        <v>4375</v>
      </c>
      <c r="AF804" s="12" t="s">
        <v>4376</v>
      </c>
      <c r="AG804" s="12" t="s">
        <v>115</v>
      </c>
      <c r="AH804" s="12" t="s">
        <v>116</v>
      </c>
      <c r="AI804" s="12" t="s">
        <v>117</v>
      </c>
      <c r="AJ804" s="12" t="s">
        <v>4377</v>
      </c>
      <c r="AK804" s="12" t="s">
        <v>4</v>
      </c>
    </row>
    <row r="805" customFormat="false" ht="15" hidden="false" customHeight="false" outlineLevel="0" collapsed="false">
      <c r="A805" s="11" t="n">
        <v>804</v>
      </c>
      <c r="B805" s="12" t="s">
        <v>4369</v>
      </c>
      <c r="C805" s="12" t="s">
        <v>4319</v>
      </c>
      <c r="D805" s="12" t="s">
        <v>4320</v>
      </c>
      <c r="E805" s="12" t="s">
        <v>759</v>
      </c>
      <c r="F805" s="12" t="s">
        <v>4370</v>
      </c>
      <c r="G805" s="12" t="s">
        <v>771</v>
      </c>
      <c r="H805" s="12" t="s">
        <v>4371</v>
      </c>
      <c r="I805" s="12" t="s">
        <v>1716</v>
      </c>
      <c r="J805" s="13" t="s">
        <v>4372</v>
      </c>
      <c r="K805" s="12" t="s">
        <v>2235</v>
      </c>
      <c r="L805" s="12" t="s">
        <v>4378</v>
      </c>
      <c r="M805" s="12" t="s">
        <v>4379</v>
      </c>
      <c r="N805" s="12" t="s">
        <v>352</v>
      </c>
      <c r="O805" s="12" t="s">
        <v>102</v>
      </c>
      <c r="P805" s="12" t="s">
        <v>103</v>
      </c>
      <c r="Q805" s="12" t="s">
        <v>104</v>
      </c>
      <c r="R805" s="14" t="n">
        <v>165</v>
      </c>
      <c r="S805" s="14" t="s">
        <v>105</v>
      </c>
      <c r="T805" s="14" t="s">
        <v>106</v>
      </c>
      <c r="U805" s="14" t="n">
        <v>2021</v>
      </c>
      <c r="V805" s="12" t="s">
        <v>198</v>
      </c>
      <c r="W805" s="14" t="s">
        <v>4380</v>
      </c>
      <c r="X805" s="15" t="n">
        <f aca="false">IF(OR($S805="%",$R805=""),"",$R805*INDEX(Cambi!$J$2:$J$5,MATCH($S805,Cambi!$I$2:$I$5,0))/IF($T805="EUR",1,INDEX(Cambi!$D:$D,MATCH($T805&amp;"|"&amp;$U805,Cambi!$C:$C,0))))</f>
        <v>165</v>
      </c>
      <c r="Y805" s="12" t="s">
        <v>109</v>
      </c>
      <c r="Z805" s="12" t="s">
        <v>109</v>
      </c>
      <c r="AA805" s="12" t="s">
        <v>109</v>
      </c>
      <c r="AB805" s="16" t="s">
        <v>110</v>
      </c>
      <c r="AC805" s="16" t="s">
        <v>2665</v>
      </c>
      <c r="AD805" s="12" t="s">
        <v>281</v>
      </c>
      <c r="AE805" s="12" t="s">
        <v>4381</v>
      </c>
      <c r="AF805" s="12" t="s">
        <v>4382</v>
      </c>
      <c r="AG805" s="12" t="s">
        <v>284</v>
      </c>
      <c r="AH805" s="12" t="s">
        <v>116</v>
      </c>
      <c r="AI805" s="12" t="s">
        <v>117</v>
      </c>
      <c r="AJ805" s="12" t="s">
        <v>4383</v>
      </c>
      <c r="AK805" s="12" t="s">
        <v>4</v>
      </c>
    </row>
    <row r="806" customFormat="false" ht="15" hidden="false" customHeight="false" outlineLevel="0" collapsed="false">
      <c r="A806" s="11" t="n">
        <v>805</v>
      </c>
      <c r="B806" s="12" t="s">
        <v>4384</v>
      </c>
      <c r="C806" s="12" t="s">
        <v>4319</v>
      </c>
      <c r="D806" s="12" t="s">
        <v>4320</v>
      </c>
      <c r="E806" s="12" t="s">
        <v>759</v>
      </c>
      <c r="F806" s="12" t="s">
        <v>4370</v>
      </c>
      <c r="G806" s="12" t="s">
        <v>771</v>
      </c>
      <c r="H806" s="12" t="s">
        <v>4385</v>
      </c>
      <c r="I806" s="12" t="s">
        <v>181</v>
      </c>
      <c r="J806" s="13" t="s">
        <v>4386</v>
      </c>
      <c r="K806" s="12" t="s">
        <v>4387</v>
      </c>
      <c r="L806" s="12" t="s">
        <v>4388</v>
      </c>
      <c r="M806" s="12" t="s">
        <v>4389</v>
      </c>
      <c r="N806" s="12" t="s">
        <v>195</v>
      </c>
      <c r="O806" s="12" t="s">
        <v>196</v>
      </c>
      <c r="P806" s="12" t="s">
        <v>103</v>
      </c>
      <c r="Q806" s="12" t="s">
        <v>104</v>
      </c>
      <c r="R806" s="14" t="n">
        <v>7.5</v>
      </c>
      <c r="S806" s="14" t="s">
        <v>197</v>
      </c>
      <c r="T806" s="14"/>
      <c r="U806" s="14" t="n">
        <v>2022</v>
      </c>
      <c r="V806" s="12" t="s">
        <v>157</v>
      </c>
      <c r="W806" s="14"/>
      <c r="X806" s="15" t="str">
        <f aca="false">IF(OR($S806="%",$R806=""),"",$R806*INDEX(Cambi!$J$2:$J$5,MATCH($S806,Cambi!$I$2:$I$5,0))/IF($T806="EUR",1,INDEX(Cambi!$D:$D,MATCH($T806&amp;"|"&amp;$U806,Cambi!$C:$C,0))))</f>
        <v/>
      </c>
      <c r="Y806" s="12" t="s">
        <v>130</v>
      </c>
      <c r="Z806" s="12" t="s">
        <v>109</v>
      </c>
      <c r="AA806" s="12" t="s">
        <v>109</v>
      </c>
      <c r="AB806" s="16" t="s">
        <v>394</v>
      </c>
      <c r="AC806" s="16" t="s">
        <v>4390</v>
      </c>
      <c r="AD806" s="12" t="s">
        <v>281</v>
      </c>
      <c r="AE806" s="12" t="s">
        <v>4391</v>
      </c>
      <c r="AF806" s="12" t="s">
        <v>4392</v>
      </c>
      <c r="AG806" s="12" t="s">
        <v>498</v>
      </c>
      <c r="AH806" s="12" t="s">
        <v>116</v>
      </c>
      <c r="AI806" s="12" t="s">
        <v>117</v>
      </c>
      <c r="AJ806" s="12" t="s">
        <v>4393</v>
      </c>
      <c r="AK806" s="12" t="s">
        <v>4</v>
      </c>
    </row>
    <row r="807" customFormat="false" ht="15" hidden="false" customHeight="false" outlineLevel="0" collapsed="false">
      <c r="A807" s="11" t="n">
        <v>806</v>
      </c>
      <c r="B807" s="12" t="s">
        <v>4384</v>
      </c>
      <c r="C807" s="12" t="s">
        <v>4319</v>
      </c>
      <c r="D807" s="12" t="s">
        <v>4320</v>
      </c>
      <c r="E807" s="12" t="s">
        <v>759</v>
      </c>
      <c r="F807" s="12" t="s">
        <v>4370</v>
      </c>
      <c r="G807" s="12" t="s">
        <v>771</v>
      </c>
      <c r="H807" s="12" t="s">
        <v>4385</v>
      </c>
      <c r="I807" s="12" t="s">
        <v>181</v>
      </c>
      <c r="J807" s="13" t="s">
        <v>4386</v>
      </c>
      <c r="K807" s="12" t="s">
        <v>4387</v>
      </c>
      <c r="L807" s="12" t="s">
        <v>4394</v>
      </c>
      <c r="M807" s="12" t="s">
        <v>4395</v>
      </c>
      <c r="N807" s="12" t="s">
        <v>212</v>
      </c>
      <c r="O807" s="12" t="s">
        <v>417</v>
      </c>
      <c r="P807" s="12" t="s">
        <v>103</v>
      </c>
      <c r="Q807" s="12" t="s">
        <v>104</v>
      </c>
      <c r="R807" s="14" t="n">
        <v>0.8</v>
      </c>
      <c r="S807" s="14" t="s">
        <v>105</v>
      </c>
      <c r="T807" s="14" t="s">
        <v>106</v>
      </c>
      <c r="U807" s="14" t="n">
        <v>2022</v>
      </c>
      <c r="V807" s="12" t="s">
        <v>157</v>
      </c>
      <c r="W807" s="14"/>
      <c r="X807" s="15" t="n">
        <f aca="false">IF(OR($S807="%",$R807=""),"",$R807*INDEX(Cambi!$J$2:$J$5,MATCH($S807,Cambi!$I$2:$I$5,0))/IF($T807="EUR",1,INDEX(Cambi!$D:$D,MATCH($T807&amp;"|"&amp;$U807,Cambi!$C:$C,0))))</f>
        <v>0.8</v>
      </c>
      <c r="Y807" s="12" t="s">
        <v>130</v>
      </c>
      <c r="Z807" s="12" t="s">
        <v>109</v>
      </c>
      <c r="AA807" s="12" t="s">
        <v>109</v>
      </c>
      <c r="AB807" s="16" t="s">
        <v>394</v>
      </c>
      <c r="AC807" s="16" t="s">
        <v>4390</v>
      </c>
      <c r="AD807" s="12" t="s">
        <v>281</v>
      </c>
      <c r="AE807" s="12" t="s">
        <v>4391</v>
      </c>
      <c r="AF807" s="12" t="s">
        <v>4396</v>
      </c>
      <c r="AG807" s="12" t="s">
        <v>498</v>
      </c>
      <c r="AH807" s="12" t="s">
        <v>116</v>
      </c>
      <c r="AI807" s="12" t="s">
        <v>117</v>
      </c>
      <c r="AJ807" s="12" t="s">
        <v>4393</v>
      </c>
      <c r="AK807" s="12" t="s">
        <v>4</v>
      </c>
    </row>
    <row r="808" customFormat="false" ht="15" hidden="false" customHeight="false" outlineLevel="0" collapsed="false">
      <c r="A808" s="11" t="n">
        <v>807</v>
      </c>
      <c r="B808" s="12" t="s">
        <v>4384</v>
      </c>
      <c r="C808" s="12" t="s">
        <v>4319</v>
      </c>
      <c r="D808" s="12" t="s">
        <v>4320</v>
      </c>
      <c r="E808" s="12" t="s">
        <v>759</v>
      </c>
      <c r="F808" s="12" t="s">
        <v>4370</v>
      </c>
      <c r="G808" s="12" t="s">
        <v>771</v>
      </c>
      <c r="H808" s="12" t="s">
        <v>4385</v>
      </c>
      <c r="I808" s="12" t="s">
        <v>181</v>
      </c>
      <c r="J808" s="13" t="s">
        <v>4386</v>
      </c>
      <c r="K808" s="12" t="s">
        <v>4387</v>
      </c>
      <c r="L808" s="12" t="s">
        <v>4397</v>
      </c>
      <c r="M808" s="12" t="s">
        <v>4398</v>
      </c>
      <c r="N808" s="12" t="s">
        <v>212</v>
      </c>
      <c r="O808" s="12" t="s">
        <v>417</v>
      </c>
      <c r="P808" s="12" t="s">
        <v>103</v>
      </c>
      <c r="Q808" s="12" t="s">
        <v>104</v>
      </c>
      <c r="R808" s="14" t="n">
        <v>0.5</v>
      </c>
      <c r="S808" s="14" t="s">
        <v>105</v>
      </c>
      <c r="T808" s="14" t="s">
        <v>106</v>
      </c>
      <c r="U808" s="14" t="n">
        <v>2023</v>
      </c>
      <c r="V808" s="12" t="s">
        <v>157</v>
      </c>
      <c r="W808" s="14"/>
      <c r="X808" s="15" t="n">
        <f aca="false">IF(OR($S808="%",$R808=""),"",$R808*INDEX(Cambi!$J$2:$J$5,MATCH($S808,Cambi!$I$2:$I$5,0))/IF($T808="EUR",1,INDEX(Cambi!$D:$D,MATCH($T808&amp;"|"&amp;$U808,Cambi!$C:$C,0))))</f>
        <v>0.5</v>
      </c>
      <c r="Y808" s="12" t="s">
        <v>130</v>
      </c>
      <c r="Z808" s="12" t="s">
        <v>109</v>
      </c>
      <c r="AA808" s="12" t="s">
        <v>109</v>
      </c>
      <c r="AB808" s="16" t="s">
        <v>394</v>
      </c>
      <c r="AC808" s="16" t="s">
        <v>4390</v>
      </c>
      <c r="AD808" s="12" t="s">
        <v>281</v>
      </c>
      <c r="AE808" s="12" t="s">
        <v>4391</v>
      </c>
      <c r="AF808" s="12" t="s">
        <v>4399</v>
      </c>
      <c r="AG808" s="12" t="s">
        <v>498</v>
      </c>
      <c r="AH808" s="12" t="s">
        <v>116</v>
      </c>
      <c r="AI808" s="12" t="s">
        <v>117</v>
      </c>
      <c r="AJ808" s="12" t="s">
        <v>4393</v>
      </c>
      <c r="AK808" s="12" t="s">
        <v>4</v>
      </c>
    </row>
    <row r="809" customFormat="false" ht="15" hidden="false" customHeight="false" outlineLevel="0" collapsed="false">
      <c r="A809" s="11" t="n">
        <v>808</v>
      </c>
      <c r="B809" s="12" t="s">
        <v>4384</v>
      </c>
      <c r="C809" s="12" t="s">
        <v>4319</v>
      </c>
      <c r="D809" s="12" t="s">
        <v>4320</v>
      </c>
      <c r="E809" s="12" t="s">
        <v>759</v>
      </c>
      <c r="F809" s="12" t="s">
        <v>4370</v>
      </c>
      <c r="G809" s="12" t="s">
        <v>771</v>
      </c>
      <c r="H809" s="12" t="s">
        <v>4385</v>
      </c>
      <c r="I809" s="12" t="s">
        <v>181</v>
      </c>
      <c r="J809" s="13" t="s">
        <v>4386</v>
      </c>
      <c r="K809" s="12" t="s">
        <v>4387</v>
      </c>
      <c r="L809" s="12" t="s">
        <v>4388</v>
      </c>
      <c r="M809" s="12" t="s">
        <v>4400</v>
      </c>
      <c r="N809" s="12" t="s">
        <v>195</v>
      </c>
      <c r="O809" s="12" t="s">
        <v>196</v>
      </c>
      <c r="P809" s="12" t="s">
        <v>103</v>
      </c>
      <c r="Q809" s="12" t="s">
        <v>104</v>
      </c>
      <c r="R809" s="14" t="n">
        <v>8.8</v>
      </c>
      <c r="S809" s="14" t="s">
        <v>197</v>
      </c>
      <c r="T809" s="14"/>
      <c r="U809" s="14" t="n">
        <v>2024</v>
      </c>
      <c r="V809" s="12" t="s">
        <v>157</v>
      </c>
      <c r="W809" s="14"/>
      <c r="X809" s="15" t="str">
        <f aca="false">IF(OR($S809="%",$R809=""),"",$R809*INDEX(Cambi!$J$2:$J$5,MATCH($S809,Cambi!$I$2:$I$5,0))/IF($T809="EUR",1,INDEX(Cambi!$D:$D,MATCH($T809&amp;"|"&amp;$U809,Cambi!$C:$C,0))))</f>
        <v/>
      </c>
      <c r="Y809" s="12" t="s">
        <v>130</v>
      </c>
      <c r="Z809" s="12" t="s">
        <v>109</v>
      </c>
      <c r="AA809" s="12" t="s">
        <v>109</v>
      </c>
      <c r="AB809" s="16" t="s">
        <v>394</v>
      </c>
      <c r="AC809" s="16" t="s">
        <v>4390</v>
      </c>
      <c r="AD809" s="12" t="s">
        <v>281</v>
      </c>
      <c r="AE809" s="12" t="s">
        <v>4391</v>
      </c>
      <c r="AF809" s="12" t="s">
        <v>4401</v>
      </c>
      <c r="AG809" s="12" t="s">
        <v>498</v>
      </c>
      <c r="AH809" s="12" t="s">
        <v>116</v>
      </c>
      <c r="AI809" s="12" t="s">
        <v>117</v>
      </c>
      <c r="AJ809" s="12" t="s">
        <v>4393</v>
      </c>
      <c r="AK809" s="12" t="s">
        <v>4</v>
      </c>
    </row>
    <row r="810" customFormat="false" ht="15" hidden="false" customHeight="false" outlineLevel="0" collapsed="false">
      <c r="A810" s="11" t="n">
        <v>809</v>
      </c>
      <c r="B810" s="12" t="s">
        <v>4384</v>
      </c>
      <c r="C810" s="12" t="s">
        <v>4319</v>
      </c>
      <c r="D810" s="12" t="s">
        <v>4320</v>
      </c>
      <c r="E810" s="12" t="s">
        <v>759</v>
      </c>
      <c r="F810" s="12" t="s">
        <v>4370</v>
      </c>
      <c r="G810" s="12" t="s">
        <v>771</v>
      </c>
      <c r="H810" s="12" t="s">
        <v>4385</v>
      </c>
      <c r="I810" s="12" t="s">
        <v>181</v>
      </c>
      <c r="J810" s="13" t="s">
        <v>4386</v>
      </c>
      <c r="K810" s="12" t="s">
        <v>4387</v>
      </c>
      <c r="L810" s="12" t="s">
        <v>4397</v>
      </c>
      <c r="M810" s="12" t="s">
        <v>4402</v>
      </c>
      <c r="N810" s="12" t="s">
        <v>212</v>
      </c>
      <c r="O810" s="12" t="s">
        <v>417</v>
      </c>
      <c r="P810" s="12" t="s">
        <v>103</v>
      </c>
      <c r="Q810" s="12" t="s">
        <v>104</v>
      </c>
      <c r="R810" s="14" t="n">
        <v>1.7</v>
      </c>
      <c r="S810" s="14" t="s">
        <v>105</v>
      </c>
      <c r="T810" s="14" t="s">
        <v>106</v>
      </c>
      <c r="U810" s="14" t="n">
        <v>2024</v>
      </c>
      <c r="V810" s="12" t="s">
        <v>157</v>
      </c>
      <c r="W810" s="14"/>
      <c r="X810" s="15" t="n">
        <f aca="false">IF(OR($S810="%",$R810=""),"",$R810*INDEX(Cambi!$J$2:$J$5,MATCH($S810,Cambi!$I$2:$I$5,0))/IF($T810="EUR",1,INDEX(Cambi!$D:$D,MATCH($T810&amp;"|"&amp;$U810,Cambi!$C:$C,0))))</f>
        <v>1.7</v>
      </c>
      <c r="Y810" s="12" t="s">
        <v>130</v>
      </c>
      <c r="Z810" s="12" t="s">
        <v>109</v>
      </c>
      <c r="AA810" s="12" t="s">
        <v>109</v>
      </c>
      <c r="AB810" s="16" t="s">
        <v>394</v>
      </c>
      <c r="AC810" s="16" t="s">
        <v>4390</v>
      </c>
      <c r="AD810" s="12" t="s">
        <v>281</v>
      </c>
      <c r="AE810" s="12" t="s">
        <v>4391</v>
      </c>
      <c r="AF810" s="12" t="s">
        <v>4403</v>
      </c>
      <c r="AG810" s="12" t="s">
        <v>498</v>
      </c>
      <c r="AH810" s="12" t="s">
        <v>116</v>
      </c>
      <c r="AI810" s="12" t="s">
        <v>117</v>
      </c>
      <c r="AJ810" s="12" t="s">
        <v>4404</v>
      </c>
      <c r="AK810" s="12" t="s">
        <v>4</v>
      </c>
    </row>
    <row r="811" customFormat="false" ht="15" hidden="false" customHeight="false" outlineLevel="0" collapsed="false">
      <c r="A811" s="11" t="n">
        <v>810</v>
      </c>
      <c r="B811" s="12" t="s">
        <v>625</v>
      </c>
      <c r="C811" s="12" t="s">
        <v>4319</v>
      </c>
      <c r="D811" s="12" t="s">
        <v>4320</v>
      </c>
      <c r="E811" s="12" t="s">
        <v>759</v>
      </c>
      <c r="F811" s="12" t="s">
        <v>626</v>
      </c>
      <c r="G811" s="12" t="s">
        <v>95</v>
      </c>
      <c r="H811" s="12" t="s">
        <v>627</v>
      </c>
      <c r="I811" s="12" t="s">
        <v>628</v>
      </c>
      <c r="J811" s="13" t="s">
        <v>629</v>
      </c>
      <c r="K811" s="12" t="s">
        <v>630</v>
      </c>
      <c r="L811" s="12" t="s">
        <v>1110</v>
      </c>
      <c r="M811" s="12" t="s">
        <v>1111</v>
      </c>
      <c r="N811" s="12" t="s">
        <v>101</v>
      </c>
      <c r="O811" s="12" t="s">
        <v>102</v>
      </c>
      <c r="P811" s="12" t="s">
        <v>103</v>
      </c>
      <c r="Q811" s="12" t="s">
        <v>104</v>
      </c>
      <c r="R811" s="14" t="n">
        <v>51</v>
      </c>
      <c r="S811" s="14" t="s">
        <v>105</v>
      </c>
      <c r="T811" s="14" t="s">
        <v>106</v>
      </c>
      <c r="U811" s="14" t="n">
        <v>2026</v>
      </c>
      <c r="V811" s="12" t="s">
        <v>107</v>
      </c>
      <c r="W811" s="14"/>
      <c r="X811" s="15" t="n">
        <f aca="false">IF(OR($S811="%",$R811=""),"",$R811*INDEX(Cambi!$J$2:$J$5,MATCH($S811,Cambi!$I$2:$I$5,0))/IF($T811="EUR",1,INDEX(Cambi!$D:$D,MATCH($T811&amp;"|"&amp;$U811,Cambi!$C:$C,0))))</f>
        <v>51</v>
      </c>
      <c r="Y811" s="12" t="s">
        <v>130</v>
      </c>
      <c r="Z811" s="12" t="s">
        <v>109</v>
      </c>
      <c r="AA811" s="12" t="s">
        <v>633</v>
      </c>
      <c r="AB811" s="16" t="s">
        <v>110</v>
      </c>
      <c r="AC811" s="16" t="s">
        <v>634</v>
      </c>
      <c r="AD811" s="12" t="s">
        <v>281</v>
      </c>
      <c r="AE811" s="12" t="s">
        <v>635</v>
      </c>
      <c r="AF811" s="12" t="s">
        <v>4405</v>
      </c>
      <c r="AG811" s="12" t="s">
        <v>115</v>
      </c>
      <c r="AH811" s="12" t="s">
        <v>116</v>
      </c>
      <c r="AI811" s="12" t="s">
        <v>285</v>
      </c>
      <c r="AJ811" s="12" t="s">
        <v>1113</v>
      </c>
      <c r="AK811" s="12" t="s">
        <v>4</v>
      </c>
    </row>
    <row r="812" customFormat="false" ht="15" hidden="false" customHeight="false" outlineLevel="0" collapsed="false">
      <c r="A812" s="11" t="n">
        <v>811</v>
      </c>
      <c r="B812" s="12" t="s">
        <v>4406</v>
      </c>
      <c r="C812" s="12" t="s">
        <v>4407</v>
      </c>
      <c r="D812" s="12" t="s">
        <v>4408</v>
      </c>
      <c r="E812" s="12" t="s">
        <v>759</v>
      </c>
      <c r="F812" s="12" t="s">
        <v>2127</v>
      </c>
      <c r="G812" s="12" t="s">
        <v>830</v>
      </c>
      <c r="H812" s="12" t="s">
        <v>4409</v>
      </c>
      <c r="I812" s="12" t="s">
        <v>847</v>
      </c>
      <c r="J812" s="13" t="s">
        <v>4410</v>
      </c>
      <c r="K812" s="12"/>
      <c r="L812" s="12" t="s">
        <v>4409</v>
      </c>
      <c r="M812" s="12" t="s">
        <v>4411</v>
      </c>
      <c r="N812" s="12" t="s">
        <v>352</v>
      </c>
      <c r="O812" s="12" t="s">
        <v>102</v>
      </c>
      <c r="P812" s="12" t="s">
        <v>155</v>
      </c>
      <c r="Q812" s="12" t="s">
        <v>4412</v>
      </c>
      <c r="R812" s="14" t="n">
        <v>348</v>
      </c>
      <c r="S812" s="14" t="s">
        <v>105</v>
      </c>
      <c r="T812" s="14" t="s">
        <v>653</v>
      </c>
      <c r="U812" s="14" t="n">
        <v>2025</v>
      </c>
      <c r="V812" s="12" t="s">
        <v>157</v>
      </c>
      <c r="W812" s="14" t="s">
        <v>4413</v>
      </c>
      <c r="X812" s="15" t="n">
        <f aca="false">IF(OR($S812="%",$R812=""),"",$R812*INDEX(Cambi!$J$2:$J$5,MATCH($S812,Cambi!$I$2:$I$5,0))/IF($T812="EUR",1,INDEX(Cambi!$D:$D,MATCH($T812&amp;"|"&amp;$U812,Cambi!$C:$C,0))))</f>
        <v>307.964601769912</v>
      </c>
      <c r="Y812" s="12" t="s">
        <v>109</v>
      </c>
      <c r="Z812" s="12" t="s">
        <v>109</v>
      </c>
      <c r="AA812" s="12" t="s">
        <v>109</v>
      </c>
      <c r="AB812" s="16" t="s">
        <v>110</v>
      </c>
      <c r="AC812" s="16" t="s">
        <v>3915</v>
      </c>
      <c r="AD812" s="12" t="s">
        <v>112</v>
      </c>
      <c r="AE812" s="12" t="s">
        <v>1196</v>
      </c>
      <c r="AF812" s="12" t="s">
        <v>4414</v>
      </c>
      <c r="AG812" s="12" t="s">
        <v>284</v>
      </c>
      <c r="AH812" s="12" t="s">
        <v>838</v>
      </c>
      <c r="AI812" s="12" t="s">
        <v>117</v>
      </c>
      <c r="AJ812" s="12" t="s">
        <v>266</v>
      </c>
      <c r="AK812" s="12" t="s">
        <v>4</v>
      </c>
    </row>
    <row r="813" customFormat="false" ht="15" hidden="false" customHeight="false" outlineLevel="0" collapsed="false">
      <c r="A813" s="11" t="n">
        <v>812</v>
      </c>
      <c r="B813" s="12" t="s">
        <v>4406</v>
      </c>
      <c r="C813" s="12" t="s">
        <v>4407</v>
      </c>
      <c r="D813" s="12" t="s">
        <v>4408</v>
      </c>
      <c r="E813" s="12" t="s">
        <v>759</v>
      </c>
      <c r="F813" s="12" t="s">
        <v>2127</v>
      </c>
      <c r="G813" s="12" t="s">
        <v>830</v>
      </c>
      <c r="H813" s="12" t="s">
        <v>4415</v>
      </c>
      <c r="I813" s="12" t="s">
        <v>847</v>
      </c>
      <c r="J813" s="13" t="s">
        <v>4416</v>
      </c>
      <c r="K813" s="12"/>
      <c r="L813" s="12" t="s">
        <v>4415</v>
      </c>
      <c r="M813" s="12" t="s">
        <v>4417</v>
      </c>
      <c r="N813" s="12" t="s">
        <v>352</v>
      </c>
      <c r="O813" s="12" t="s">
        <v>102</v>
      </c>
      <c r="P813" s="12" t="s">
        <v>155</v>
      </c>
      <c r="Q813" s="12" t="s">
        <v>4418</v>
      </c>
      <c r="R813" s="14" t="n">
        <v>277</v>
      </c>
      <c r="S813" s="14" t="s">
        <v>105</v>
      </c>
      <c r="T813" s="14" t="s">
        <v>653</v>
      </c>
      <c r="U813" s="14" t="n">
        <v>2025</v>
      </c>
      <c r="V813" s="12" t="s">
        <v>157</v>
      </c>
      <c r="W813" s="14" t="s">
        <v>4419</v>
      </c>
      <c r="X813" s="15" t="n">
        <f aca="false">IF(OR($S813="%",$R813=""),"",$R813*INDEX(Cambi!$J$2:$J$5,MATCH($S813,Cambi!$I$2:$I$5,0))/IF($T813="EUR",1,INDEX(Cambi!$D:$D,MATCH($T813&amp;"|"&amp;$U813,Cambi!$C:$C,0))))</f>
        <v>245.132743362832</v>
      </c>
      <c r="Y813" s="12" t="s">
        <v>109</v>
      </c>
      <c r="Z813" s="12" t="s">
        <v>109</v>
      </c>
      <c r="AA813" s="12" t="s">
        <v>109</v>
      </c>
      <c r="AB813" s="16" t="s">
        <v>110</v>
      </c>
      <c r="AC813" s="16" t="s">
        <v>3915</v>
      </c>
      <c r="AD813" s="12" t="s">
        <v>112</v>
      </c>
      <c r="AE813" s="12" t="s">
        <v>1196</v>
      </c>
      <c r="AF813" s="12" t="s">
        <v>4420</v>
      </c>
      <c r="AG813" s="12" t="s">
        <v>284</v>
      </c>
      <c r="AH813" s="12" t="s">
        <v>838</v>
      </c>
      <c r="AI813" s="12" t="s">
        <v>117</v>
      </c>
      <c r="AJ813" s="12" t="s">
        <v>4421</v>
      </c>
      <c r="AK813" s="12" t="s">
        <v>4</v>
      </c>
    </row>
    <row r="814" customFormat="false" ht="15" hidden="false" customHeight="false" outlineLevel="0" collapsed="false">
      <c r="A814" s="11" t="n">
        <v>813</v>
      </c>
      <c r="B814" s="12" t="s">
        <v>4406</v>
      </c>
      <c r="C814" s="12" t="s">
        <v>4407</v>
      </c>
      <c r="D814" s="12" t="s">
        <v>4408</v>
      </c>
      <c r="E814" s="12" t="s">
        <v>759</v>
      </c>
      <c r="F814" s="12" t="s">
        <v>2127</v>
      </c>
      <c r="G814" s="12" t="s">
        <v>830</v>
      </c>
      <c r="H814" s="12" t="s">
        <v>4422</v>
      </c>
      <c r="I814" s="12" t="s">
        <v>847</v>
      </c>
      <c r="J814" s="13" t="s">
        <v>4423</v>
      </c>
      <c r="K814" s="12"/>
      <c r="L814" s="12" t="s">
        <v>4422</v>
      </c>
      <c r="M814" s="12" t="s">
        <v>4424</v>
      </c>
      <c r="N814" s="12" t="s">
        <v>352</v>
      </c>
      <c r="O814" s="12" t="s">
        <v>102</v>
      </c>
      <c r="P814" s="12" t="s">
        <v>155</v>
      </c>
      <c r="Q814" s="12" t="s">
        <v>4425</v>
      </c>
      <c r="R814" s="14" t="n">
        <v>1266</v>
      </c>
      <c r="S814" s="14" t="s">
        <v>105</v>
      </c>
      <c r="T814" s="14" t="s">
        <v>653</v>
      </c>
      <c r="U814" s="14" t="n">
        <v>2025</v>
      </c>
      <c r="V814" s="12" t="s">
        <v>157</v>
      </c>
      <c r="W814" s="14" t="s">
        <v>4426</v>
      </c>
      <c r="X814" s="15" t="n">
        <f aca="false">IF(OR($S814="%",$R814=""),"",$R814*INDEX(Cambi!$J$2:$J$5,MATCH($S814,Cambi!$I$2:$I$5,0))/IF($T814="EUR",1,INDEX(Cambi!$D:$D,MATCH($T814&amp;"|"&amp;$U814,Cambi!$C:$C,0))))</f>
        <v>1120.35398230089</v>
      </c>
      <c r="Y814" s="12" t="s">
        <v>109</v>
      </c>
      <c r="Z814" s="12" t="s">
        <v>109</v>
      </c>
      <c r="AA814" s="12" t="s">
        <v>109</v>
      </c>
      <c r="AB814" s="16" t="s">
        <v>110</v>
      </c>
      <c r="AC814" s="16" t="s">
        <v>3915</v>
      </c>
      <c r="AD814" s="12" t="s">
        <v>112</v>
      </c>
      <c r="AE814" s="12" t="s">
        <v>1196</v>
      </c>
      <c r="AF814" s="12" t="s">
        <v>4427</v>
      </c>
      <c r="AG814" s="12" t="s">
        <v>284</v>
      </c>
      <c r="AH814" s="12" t="s">
        <v>838</v>
      </c>
      <c r="AI814" s="12" t="s">
        <v>117</v>
      </c>
      <c r="AJ814" s="12" t="s">
        <v>4428</v>
      </c>
      <c r="AK814" s="12" t="s">
        <v>4</v>
      </c>
    </row>
    <row r="815" customFormat="false" ht="15" hidden="false" customHeight="false" outlineLevel="0" collapsed="false">
      <c r="A815" s="11" t="n">
        <v>814</v>
      </c>
      <c r="B815" s="12" t="s">
        <v>4429</v>
      </c>
      <c r="C815" s="12" t="s">
        <v>4407</v>
      </c>
      <c r="D815" s="12" t="s">
        <v>4408</v>
      </c>
      <c r="E815" s="12" t="s">
        <v>759</v>
      </c>
      <c r="F815" s="12" t="s">
        <v>4430</v>
      </c>
      <c r="G815" s="12" t="s">
        <v>1055</v>
      </c>
      <c r="H815" s="12" t="s">
        <v>4431</v>
      </c>
      <c r="I815" s="12" t="s">
        <v>1424</v>
      </c>
      <c r="J815" s="13" t="s">
        <v>4432</v>
      </c>
      <c r="K815" s="12" t="s">
        <v>4433</v>
      </c>
      <c r="L815" s="12" t="s">
        <v>4434</v>
      </c>
      <c r="M815" s="12" t="s">
        <v>4435</v>
      </c>
      <c r="N815" s="12" t="s">
        <v>212</v>
      </c>
      <c r="O815" s="12" t="s">
        <v>196</v>
      </c>
      <c r="P815" s="12" t="s">
        <v>103</v>
      </c>
      <c r="Q815" s="12" t="s">
        <v>104</v>
      </c>
      <c r="R815" s="14" t="n">
        <v>58.1</v>
      </c>
      <c r="S815" s="14" t="s">
        <v>197</v>
      </c>
      <c r="T815" s="14"/>
      <c r="U815" s="14" t="n">
        <v>2026</v>
      </c>
      <c r="V815" s="12" t="s">
        <v>198</v>
      </c>
      <c r="W815" s="14"/>
      <c r="X815" s="15" t="str">
        <f aca="false">IF(OR($S815="%",$R815=""),"",$R815*INDEX(Cambi!$J$2:$J$5,MATCH($S815,Cambi!$I$2:$I$5,0))/IF($T815="EUR",1,INDEX(Cambi!$D:$D,MATCH($T815&amp;"|"&amp;$U815,Cambi!$C:$C,0))))</f>
        <v/>
      </c>
      <c r="Y815" s="12" t="s">
        <v>239</v>
      </c>
      <c r="Z815" s="12" t="s">
        <v>109</v>
      </c>
      <c r="AA815" s="12" t="s">
        <v>109</v>
      </c>
      <c r="AB815" s="12" t="s">
        <v>394</v>
      </c>
      <c r="AC815" s="12" t="s">
        <v>395</v>
      </c>
      <c r="AD815" s="12" t="s">
        <v>112</v>
      </c>
      <c r="AE815" s="12" t="s">
        <v>4436</v>
      </c>
      <c r="AF815" s="12" t="s">
        <v>4437</v>
      </c>
      <c r="AG815" s="12" t="s">
        <v>115</v>
      </c>
      <c r="AH815" s="12" t="s">
        <v>499</v>
      </c>
      <c r="AI815" s="12" t="s">
        <v>285</v>
      </c>
      <c r="AJ815" s="12" t="s">
        <v>4438</v>
      </c>
      <c r="AK815" s="12" t="s">
        <v>4</v>
      </c>
    </row>
    <row r="816" customFormat="false" ht="15" hidden="false" customHeight="false" outlineLevel="0" collapsed="false">
      <c r="A816" s="11" t="n">
        <v>815</v>
      </c>
      <c r="B816" s="12" t="s">
        <v>4429</v>
      </c>
      <c r="C816" s="12" t="s">
        <v>4407</v>
      </c>
      <c r="D816" s="12" t="s">
        <v>4408</v>
      </c>
      <c r="E816" s="12" t="s">
        <v>759</v>
      </c>
      <c r="F816" s="12" t="s">
        <v>4430</v>
      </c>
      <c r="G816" s="12" t="s">
        <v>1055</v>
      </c>
      <c r="H816" s="12" t="s">
        <v>4431</v>
      </c>
      <c r="I816" s="12" t="s">
        <v>1424</v>
      </c>
      <c r="J816" s="13" t="s">
        <v>4432</v>
      </c>
      <c r="K816" s="12" t="s">
        <v>4433</v>
      </c>
      <c r="L816" s="12" t="s">
        <v>4439</v>
      </c>
      <c r="M816" s="12" t="s">
        <v>4440</v>
      </c>
      <c r="N816" s="12" t="s">
        <v>212</v>
      </c>
      <c r="O816" s="12" t="s">
        <v>196</v>
      </c>
      <c r="P816" s="12" t="s">
        <v>103</v>
      </c>
      <c r="Q816" s="12" t="s">
        <v>104</v>
      </c>
      <c r="R816" s="14" t="n">
        <v>6.1</v>
      </c>
      <c r="S816" s="14" t="s">
        <v>197</v>
      </c>
      <c r="T816" s="14"/>
      <c r="U816" s="14" t="n">
        <v>2026</v>
      </c>
      <c r="V816" s="12" t="s">
        <v>198</v>
      </c>
      <c r="W816" s="14"/>
      <c r="X816" s="15" t="str">
        <f aca="false">IF(OR($S816="%",$R816=""),"",$R816*INDEX(Cambi!$J$2:$J$5,MATCH($S816,Cambi!$I$2:$I$5,0))/IF($T816="EUR",1,INDEX(Cambi!$D:$D,MATCH($T816&amp;"|"&amp;$U816,Cambi!$C:$C,0))))</f>
        <v/>
      </c>
      <c r="Y816" s="12" t="s">
        <v>239</v>
      </c>
      <c r="Z816" s="12" t="s">
        <v>109</v>
      </c>
      <c r="AA816" s="12" t="s">
        <v>109</v>
      </c>
      <c r="AB816" s="12" t="s">
        <v>394</v>
      </c>
      <c r="AC816" s="12" t="s">
        <v>395</v>
      </c>
      <c r="AD816" s="12" t="s">
        <v>112</v>
      </c>
      <c r="AE816" s="12" t="s">
        <v>4436</v>
      </c>
      <c r="AF816" s="12" t="s">
        <v>4441</v>
      </c>
      <c r="AG816" s="12" t="s">
        <v>115</v>
      </c>
      <c r="AH816" s="12" t="s">
        <v>499</v>
      </c>
      <c r="AI816" s="12" t="s">
        <v>285</v>
      </c>
      <c r="AJ816" s="12" t="s">
        <v>4438</v>
      </c>
      <c r="AK816" s="12" t="s">
        <v>4</v>
      </c>
    </row>
    <row r="817" customFormat="false" ht="15" hidden="false" customHeight="false" outlineLevel="0" collapsed="false">
      <c r="A817" s="11" t="n">
        <v>816</v>
      </c>
      <c r="B817" s="12" t="s">
        <v>4442</v>
      </c>
      <c r="C817" s="12" t="s">
        <v>4407</v>
      </c>
      <c r="D817" s="12" t="s">
        <v>4408</v>
      </c>
      <c r="E817" s="12" t="s">
        <v>759</v>
      </c>
      <c r="F817" s="12" t="s">
        <v>2235</v>
      </c>
      <c r="G817" s="12" t="s">
        <v>1876</v>
      </c>
      <c r="H817" s="12" t="s">
        <v>4443</v>
      </c>
      <c r="I817" s="12" t="s">
        <v>4444</v>
      </c>
      <c r="J817" s="13" t="s">
        <v>4445</v>
      </c>
      <c r="K817" s="12" t="s">
        <v>4446</v>
      </c>
      <c r="L817" s="12" t="s">
        <v>4447</v>
      </c>
      <c r="M817" s="12" t="s">
        <v>4448</v>
      </c>
      <c r="N817" s="12" t="s">
        <v>352</v>
      </c>
      <c r="O817" s="12" t="s">
        <v>213</v>
      </c>
      <c r="P817" s="12" t="s">
        <v>103</v>
      </c>
      <c r="Q817" s="12" t="s">
        <v>104</v>
      </c>
      <c r="R817" s="14" t="n">
        <v>15.4</v>
      </c>
      <c r="S817" s="14" t="s">
        <v>197</v>
      </c>
      <c r="T817" s="14"/>
      <c r="U817" s="14" t="n">
        <v>2024</v>
      </c>
      <c r="V817" s="12" t="s">
        <v>107</v>
      </c>
      <c r="W817" s="14"/>
      <c r="X817" s="15" t="str">
        <f aca="false">IF(OR($S817="%",$R817=""),"",$R817*INDEX(Cambi!$J$2:$J$5,MATCH($S817,Cambi!$I$2:$I$5,0))/IF($T817="EUR",1,INDEX(Cambi!$D:$D,MATCH($T817&amp;"|"&amp;$U817,Cambi!$C:$C,0))))</f>
        <v/>
      </c>
      <c r="Y817" s="12" t="s">
        <v>654</v>
      </c>
      <c r="Z817" s="12" t="s">
        <v>285</v>
      </c>
      <c r="AA817" s="12" t="s">
        <v>2788</v>
      </c>
      <c r="AB817" s="16" t="s">
        <v>679</v>
      </c>
      <c r="AC817" s="16" t="s">
        <v>2789</v>
      </c>
      <c r="AD817" s="12" t="s">
        <v>201</v>
      </c>
      <c r="AE817" s="12" t="s">
        <v>2790</v>
      </c>
      <c r="AF817" s="12" t="s">
        <v>4449</v>
      </c>
      <c r="AG817" s="12" t="s">
        <v>498</v>
      </c>
      <c r="AH817" s="12" t="s">
        <v>116</v>
      </c>
      <c r="AI817" s="12" t="s">
        <v>117</v>
      </c>
      <c r="AJ817" s="12" t="s">
        <v>4450</v>
      </c>
      <c r="AK817" s="12" t="s">
        <v>4</v>
      </c>
    </row>
    <row r="818" customFormat="false" ht="15" hidden="false" customHeight="false" outlineLevel="0" collapsed="false">
      <c r="A818" s="11" t="n">
        <v>817</v>
      </c>
      <c r="B818" s="12" t="s">
        <v>2781</v>
      </c>
      <c r="C818" s="12" t="s">
        <v>4407</v>
      </c>
      <c r="D818" s="12" t="s">
        <v>4408</v>
      </c>
      <c r="E818" s="12" t="s">
        <v>759</v>
      </c>
      <c r="F818" s="12" t="s">
        <v>2235</v>
      </c>
      <c r="G818" s="12" t="s">
        <v>1876</v>
      </c>
      <c r="H818" s="12" t="s">
        <v>2782</v>
      </c>
      <c r="I818" s="12" t="s">
        <v>2783</v>
      </c>
      <c r="J818" s="13" t="s">
        <v>2784</v>
      </c>
      <c r="K818" s="12" t="s">
        <v>2785</v>
      </c>
      <c r="L818" s="12" t="s">
        <v>2786</v>
      </c>
      <c r="M818" s="12" t="s">
        <v>2787</v>
      </c>
      <c r="N818" s="12" t="s">
        <v>352</v>
      </c>
      <c r="O818" s="12" t="s">
        <v>213</v>
      </c>
      <c r="P818" s="12" t="s">
        <v>103</v>
      </c>
      <c r="Q818" s="12" t="s">
        <v>104</v>
      </c>
      <c r="R818" s="14" t="n">
        <v>15.4</v>
      </c>
      <c r="S818" s="14" t="s">
        <v>197</v>
      </c>
      <c r="T818" s="14"/>
      <c r="U818" s="14" t="n">
        <v>2025</v>
      </c>
      <c r="V818" s="12" t="s">
        <v>107</v>
      </c>
      <c r="W818" s="14"/>
      <c r="X818" s="15" t="str">
        <f aca="false">IF(OR($S818="%",$R818=""),"",$R818*INDEX(Cambi!$J$2:$J$5,MATCH($S818,Cambi!$I$2:$I$5,0))/IF($T818="EUR",1,INDEX(Cambi!$D:$D,MATCH($T818&amp;"|"&amp;$U818,Cambi!$C:$C,0))))</f>
        <v/>
      </c>
      <c r="Y818" s="12" t="s">
        <v>654</v>
      </c>
      <c r="Z818" s="12" t="s">
        <v>285</v>
      </c>
      <c r="AA818" s="12" t="s">
        <v>2788</v>
      </c>
      <c r="AB818" s="16" t="s">
        <v>679</v>
      </c>
      <c r="AC818" s="16" t="s">
        <v>2789</v>
      </c>
      <c r="AD818" s="12" t="s">
        <v>201</v>
      </c>
      <c r="AE818" s="12" t="s">
        <v>2790</v>
      </c>
      <c r="AF818" s="12" t="s">
        <v>4451</v>
      </c>
      <c r="AG818" s="12" t="s">
        <v>498</v>
      </c>
      <c r="AH818" s="12" t="s">
        <v>116</v>
      </c>
      <c r="AI818" s="12" t="s">
        <v>117</v>
      </c>
      <c r="AJ818" s="12" t="s">
        <v>4450</v>
      </c>
      <c r="AK818" s="12" t="s">
        <v>4</v>
      </c>
    </row>
    <row r="819" customFormat="false" ht="15" hidden="false" customHeight="false" outlineLevel="0" collapsed="false">
      <c r="A819" s="11" t="n">
        <v>818</v>
      </c>
      <c r="B819" s="12" t="s">
        <v>1292</v>
      </c>
      <c r="C819" s="12" t="s">
        <v>4407</v>
      </c>
      <c r="D819" s="12" t="s">
        <v>4408</v>
      </c>
      <c r="E819" s="12" t="s">
        <v>759</v>
      </c>
      <c r="F819" s="12" t="s">
        <v>4452</v>
      </c>
      <c r="G819" s="12" t="s">
        <v>771</v>
      </c>
      <c r="H819" s="17" t="s">
        <v>4453</v>
      </c>
      <c r="I819" s="12" t="s">
        <v>4454</v>
      </c>
      <c r="J819" s="13" t="s">
        <v>4455</v>
      </c>
      <c r="K819" s="12" t="s">
        <v>4456</v>
      </c>
      <c r="L819" s="17" t="s">
        <v>4457</v>
      </c>
      <c r="M819" s="12" t="s">
        <v>4458</v>
      </c>
      <c r="N819" s="12" t="s">
        <v>352</v>
      </c>
      <c r="O819" s="12" t="s">
        <v>102</v>
      </c>
      <c r="P819" s="12" t="s">
        <v>103</v>
      </c>
      <c r="Q819" s="12" t="s">
        <v>104</v>
      </c>
      <c r="R819" s="14" t="n">
        <v>330</v>
      </c>
      <c r="S819" s="14" t="s">
        <v>105</v>
      </c>
      <c r="T819" s="14" t="s">
        <v>653</v>
      </c>
      <c r="U819" s="14" t="n">
        <v>2024</v>
      </c>
      <c r="V819" s="12" t="s">
        <v>157</v>
      </c>
      <c r="W819" s="14"/>
      <c r="X819" s="15" t="n">
        <f aca="false">IF(OR($S819="%",$R819=""),"",$R819*INDEX(Cambi!$J$2:$J$5,MATCH($S819,Cambi!$I$2:$I$5,0))/IF($T819="EUR",1,INDEX(Cambi!$D:$D,MATCH($T819&amp;"|"&amp;$U819,Cambi!$C:$C,0))))</f>
        <v>304.878048780488</v>
      </c>
      <c r="Y819" s="12" t="s">
        <v>654</v>
      </c>
      <c r="Z819" s="12" t="s">
        <v>285</v>
      </c>
      <c r="AA819" s="12" t="s">
        <v>1301</v>
      </c>
      <c r="AB819" s="12" t="s">
        <v>679</v>
      </c>
      <c r="AC819" s="12" t="s">
        <v>395</v>
      </c>
      <c r="AD819" s="12" t="s">
        <v>281</v>
      </c>
      <c r="AE819" s="12" t="s">
        <v>1302</v>
      </c>
      <c r="AF819" s="12" t="s">
        <v>4459</v>
      </c>
      <c r="AG819" s="12" t="s">
        <v>498</v>
      </c>
      <c r="AH819" s="12" t="s">
        <v>499</v>
      </c>
      <c r="AI819" s="12" t="s">
        <v>285</v>
      </c>
      <c r="AJ819" s="12" t="s">
        <v>4460</v>
      </c>
      <c r="AK819" s="12" t="s">
        <v>4</v>
      </c>
    </row>
    <row r="820" customFormat="false" ht="15" hidden="false" customHeight="false" outlineLevel="0" collapsed="false">
      <c r="A820" s="11" t="n">
        <v>819</v>
      </c>
      <c r="B820" s="12" t="s">
        <v>1292</v>
      </c>
      <c r="C820" s="12" t="s">
        <v>4407</v>
      </c>
      <c r="D820" s="12" t="s">
        <v>4408</v>
      </c>
      <c r="E820" s="12" t="s">
        <v>759</v>
      </c>
      <c r="F820" s="12" t="s">
        <v>4452</v>
      </c>
      <c r="G820" s="12" t="s">
        <v>771</v>
      </c>
      <c r="H820" s="17" t="s">
        <v>4453</v>
      </c>
      <c r="I820" s="12" t="s">
        <v>4454</v>
      </c>
      <c r="J820" s="13" t="s">
        <v>4455</v>
      </c>
      <c r="K820" s="12" t="s">
        <v>4456</v>
      </c>
      <c r="L820" s="17" t="s">
        <v>4461</v>
      </c>
      <c r="M820" s="12" t="s">
        <v>4462</v>
      </c>
      <c r="N820" s="12" t="s">
        <v>195</v>
      </c>
      <c r="O820" s="12" t="s">
        <v>102</v>
      </c>
      <c r="P820" s="12" t="s">
        <v>103</v>
      </c>
      <c r="Q820" s="12" t="s">
        <v>104</v>
      </c>
      <c r="R820" s="14" t="n">
        <v>67</v>
      </c>
      <c r="S820" s="14" t="s">
        <v>432</v>
      </c>
      <c r="T820" s="14" t="s">
        <v>653</v>
      </c>
      <c r="U820" s="14" t="n">
        <v>2025</v>
      </c>
      <c r="V820" s="12" t="s">
        <v>198</v>
      </c>
      <c r="W820" s="14"/>
      <c r="X820" s="15" t="n">
        <f aca="false">IF(OR($S820="%",$R820=""),"",$R820*INDEX(Cambi!$J$2:$J$5,MATCH($S820,Cambi!$I$2:$I$5,0))/IF($T820="EUR",1,INDEX(Cambi!$D:$D,MATCH($T820&amp;"|"&amp;$U820,Cambi!$C:$C,0))))</f>
        <v>5.92920353982301E-005</v>
      </c>
      <c r="Y820" s="12" t="s">
        <v>654</v>
      </c>
      <c r="Z820" s="12" t="s">
        <v>285</v>
      </c>
      <c r="AA820" s="12" t="s">
        <v>1301</v>
      </c>
      <c r="AB820" s="12" t="s">
        <v>679</v>
      </c>
      <c r="AC820" s="12" t="s">
        <v>395</v>
      </c>
      <c r="AD820" s="12" t="s">
        <v>281</v>
      </c>
      <c r="AE820" s="12" t="s">
        <v>1302</v>
      </c>
      <c r="AF820" s="17" t="s">
        <v>4463</v>
      </c>
      <c r="AG820" s="12" t="s">
        <v>498</v>
      </c>
      <c r="AH820" s="12" t="s">
        <v>499</v>
      </c>
      <c r="AI820" s="12" t="s">
        <v>285</v>
      </c>
      <c r="AJ820" s="12" t="s">
        <v>4464</v>
      </c>
      <c r="AK820" s="12" t="s">
        <v>4</v>
      </c>
    </row>
    <row r="821" customFormat="false" ht="15" hidden="false" customHeight="false" outlineLevel="0" collapsed="false">
      <c r="A821" s="11" t="n">
        <v>820</v>
      </c>
      <c r="B821" s="12" t="s">
        <v>1292</v>
      </c>
      <c r="C821" s="12" t="s">
        <v>4407</v>
      </c>
      <c r="D821" s="12" t="s">
        <v>4408</v>
      </c>
      <c r="E821" s="12" t="s">
        <v>759</v>
      </c>
      <c r="F821" s="12" t="s">
        <v>4452</v>
      </c>
      <c r="G821" s="12" t="s">
        <v>771</v>
      </c>
      <c r="H821" s="17" t="s">
        <v>4453</v>
      </c>
      <c r="I821" s="12" t="s">
        <v>4454</v>
      </c>
      <c r="J821" s="13" t="s">
        <v>4455</v>
      </c>
      <c r="K821" s="12" t="s">
        <v>4456</v>
      </c>
      <c r="L821" s="17" t="s">
        <v>4457</v>
      </c>
      <c r="M821" s="12" t="s">
        <v>4465</v>
      </c>
      <c r="N821" s="12" t="s">
        <v>352</v>
      </c>
      <c r="O821" s="12" t="s">
        <v>102</v>
      </c>
      <c r="P821" s="12" t="s">
        <v>103</v>
      </c>
      <c r="Q821" s="12" t="s">
        <v>104</v>
      </c>
      <c r="R821" s="14" t="n">
        <v>358.41</v>
      </c>
      <c r="S821" s="14" t="s">
        <v>105</v>
      </c>
      <c r="T821" s="14" t="s">
        <v>653</v>
      </c>
      <c r="U821" s="14" t="n">
        <v>2025</v>
      </c>
      <c r="V821" s="12" t="s">
        <v>198</v>
      </c>
      <c r="W821" s="14" t="s">
        <v>4466</v>
      </c>
      <c r="X821" s="15" t="n">
        <f aca="false">IF(OR($S821="%",$R821=""),"",$R821*INDEX(Cambi!$J$2:$J$5,MATCH($S821,Cambi!$I$2:$I$5,0))/IF($T821="EUR",1,INDEX(Cambi!$D:$D,MATCH($T821&amp;"|"&amp;$U821,Cambi!$C:$C,0))))</f>
        <v>317.176991150443</v>
      </c>
      <c r="Y821" s="12" t="s">
        <v>654</v>
      </c>
      <c r="Z821" s="12" t="s">
        <v>285</v>
      </c>
      <c r="AA821" s="12" t="s">
        <v>1301</v>
      </c>
      <c r="AB821" s="12" t="s">
        <v>679</v>
      </c>
      <c r="AC821" s="12" t="s">
        <v>395</v>
      </c>
      <c r="AD821" s="12" t="s">
        <v>281</v>
      </c>
      <c r="AE821" s="12" t="s">
        <v>1302</v>
      </c>
      <c r="AF821" s="12" t="s">
        <v>4459</v>
      </c>
      <c r="AG821" s="12" t="s">
        <v>498</v>
      </c>
      <c r="AH821" s="12" t="s">
        <v>499</v>
      </c>
      <c r="AI821" s="12" t="s">
        <v>285</v>
      </c>
      <c r="AJ821" s="12" t="s">
        <v>4467</v>
      </c>
      <c r="AK821" s="12" t="s">
        <v>4</v>
      </c>
    </row>
    <row r="822" customFormat="false" ht="15" hidden="false" customHeight="false" outlineLevel="0" collapsed="false">
      <c r="A822" s="11" t="n">
        <v>821</v>
      </c>
      <c r="B822" s="12" t="s">
        <v>4468</v>
      </c>
      <c r="C822" s="12" t="s">
        <v>4407</v>
      </c>
      <c r="D822" s="12" t="s">
        <v>4408</v>
      </c>
      <c r="E822" s="12" t="s">
        <v>759</v>
      </c>
      <c r="F822" s="12" t="s">
        <v>4469</v>
      </c>
      <c r="G822" s="12" t="s">
        <v>1055</v>
      </c>
      <c r="H822" s="12" t="s">
        <v>4470</v>
      </c>
      <c r="I822" s="12" t="s">
        <v>4471</v>
      </c>
      <c r="J822" s="13" t="s">
        <v>4472</v>
      </c>
      <c r="K822" s="12" t="s">
        <v>4473</v>
      </c>
      <c r="L822" s="12" t="s">
        <v>4474</v>
      </c>
      <c r="M822" s="12" t="s">
        <v>4475</v>
      </c>
      <c r="N822" s="12" t="s">
        <v>101</v>
      </c>
      <c r="O822" s="12" t="s">
        <v>102</v>
      </c>
      <c r="P822" s="12" t="s">
        <v>103</v>
      </c>
      <c r="Q822" s="12" t="s">
        <v>104</v>
      </c>
      <c r="R822" s="14" t="n">
        <v>880</v>
      </c>
      <c r="S822" s="14" t="s">
        <v>105</v>
      </c>
      <c r="T822" s="14" t="s">
        <v>4476</v>
      </c>
      <c r="U822" s="14" t="n">
        <v>2026</v>
      </c>
      <c r="V822" s="12" t="s">
        <v>198</v>
      </c>
      <c r="W822" s="14"/>
      <c r="X822" s="15" t="n">
        <f aca="false">IF(OR($S822="%",$R822=""),"",$R822*INDEX(Cambi!$J$2:$J$5,MATCH($S822,Cambi!$I$2:$I$5,0))/IF($T822="EUR",1,INDEX(Cambi!$D:$D,MATCH($T822&amp;"|"&amp;$U822,Cambi!$C:$C,0))))</f>
        <v>35.6448476992871</v>
      </c>
      <c r="Y822" s="12" t="s">
        <v>108</v>
      </c>
      <c r="Z822" s="12" t="s">
        <v>117</v>
      </c>
      <c r="AA822" s="12" t="s">
        <v>4477</v>
      </c>
      <c r="AB822" s="16" t="s">
        <v>394</v>
      </c>
      <c r="AC822" s="16" t="s">
        <v>4478</v>
      </c>
      <c r="AD822" s="12" t="s">
        <v>112</v>
      </c>
      <c r="AE822" s="12" t="s">
        <v>4479</v>
      </c>
      <c r="AF822" s="12" t="s">
        <v>4480</v>
      </c>
      <c r="AG822" s="12" t="s">
        <v>115</v>
      </c>
      <c r="AH822" s="12" t="s">
        <v>499</v>
      </c>
      <c r="AI822" s="12" t="s">
        <v>285</v>
      </c>
      <c r="AJ822" s="12" t="s">
        <v>4481</v>
      </c>
      <c r="AK822" s="12" t="s">
        <v>4</v>
      </c>
    </row>
    <row r="823" customFormat="false" ht="15" hidden="false" customHeight="false" outlineLevel="0" collapsed="false">
      <c r="A823" s="11" t="n">
        <v>822</v>
      </c>
      <c r="B823" s="12" t="s">
        <v>4468</v>
      </c>
      <c r="C823" s="12" t="s">
        <v>4407</v>
      </c>
      <c r="D823" s="12" t="s">
        <v>4408</v>
      </c>
      <c r="E823" s="12" t="s">
        <v>759</v>
      </c>
      <c r="F823" s="12" t="s">
        <v>4469</v>
      </c>
      <c r="G823" s="12" t="s">
        <v>1055</v>
      </c>
      <c r="H823" s="12" t="s">
        <v>4470</v>
      </c>
      <c r="I823" s="12" t="s">
        <v>4471</v>
      </c>
      <c r="J823" s="13" t="s">
        <v>4472</v>
      </c>
      <c r="K823" s="12" t="s">
        <v>4473</v>
      </c>
      <c r="L823" s="12" t="s">
        <v>4474</v>
      </c>
      <c r="M823" s="12" t="s">
        <v>4482</v>
      </c>
      <c r="N823" s="12" t="s">
        <v>101</v>
      </c>
      <c r="O823" s="12" t="s">
        <v>102</v>
      </c>
      <c r="P823" s="12" t="s">
        <v>103</v>
      </c>
      <c r="Q823" s="12" t="s">
        <v>104</v>
      </c>
      <c r="R823" s="14" t="n">
        <v>964</v>
      </c>
      <c r="S823" s="14" t="s">
        <v>105</v>
      </c>
      <c r="T823" s="14" t="s">
        <v>4476</v>
      </c>
      <c r="U823" s="14" t="n">
        <v>2027</v>
      </c>
      <c r="V823" s="12" t="s">
        <v>107</v>
      </c>
      <c r="W823" s="14"/>
      <c r="X823" s="15" t="n">
        <f aca="false">IF(OR($S823="%",$R823=""),"",$R823*INDEX(Cambi!$J$2:$J$5,MATCH($S823,Cambi!$I$2:$I$5,0))/IF($T823="EUR",1,INDEX(Cambi!$D:$D,MATCH($T823&amp;"|"&amp;$U823,Cambi!$C:$C,0))))</f>
        <v>39.0473104342191</v>
      </c>
      <c r="Y823" s="12" t="s">
        <v>108</v>
      </c>
      <c r="Z823" s="12" t="s">
        <v>117</v>
      </c>
      <c r="AA823" s="12" t="s">
        <v>4477</v>
      </c>
      <c r="AB823" s="16" t="s">
        <v>394</v>
      </c>
      <c r="AC823" s="16" t="s">
        <v>4478</v>
      </c>
      <c r="AD823" s="12" t="s">
        <v>112</v>
      </c>
      <c r="AE823" s="12" t="s">
        <v>4479</v>
      </c>
      <c r="AF823" s="12" t="s">
        <v>4483</v>
      </c>
      <c r="AG823" s="12" t="s">
        <v>115</v>
      </c>
      <c r="AH823" s="12" t="s">
        <v>499</v>
      </c>
      <c r="AI823" s="12" t="s">
        <v>285</v>
      </c>
      <c r="AJ823" s="12" t="s">
        <v>4484</v>
      </c>
      <c r="AK823" s="12" t="s">
        <v>4</v>
      </c>
    </row>
    <row r="824" customFormat="false" ht="15" hidden="false" customHeight="false" outlineLevel="0" collapsed="false">
      <c r="A824" s="11" t="n">
        <v>823</v>
      </c>
      <c r="B824" s="12" t="s">
        <v>4485</v>
      </c>
      <c r="C824" s="12" t="s">
        <v>4407</v>
      </c>
      <c r="D824" s="12" t="s">
        <v>4408</v>
      </c>
      <c r="E824" s="12" t="s">
        <v>759</v>
      </c>
      <c r="F824" s="12" t="s">
        <v>4486</v>
      </c>
      <c r="G824" s="12" t="s">
        <v>771</v>
      </c>
      <c r="H824" s="12" t="s">
        <v>4487</v>
      </c>
      <c r="I824" s="12" t="s">
        <v>4488</v>
      </c>
      <c r="J824" s="13" t="s">
        <v>4489</v>
      </c>
      <c r="K824" s="12"/>
      <c r="L824" s="12" t="s">
        <v>4490</v>
      </c>
      <c r="M824" s="12" t="s">
        <v>4491</v>
      </c>
      <c r="N824" s="12" t="s">
        <v>101</v>
      </c>
      <c r="O824" s="12" t="s">
        <v>102</v>
      </c>
      <c r="P824" s="12" t="s">
        <v>103</v>
      </c>
      <c r="Q824" s="12" t="s">
        <v>104</v>
      </c>
      <c r="R824" s="14" t="n">
        <v>923353199</v>
      </c>
      <c r="S824" s="14" t="s">
        <v>432</v>
      </c>
      <c r="T824" s="14" t="s">
        <v>4476</v>
      </c>
      <c r="U824" s="14" t="n">
        <v>2026</v>
      </c>
      <c r="V824" s="12" t="s">
        <v>198</v>
      </c>
      <c r="W824" s="14"/>
      <c r="X824" s="15" t="n">
        <f aca="false">IF(OR($S824="%",$R824=""),"",$R824*INDEX(Cambi!$J$2:$J$5,MATCH($S824,Cambi!$I$2:$I$5,0))/IF($T824="EUR",1,INDEX(Cambi!$D:$D,MATCH($T824&amp;"|"&amp;$U824,Cambi!$C:$C,0))))</f>
        <v>37.400891080687</v>
      </c>
      <c r="Y824" s="12" t="s">
        <v>108</v>
      </c>
      <c r="Z824" s="12" t="s">
        <v>117</v>
      </c>
      <c r="AA824" s="12" t="s">
        <v>4477</v>
      </c>
      <c r="AB824" s="16" t="s">
        <v>394</v>
      </c>
      <c r="AC824" s="16" t="s">
        <v>4478</v>
      </c>
      <c r="AD824" s="12" t="s">
        <v>112</v>
      </c>
      <c r="AE824" s="12" t="s">
        <v>4479</v>
      </c>
      <c r="AF824" s="12" t="s">
        <v>4492</v>
      </c>
      <c r="AG824" s="12" t="s">
        <v>115</v>
      </c>
      <c r="AH824" s="12" t="s">
        <v>116</v>
      </c>
      <c r="AI824" s="12" t="s">
        <v>117</v>
      </c>
      <c r="AJ824" s="12" t="s">
        <v>4493</v>
      </c>
      <c r="AK824" s="12" t="s">
        <v>4</v>
      </c>
    </row>
    <row r="825" customFormat="false" ht="15" hidden="false" customHeight="false" outlineLevel="0" collapsed="false">
      <c r="A825" s="11" t="n">
        <v>824</v>
      </c>
      <c r="B825" s="12" t="s">
        <v>4494</v>
      </c>
      <c r="C825" s="12" t="s">
        <v>4407</v>
      </c>
      <c r="D825" s="12" t="s">
        <v>4408</v>
      </c>
      <c r="E825" s="12" t="s">
        <v>759</v>
      </c>
      <c r="F825" s="12" t="s">
        <v>4486</v>
      </c>
      <c r="G825" s="12" t="s">
        <v>771</v>
      </c>
      <c r="H825" s="12" t="s">
        <v>4495</v>
      </c>
      <c r="I825" s="12" t="s">
        <v>4496</v>
      </c>
      <c r="J825" s="13" t="s">
        <v>4497</v>
      </c>
      <c r="K825" s="12"/>
      <c r="L825" s="12" t="s">
        <v>4490</v>
      </c>
      <c r="M825" s="12" t="s">
        <v>4498</v>
      </c>
      <c r="N825" s="12" t="s">
        <v>101</v>
      </c>
      <c r="O825" s="12" t="s">
        <v>102</v>
      </c>
      <c r="P825" s="12" t="s">
        <v>103</v>
      </c>
      <c r="Q825" s="12" t="s">
        <v>104</v>
      </c>
      <c r="R825" s="14" t="n">
        <v>610947413</v>
      </c>
      <c r="S825" s="14" t="s">
        <v>432</v>
      </c>
      <c r="T825" s="14" t="s">
        <v>4476</v>
      </c>
      <c r="U825" s="14" t="n">
        <v>2024</v>
      </c>
      <c r="V825" s="12" t="s">
        <v>157</v>
      </c>
      <c r="W825" s="14"/>
      <c r="X825" s="15" t="n">
        <f aca="false">IF(OR($S825="%",$R825=""),"",$R825*INDEX(Cambi!$J$2:$J$5,MATCH($S825,Cambi!$I$2:$I$5,0))/IF($T825="EUR",1,INDEX(Cambi!$D:$D,MATCH($T825&amp;"|"&amp;$U825,Cambi!$C:$C,0))))</f>
        <v>24.3211549761147</v>
      </c>
      <c r="Y825" s="12" t="s">
        <v>108</v>
      </c>
      <c r="Z825" s="12" t="s">
        <v>117</v>
      </c>
      <c r="AA825" s="12" t="s">
        <v>4477</v>
      </c>
      <c r="AB825" s="16" t="s">
        <v>394</v>
      </c>
      <c r="AC825" s="16" t="s">
        <v>4478</v>
      </c>
      <c r="AD825" s="12" t="s">
        <v>112</v>
      </c>
      <c r="AE825" s="12" t="s">
        <v>4479</v>
      </c>
      <c r="AF825" s="12" t="s">
        <v>4499</v>
      </c>
      <c r="AG825" s="12" t="s">
        <v>115</v>
      </c>
      <c r="AH825" s="12" t="s">
        <v>116</v>
      </c>
      <c r="AI825" s="12" t="s">
        <v>117</v>
      </c>
      <c r="AJ825" s="12" t="s">
        <v>4500</v>
      </c>
      <c r="AK825" s="12" t="s">
        <v>4</v>
      </c>
    </row>
    <row r="826" customFormat="false" ht="15" hidden="false" customHeight="false" outlineLevel="0" collapsed="false">
      <c r="A826" s="11" t="n">
        <v>825</v>
      </c>
      <c r="B826" s="12" t="s">
        <v>4494</v>
      </c>
      <c r="C826" s="12" t="s">
        <v>4407</v>
      </c>
      <c r="D826" s="12" t="s">
        <v>4408</v>
      </c>
      <c r="E826" s="12" t="s">
        <v>759</v>
      </c>
      <c r="F826" s="12" t="s">
        <v>4486</v>
      </c>
      <c r="G826" s="12" t="s">
        <v>771</v>
      </c>
      <c r="H826" s="12" t="s">
        <v>4495</v>
      </c>
      <c r="I826" s="12" t="s">
        <v>4496</v>
      </c>
      <c r="J826" s="13" t="s">
        <v>4497</v>
      </c>
      <c r="K826" s="12"/>
      <c r="L826" s="12" t="s">
        <v>4490</v>
      </c>
      <c r="M826" s="12" t="s">
        <v>4501</v>
      </c>
      <c r="N826" s="12" t="s">
        <v>101</v>
      </c>
      <c r="O826" s="12" t="s">
        <v>102</v>
      </c>
      <c r="P826" s="12" t="s">
        <v>103</v>
      </c>
      <c r="Q826" s="12" t="s">
        <v>104</v>
      </c>
      <c r="R826" s="14" t="n">
        <v>678826085</v>
      </c>
      <c r="S826" s="14" t="s">
        <v>432</v>
      </c>
      <c r="T826" s="14" t="s">
        <v>4476</v>
      </c>
      <c r="U826" s="14" t="n">
        <v>2025</v>
      </c>
      <c r="V826" s="12" t="s">
        <v>157</v>
      </c>
      <c r="W826" s="14" t="s">
        <v>4502</v>
      </c>
      <c r="X826" s="15" t="n">
        <f aca="false">IF(OR($S826="%",$R826=""),"",$R826*INDEX(Cambi!$J$2:$J$5,MATCH($S826,Cambi!$I$2:$I$5,0))/IF($T826="EUR",1,INDEX(Cambi!$D:$D,MATCH($T826&amp;"|"&amp;$U826,Cambi!$C:$C,0))))</f>
        <v>27.4961959251458</v>
      </c>
      <c r="Y826" s="12" t="s">
        <v>108</v>
      </c>
      <c r="Z826" s="12" t="s">
        <v>117</v>
      </c>
      <c r="AA826" s="12" t="s">
        <v>4477</v>
      </c>
      <c r="AB826" s="16" t="s">
        <v>394</v>
      </c>
      <c r="AC826" s="16" t="s">
        <v>4478</v>
      </c>
      <c r="AD826" s="12" t="s">
        <v>112</v>
      </c>
      <c r="AE826" s="12" t="s">
        <v>4479</v>
      </c>
      <c r="AF826" s="12" t="s">
        <v>4499</v>
      </c>
      <c r="AG826" s="12" t="s">
        <v>115</v>
      </c>
      <c r="AH826" s="12" t="s">
        <v>116</v>
      </c>
      <c r="AI826" s="12" t="s">
        <v>117</v>
      </c>
      <c r="AJ826" s="12" t="s">
        <v>4503</v>
      </c>
      <c r="AK826" s="12" t="s">
        <v>4</v>
      </c>
    </row>
    <row r="827" customFormat="false" ht="15" hidden="false" customHeight="false" outlineLevel="0" collapsed="false">
      <c r="A827" s="11" t="n">
        <v>826</v>
      </c>
      <c r="B827" s="12" t="s">
        <v>4504</v>
      </c>
      <c r="C827" s="12" t="s">
        <v>4407</v>
      </c>
      <c r="D827" s="12" t="s">
        <v>4408</v>
      </c>
      <c r="E827" s="12" t="s">
        <v>759</v>
      </c>
      <c r="F827" s="12" t="s">
        <v>4505</v>
      </c>
      <c r="G827" s="12" t="s">
        <v>771</v>
      </c>
      <c r="H827" s="12" t="s">
        <v>4506</v>
      </c>
      <c r="I827" s="12" t="s">
        <v>4507</v>
      </c>
      <c r="J827" s="13" t="s">
        <v>4508</v>
      </c>
      <c r="K827" s="12"/>
      <c r="L827" s="12" t="s">
        <v>4509</v>
      </c>
      <c r="M827" s="12" t="s">
        <v>4510</v>
      </c>
      <c r="N827" s="12" t="s">
        <v>101</v>
      </c>
      <c r="O827" s="12" t="s">
        <v>102</v>
      </c>
      <c r="P827" s="12" t="s">
        <v>103</v>
      </c>
      <c r="Q827" s="12" t="s">
        <v>104</v>
      </c>
      <c r="R827" s="14" t="n">
        <v>1000</v>
      </c>
      <c r="S827" s="14" t="s">
        <v>105</v>
      </c>
      <c r="T827" s="14" t="s">
        <v>4476</v>
      </c>
      <c r="U827" s="14" t="n">
        <v>2024</v>
      </c>
      <c r="V827" s="12" t="s">
        <v>157</v>
      </c>
      <c r="W827" s="14"/>
      <c r="X827" s="15" t="n">
        <f aca="false">IF(OR($S827="%",$R827=""),"",$R827*INDEX(Cambi!$J$2:$J$5,MATCH($S827,Cambi!$I$2:$I$5,0))/IF($T827="EUR",1,INDEX(Cambi!$D:$D,MATCH($T827&amp;"|"&amp;$U827,Cambi!$C:$C,0))))</f>
        <v>39.8089171974522</v>
      </c>
      <c r="Y827" s="12" t="s">
        <v>108</v>
      </c>
      <c r="Z827" s="12" t="s">
        <v>109</v>
      </c>
      <c r="AA827" s="12" t="s">
        <v>4511</v>
      </c>
      <c r="AB827" s="16" t="s">
        <v>394</v>
      </c>
      <c r="AC827" s="16" t="s">
        <v>4512</v>
      </c>
      <c r="AD827" s="12" t="s">
        <v>112</v>
      </c>
      <c r="AE827" s="12" t="s">
        <v>4513</v>
      </c>
      <c r="AF827" s="12" t="s">
        <v>4514</v>
      </c>
      <c r="AG827" s="12" t="s">
        <v>115</v>
      </c>
      <c r="AH827" s="12" t="s">
        <v>116</v>
      </c>
      <c r="AI827" s="12" t="s">
        <v>117</v>
      </c>
      <c r="AJ827" s="12" t="s">
        <v>4515</v>
      </c>
      <c r="AK827" s="12" t="s">
        <v>4</v>
      </c>
    </row>
    <row r="828" customFormat="false" ht="15" hidden="false" customHeight="false" outlineLevel="0" collapsed="false">
      <c r="A828" s="11" t="n">
        <v>827</v>
      </c>
      <c r="B828" s="12" t="s">
        <v>4516</v>
      </c>
      <c r="C828" s="12" t="s">
        <v>4407</v>
      </c>
      <c r="D828" s="12" t="s">
        <v>4408</v>
      </c>
      <c r="E828" s="12" t="s">
        <v>759</v>
      </c>
      <c r="F828" s="12" t="s">
        <v>4505</v>
      </c>
      <c r="G828" s="12" t="s">
        <v>771</v>
      </c>
      <c r="H828" s="12" t="s">
        <v>4517</v>
      </c>
      <c r="I828" s="12" t="s">
        <v>4518</v>
      </c>
      <c r="J828" s="13" t="s">
        <v>4519</v>
      </c>
      <c r="K828" s="12"/>
      <c r="L828" s="12" t="s">
        <v>4520</v>
      </c>
      <c r="M828" s="12" t="s">
        <v>4521</v>
      </c>
      <c r="N828" s="12" t="s">
        <v>101</v>
      </c>
      <c r="O828" s="12" t="s">
        <v>102</v>
      </c>
      <c r="P828" s="12" t="s">
        <v>103</v>
      </c>
      <c r="Q828" s="12" t="s">
        <v>104</v>
      </c>
      <c r="R828" s="14" t="n">
        <v>300</v>
      </c>
      <c r="S828" s="14" t="s">
        <v>105</v>
      </c>
      <c r="T828" s="14" t="s">
        <v>4476</v>
      </c>
      <c r="U828" s="14" t="n">
        <v>2024</v>
      </c>
      <c r="V828" s="12" t="s">
        <v>157</v>
      </c>
      <c r="W828" s="14"/>
      <c r="X828" s="15" t="n">
        <f aca="false">IF(OR($S828="%",$R828=""),"",$R828*INDEX(Cambi!$J$2:$J$5,MATCH($S828,Cambi!$I$2:$I$5,0))/IF($T828="EUR",1,INDEX(Cambi!$D:$D,MATCH($T828&amp;"|"&amp;$U828,Cambi!$C:$C,0))))</f>
        <v>11.9426751592357</v>
      </c>
      <c r="Y828" s="12" t="s">
        <v>108</v>
      </c>
      <c r="Z828" s="12" t="s">
        <v>109</v>
      </c>
      <c r="AA828" s="12" t="s">
        <v>4511</v>
      </c>
      <c r="AB828" s="16" t="s">
        <v>394</v>
      </c>
      <c r="AC828" s="16" t="s">
        <v>4512</v>
      </c>
      <c r="AD828" s="12" t="s">
        <v>112</v>
      </c>
      <c r="AE828" s="12" t="s">
        <v>4513</v>
      </c>
      <c r="AF828" s="12" t="s">
        <v>4522</v>
      </c>
      <c r="AG828" s="12" t="s">
        <v>115</v>
      </c>
      <c r="AH828" s="12" t="s">
        <v>116</v>
      </c>
      <c r="AI828" s="12" t="s">
        <v>117</v>
      </c>
      <c r="AJ828" s="12" t="s">
        <v>4523</v>
      </c>
      <c r="AK828" s="12" t="s">
        <v>4</v>
      </c>
    </row>
    <row r="829" customFormat="false" ht="15" hidden="false" customHeight="false" outlineLevel="0" collapsed="false">
      <c r="A829" s="11" t="n">
        <v>828</v>
      </c>
      <c r="B829" s="12" t="s">
        <v>4524</v>
      </c>
      <c r="C829" s="12" t="s">
        <v>4407</v>
      </c>
      <c r="D829" s="12" t="s">
        <v>4408</v>
      </c>
      <c r="E829" s="12" t="s">
        <v>759</v>
      </c>
      <c r="F829" s="12" t="s">
        <v>4525</v>
      </c>
      <c r="G829" s="12" t="s">
        <v>771</v>
      </c>
      <c r="H829" s="12" t="s">
        <v>4526</v>
      </c>
      <c r="I829" s="12" t="s">
        <v>847</v>
      </c>
      <c r="J829" s="13" t="s">
        <v>4527</v>
      </c>
      <c r="K829" s="12"/>
      <c r="L829" s="12" t="s">
        <v>4528</v>
      </c>
      <c r="M829" s="12" t="s">
        <v>4529</v>
      </c>
      <c r="N829" s="12" t="s">
        <v>101</v>
      </c>
      <c r="O829" s="12" t="s">
        <v>102</v>
      </c>
      <c r="P829" s="12" t="s">
        <v>103</v>
      </c>
      <c r="Q829" s="12" t="s">
        <v>104</v>
      </c>
      <c r="R829" s="14" t="n">
        <v>691001636.92</v>
      </c>
      <c r="S829" s="14" t="s">
        <v>432</v>
      </c>
      <c r="T829" s="14" t="s">
        <v>4476</v>
      </c>
      <c r="U829" s="14" t="n">
        <v>2025</v>
      </c>
      <c r="V829" s="12" t="s">
        <v>157</v>
      </c>
      <c r="W829" s="14"/>
      <c r="X829" s="15" t="n">
        <f aca="false">IF(OR($S829="%",$R829=""),"",$R829*INDEX(Cambi!$J$2:$J$5,MATCH($S829,Cambi!$I$2:$I$5,0))/IF($T829="EUR",1,INDEX(Cambi!$D:$D,MATCH($T829&amp;"|"&amp;$U829,Cambi!$C:$C,0))))</f>
        <v>27.9893728499676</v>
      </c>
      <c r="Y829" s="12" t="s">
        <v>108</v>
      </c>
      <c r="Z829" s="12" t="s">
        <v>117</v>
      </c>
      <c r="AA829" s="12" t="s">
        <v>4477</v>
      </c>
      <c r="AB829" s="16" t="s">
        <v>394</v>
      </c>
      <c r="AC829" s="16" t="s">
        <v>4478</v>
      </c>
      <c r="AD829" s="12" t="s">
        <v>112</v>
      </c>
      <c r="AE829" s="12" t="s">
        <v>4479</v>
      </c>
      <c r="AF829" s="12" t="s">
        <v>4530</v>
      </c>
      <c r="AG829" s="12" t="s">
        <v>115</v>
      </c>
      <c r="AH829" s="12" t="s">
        <v>116</v>
      </c>
      <c r="AI829" s="12" t="s">
        <v>117</v>
      </c>
      <c r="AJ829" s="12" t="s">
        <v>4531</v>
      </c>
      <c r="AK829" s="12" t="s">
        <v>4</v>
      </c>
    </row>
    <row r="830" customFormat="false" ht="15" hidden="false" customHeight="false" outlineLevel="0" collapsed="false">
      <c r="A830" s="11" t="n">
        <v>829</v>
      </c>
      <c r="B830" s="12" t="s">
        <v>4524</v>
      </c>
      <c r="C830" s="12" t="s">
        <v>4407</v>
      </c>
      <c r="D830" s="12" t="s">
        <v>4408</v>
      </c>
      <c r="E830" s="12" t="s">
        <v>759</v>
      </c>
      <c r="F830" s="12" t="s">
        <v>4525</v>
      </c>
      <c r="G830" s="12" t="s">
        <v>771</v>
      </c>
      <c r="H830" s="12" t="s">
        <v>4526</v>
      </c>
      <c r="I830" s="12" t="s">
        <v>847</v>
      </c>
      <c r="J830" s="13" t="s">
        <v>4527</v>
      </c>
      <c r="K830" s="12"/>
      <c r="L830" s="12" t="s">
        <v>4532</v>
      </c>
      <c r="M830" s="12" t="s">
        <v>4533</v>
      </c>
      <c r="N830" s="12" t="s">
        <v>101</v>
      </c>
      <c r="O830" s="12" t="s">
        <v>102</v>
      </c>
      <c r="P830" s="12" t="s">
        <v>103</v>
      </c>
      <c r="Q830" s="12" t="s">
        <v>104</v>
      </c>
      <c r="R830" s="14" t="n">
        <v>794845086.53</v>
      </c>
      <c r="S830" s="14" t="s">
        <v>432</v>
      </c>
      <c r="T830" s="14" t="s">
        <v>4476</v>
      </c>
      <c r="U830" s="14" t="n">
        <v>2025</v>
      </c>
      <c r="V830" s="12" t="s">
        <v>157</v>
      </c>
      <c r="W830" s="14"/>
      <c r="X830" s="15" t="n">
        <f aca="false">IF(OR($S830="%",$R830=""),"",$R830*INDEX(Cambi!$J$2:$J$5,MATCH($S830,Cambi!$I$2:$I$5,0))/IF($T830="EUR",1,INDEX(Cambi!$D:$D,MATCH($T830&amp;"|"&amp;$U830,Cambi!$C:$C,0))))</f>
        <v>32.1956046066915</v>
      </c>
      <c r="Y830" s="12" t="s">
        <v>108</v>
      </c>
      <c r="Z830" s="12" t="s">
        <v>117</v>
      </c>
      <c r="AA830" s="12" t="s">
        <v>4477</v>
      </c>
      <c r="AB830" s="16" t="s">
        <v>394</v>
      </c>
      <c r="AC830" s="16" t="s">
        <v>4478</v>
      </c>
      <c r="AD830" s="12" t="s">
        <v>112</v>
      </c>
      <c r="AE830" s="12" t="s">
        <v>4479</v>
      </c>
      <c r="AF830" s="12" t="s">
        <v>4534</v>
      </c>
      <c r="AG830" s="12" t="s">
        <v>115</v>
      </c>
      <c r="AH830" s="12" t="s">
        <v>116</v>
      </c>
      <c r="AI830" s="12" t="s">
        <v>117</v>
      </c>
      <c r="AJ830" s="12" t="s">
        <v>4531</v>
      </c>
      <c r="AK830" s="12" t="s">
        <v>4</v>
      </c>
    </row>
    <row r="831" customFormat="false" ht="15" hidden="false" customHeight="false" outlineLevel="0" collapsed="false">
      <c r="A831" s="11" t="n">
        <v>830</v>
      </c>
      <c r="B831" s="12" t="s">
        <v>4535</v>
      </c>
      <c r="C831" s="12" t="s">
        <v>4407</v>
      </c>
      <c r="D831" s="12" t="s">
        <v>4408</v>
      </c>
      <c r="E831" s="12" t="s">
        <v>759</v>
      </c>
      <c r="F831" s="12" t="s">
        <v>4536</v>
      </c>
      <c r="G831" s="12" t="s">
        <v>771</v>
      </c>
      <c r="H831" s="12" t="s">
        <v>4537</v>
      </c>
      <c r="I831" s="12" t="s">
        <v>583</v>
      </c>
      <c r="J831" s="13" t="s">
        <v>4538</v>
      </c>
      <c r="K831" s="12"/>
      <c r="L831" s="12" t="s">
        <v>4539</v>
      </c>
      <c r="M831" s="12" t="s">
        <v>4540</v>
      </c>
      <c r="N831" s="12" t="s">
        <v>195</v>
      </c>
      <c r="O831" s="12" t="s">
        <v>196</v>
      </c>
      <c r="P831" s="12" t="s">
        <v>103</v>
      </c>
      <c r="Q831" s="12" t="s">
        <v>104</v>
      </c>
      <c r="R831" s="14" t="n">
        <v>76</v>
      </c>
      <c r="S831" s="14" t="s">
        <v>197</v>
      </c>
      <c r="T831" s="14"/>
      <c r="U831" s="14" t="n">
        <v>2022</v>
      </c>
      <c r="V831" s="12" t="s">
        <v>157</v>
      </c>
      <c r="W831" s="14"/>
      <c r="X831" s="15" t="str">
        <f aca="false">IF(OR($S831="%",$R831=""),"",$R831*INDEX(Cambi!$J$2:$J$5,MATCH($S831,Cambi!$I$2:$I$5,0))/IF($T831="EUR",1,INDEX(Cambi!$D:$D,MATCH($T831&amp;"|"&amp;$U831,Cambi!$C:$C,0))))</f>
        <v/>
      </c>
      <c r="Y831" s="12" t="s">
        <v>130</v>
      </c>
      <c r="Z831" s="12" t="s">
        <v>109</v>
      </c>
      <c r="AA831" s="12" t="s">
        <v>109</v>
      </c>
      <c r="AB831" s="12" t="s">
        <v>394</v>
      </c>
      <c r="AC831" s="12" t="s">
        <v>395</v>
      </c>
      <c r="AD831" s="12" t="s">
        <v>112</v>
      </c>
      <c r="AE831" s="12" t="s">
        <v>4541</v>
      </c>
      <c r="AF831" s="12" t="s">
        <v>4542</v>
      </c>
      <c r="AG831" s="12" t="s">
        <v>115</v>
      </c>
      <c r="AH831" s="12" t="s">
        <v>116</v>
      </c>
      <c r="AI831" s="12" t="s">
        <v>117</v>
      </c>
      <c r="AJ831" s="12" t="s">
        <v>4543</v>
      </c>
      <c r="AK831" s="12" t="s">
        <v>4</v>
      </c>
    </row>
    <row r="832" customFormat="false" ht="15" hidden="false" customHeight="false" outlineLevel="0" collapsed="false">
      <c r="A832" s="11" t="n">
        <v>831</v>
      </c>
      <c r="B832" s="12" t="s">
        <v>4544</v>
      </c>
      <c r="C832" s="12" t="s">
        <v>4407</v>
      </c>
      <c r="D832" s="12" t="s">
        <v>4408</v>
      </c>
      <c r="E832" s="12" t="s">
        <v>759</v>
      </c>
      <c r="F832" s="12" t="s">
        <v>4536</v>
      </c>
      <c r="G832" s="12" t="s">
        <v>771</v>
      </c>
      <c r="H832" s="12" t="s">
        <v>4545</v>
      </c>
      <c r="I832" s="12" t="s">
        <v>808</v>
      </c>
      <c r="J832" s="13" t="s">
        <v>4546</v>
      </c>
      <c r="K832" s="12"/>
      <c r="L832" s="12" t="s">
        <v>4547</v>
      </c>
      <c r="M832" s="12" t="s">
        <v>4548</v>
      </c>
      <c r="N832" s="12" t="s">
        <v>195</v>
      </c>
      <c r="O832" s="12" t="s">
        <v>196</v>
      </c>
      <c r="P832" s="12" t="s">
        <v>103</v>
      </c>
      <c r="Q832" s="12" t="s">
        <v>104</v>
      </c>
      <c r="R832" s="14" t="n">
        <v>67</v>
      </c>
      <c r="S832" s="14" t="s">
        <v>197</v>
      </c>
      <c r="T832" s="14"/>
      <c r="U832" s="14" t="n">
        <v>2023</v>
      </c>
      <c r="V832" s="12" t="s">
        <v>157</v>
      </c>
      <c r="W832" s="14"/>
      <c r="X832" s="15" t="str">
        <f aca="false">IF(OR($S832="%",$R832=""),"",$R832*INDEX(Cambi!$J$2:$J$5,MATCH($S832,Cambi!$I$2:$I$5,0))/IF($T832="EUR",1,INDEX(Cambi!$D:$D,MATCH($T832&amp;"|"&amp;$U832,Cambi!$C:$C,0))))</f>
        <v/>
      </c>
      <c r="Y832" s="12" t="s">
        <v>130</v>
      </c>
      <c r="Z832" s="12" t="s">
        <v>109</v>
      </c>
      <c r="AA832" s="12" t="s">
        <v>109</v>
      </c>
      <c r="AB832" s="12" t="s">
        <v>394</v>
      </c>
      <c r="AC832" s="12" t="s">
        <v>395</v>
      </c>
      <c r="AD832" s="12" t="s">
        <v>112</v>
      </c>
      <c r="AE832" s="12" t="s">
        <v>4549</v>
      </c>
      <c r="AF832" s="12" t="s">
        <v>4550</v>
      </c>
      <c r="AG832" s="12" t="s">
        <v>115</v>
      </c>
      <c r="AH832" s="12" t="s">
        <v>116</v>
      </c>
      <c r="AI832" s="12" t="s">
        <v>117</v>
      </c>
      <c r="AJ832" s="12" t="s">
        <v>4551</v>
      </c>
      <c r="AK832" s="12" t="s">
        <v>4</v>
      </c>
    </row>
    <row r="833" customFormat="false" ht="15" hidden="false" customHeight="false" outlineLevel="0" collapsed="false">
      <c r="A833" s="11" t="n">
        <v>832</v>
      </c>
      <c r="B833" s="12" t="s">
        <v>625</v>
      </c>
      <c r="C833" s="12" t="s">
        <v>4407</v>
      </c>
      <c r="D833" s="12" t="s">
        <v>4408</v>
      </c>
      <c r="E833" s="12" t="s">
        <v>759</v>
      </c>
      <c r="F833" s="12" t="s">
        <v>626</v>
      </c>
      <c r="G833" s="12" t="s">
        <v>95</v>
      </c>
      <c r="H833" s="12" t="s">
        <v>627</v>
      </c>
      <c r="I833" s="12" t="s">
        <v>628</v>
      </c>
      <c r="J833" s="13" t="s">
        <v>629</v>
      </c>
      <c r="K833" s="12" t="s">
        <v>630</v>
      </c>
      <c r="L833" s="12" t="s">
        <v>1110</v>
      </c>
      <c r="M833" s="12" t="s">
        <v>1111</v>
      </c>
      <c r="N833" s="12" t="s">
        <v>101</v>
      </c>
      <c r="O833" s="12" t="s">
        <v>102</v>
      </c>
      <c r="P833" s="12" t="s">
        <v>103</v>
      </c>
      <c r="Q833" s="12" t="s">
        <v>104</v>
      </c>
      <c r="R833" s="14" t="n">
        <v>461.7</v>
      </c>
      <c r="S833" s="14" t="s">
        <v>105</v>
      </c>
      <c r="T833" s="14" t="s">
        <v>106</v>
      </c>
      <c r="U833" s="14" t="n">
        <v>2026</v>
      </c>
      <c r="V833" s="12" t="s">
        <v>107</v>
      </c>
      <c r="W833" s="14"/>
      <c r="X833" s="15" t="n">
        <f aca="false">IF(OR($S833="%",$R833=""),"",$R833*INDEX(Cambi!$J$2:$J$5,MATCH($S833,Cambi!$I$2:$I$5,0))/IF($T833="EUR",1,INDEX(Cambi!$D:$D,MATCH($T833&amp;"|"&amp;$U833,Cambi!$C:$C,0))))</f>
        <v>461.7</v>
      </c>
      <c r="Y833" s="12" t="s">
        <v>130</v>
      </c>
      <c r="Z833" s="12" t="s">
        <v>109</v>
      </c>
      <c r="AA833" s="12" t="s">
        <v>633</v>
      </c>
      <c r="AB833" s="16" t="s">
        <v>110</v>
      </c>
      <c r="AC833" s="16" t="s">
        <v>634</v>
      </c>
      <c r="AD833" s="12" t="s">
        <v>281</v>
      </c>
      <c r="AE833" s="12" t="s">
        <v>635</v>
      </c>
      <c r="AF833" s="12" t="s">
        <v>4552</v>
      </c>
      <c r="AG833" s="12" t="s">
        <v>115</v>
      </c>
      <c r="AH833" s="12" t="s">
        <v>116</v>
      </c>
      <c r="AI833" s="12" t="s">
        <v>285</v>
      </c>
      <c r="AJ833" s="12" t="s">
        <v>1225</v>
      </c>
      <c r="AK833" s="12" t="s">
        <v>4</v>
      </c>
    </row>
    <row r="834" customFormat="false" ht="15" hidden="false" customHeight="false" outlineLevel="0" collapsed="false">
      <c r="A834" s="11" t="n">
        <v>833</v>
      </c>
      <c r="B834" s="12" t="s">
        <v>4553</v>
      </c>
      <c r="C834" s="12" t="s">
        <v>4407</v>
      </c>
      <c r="D834" s="12" t="s">
        <v>4408</v>
      </c>
      <c r="E834" s="12" t="s">
        <v>759</v>
      </c>
      <c r="F834" s="12" t="s">
        <v>4554</v>
      </c>
      <c r="G834" s="12" t="s">
        <v>1055</v>
      </c>
      <c r="H834" s="12" t="s">
        <v>4555</v>
      </c>
      <c r="I834" s="12" t="s">
        <v>773</v>
      </c>
      <c r="J834" s="13" t="s">
        <v>4556</v>
      </c>
      <c r="K834" s="12" t="s">
        <v>4557</v>
      </c>
      <c r="L834" s="12" t="s">
        <v>4558</v>
      </c>
      <c r="M834" s="12" t="s">
        <v>4559</v>
      </c>
      <c r="N834" s="12" t="s">
        <v>352</v>
      </c>
      <c r="O834" s="12" t="s">
        <v>102</v>
      </c>
      <c r="P834" s="12" t="s">
        <v>103</v>
      </c>
      <c r="Q834" s="12" t="s">
        <v>104</v>
      </c>
      <c r="R834" s="14" t="n">
        <v>350.59</v>
      </c>
      <c r="S834" s="14" t="s">
        <v>105</v>
      </c>
      <c r="T834" s="14" t="s">
        <v>653</v>
      </c>
      <c r="U834" s="14" t="n">
        <v>2018</v>
      </c>
      <c r="V834" s="12" t="s">
        <v>157</v>
      </c>
      <c r="W834" s="14"/>
      <c r="X834" s="15" t="n">
        <f aca="false">IF(OR($S834="%",$R834=""),"",$R834*INDEX(Cambi!$J$2:$J$5,MATCH($S834,Cambi!$I$2:$I$5,0))/IF($T834="EUR",1,INDEX(Cambi!$D:$D,MATCH($T834&amp;"|"&amp;$U834,Cambi!$C:$C,0))))</f>
        <v>296.858594411516</v>
      </c>
      <c r="Y834" s="12" t="s">
        <v>109</v>
      </c>
      <c r="Z834" s="12" t="s">
        <v>285</v>
      </c>
      <c r="AA834" s="12" t="s">
        <v>4560</v>
      </c>
      <c r="AB834" s="16" t="s">
        <v>679</v>
      </c>
      <c r="AC834" s="16" t="s">
        <v>4561</v>
      </c>
      <c r="AD834" s="12" t="s">
        <v>112</v>
      </c>
      <c r="AE834" s="12" t="s">
        <v>4562</v>
      </c>
      <c r="AF834" s="12" t="s">
        <v>4563</v>
      </c>
      <c r="AG834" s="12" t="s">
        <v>498</v>
      </c>
      <c r="AH834" s="12" t="s">
        <v>499</v>
      </c>
      <c r="AI834" s="12" t="s">
        <v>285</v>
      </c>
      <c r="AJ834" s="12" t="s">
        <v>266</v>
      </c>
      <c r="AK834" s="12" t="s">
        <v>4</v>
      </c>
    </row>
    <row r="835" customFormat="false" ht="15" hidden="false" customHeight="false" outlineLevel="0" collapsed="false">
      <c r="A835" s="11" t="n">
        <v>834</v>
      </c>
      <c r="B835" s="12" t="s">
        <v>4553</v>
      </c>
      <c r="C835" s="12" t="s">
        <v>4407</v>
      </c>
      <c r="D835" s="12" t="s">
        <v>4408</v>
      </c>
      <c r="E835" s="12" t="s">
        <v>759</v>
      </c>
      <c r="F835" s="12" t="s">
        <v>4554</v>
      </c>
      <c r="G835" s="12" t="s">
        <v>1055</v>
      </c>
      <c r="H835" s="12" t="s">
        <v>4555</v>
      </c>
      <c r="I835" s="12" t="s">
        <v>773</v>
      </c>
      <c r="J835" s="13" t="s">
        <v>4556</v>
      </c>
      <c r="K835" s="12" t="s">
        <v>4557</v>
      </c>
      <c r="L835" s="12" t="s">
        <v>4558</v>
      </c>
      <c r="M835" s="12" t="s">
        <v>4564</v>
      </c>
      <c r="N835" s="12" t="s">
        <v>352</v>
      </c>
      <c r="O835" s="12" t="s">
        <v>102</v>
      </c>
      <c r="P835" s="12" t="s">
        <v>155</v>
      </c>
      <c r="Q835" s="12" t="s">
        <v>4565</v>
      </c>
      <c r="R835" s="14" t="n">
        <v>37.08</v>
      </c>
      <c r="S835" s="14" t="s">
        <v>105</v>
      </c>
      <c r="T835" s="14" t="s">
        <v>653</v>
      </c>
      <c r="U835" s="14" t="n">
        <v>2019</v>
      </c>
      <c r="V835" s="12" t="s">
        <v>157</v>
      </c>
      <c r="W835" s="14" t="s">
        <v>4566</v>
      </c>
      <c r="X835" s="15" t="n">
        <f aca="false">IF(OR($S835="%",$R835=""),"",$R835*INDEX(Cambi!$J$2:$J$5,MATCH($S835,Cambi!$I$2:$I$5,0))/IF($T835="EUR",1,INDEX(Cambi!$D:$D,MATCH($T835&amp;"|"&amp;$U835,Cambi!$C:$C,0))))</f>
        <v>33.1219294327825</v>
      </c>
      <c r="Y835" s="12" t="s">
        <v>109</v>
      </c>
      <c r="Z835" s="12" t="s">
        <v>285</v>
      </c>
      <c r="AA835" s="12" t="s">
        <v>4560</v>
      </c>
      <c r="AB835" s="16" t="s">
        <v>679</v>
      </c>
      <c r="AC835" s="16" t="s">
        <v>4561</v>
      </c>
      <c r="AD835" s="12" t="s">
        <v>112</v>
      </c>
      <c r="AE835" s="12" t="s">
        <v>4562</v>
      </c>
      <c r="AF835" s="12" t="s">
        <v>4567</v>
      </c>
      <c r="AG835" s="12" t="s">
        <v>498</v>
      </c>
      <c r="AH835" s="12" t="s">
        <v>499</v>
      </c>
      <c r="AI835" s="12" t="s">
        <v>285</v>
      </c>
      <c r="AJ835" s="12" t="s">
        <v>266</v>
      </c>
      <c r="AK835" s="12" t="s">
        <v>4</v>
      </c>
    </row>
    <row r="836" customFormat="false" ht="15" hidden="false" customHeight="false" outlineLevel="0" collapsed="false">
      <c r="A836" s="11" t="n">
        <v>835</v>
      </c>
      <c r="B836" s="12" t="s">
        <v>4553</v>
      </c>
      <c r="C836" s="12" t="s">
        <v>4407</v>
      </c>
      <c r="D836" s="12" t="s">
        <v>4408</v>
      </c>
      <c r="E836" s="12" t="s">
        <v>759</v>
      </c>
      <c r="F836" s="12" t="s">
        <v>4554</v>
      </c>
      <c r="G836" s="12" t="s">
        <v>1055</v>
      </c>
      <c r="H836" s="12" t="s">
        <v>4555</v>
      </c>
      <c r="I836" s="12" t="s">
        <v>773</v>
      </c>
      <c r="J836" s="13" t="s">
        <v>4556</v>
      </c>
      <c r="K836" s="12" t="s">
        <v>4557</v>
      </c>
      <c r="L836" s="12" t="s">
        <v>4558</v>
      </c>
      <c r="M836" s="12" t="s">
        <v>4568</v>
      </c>
      <c r="N836" s="12" t="s">
        <v>352</v>
      </c>
      <c r="O836" s="12" t="s">
        <v>102</v>
      </c>
      <c r="P836" s="12" t="s">
        <v>155</v>
      </c>
      <c r="Q836" s="12" t="s">
        <v>4569</v>
      </c>
      <c r="R836" s="14" t="n">
        <v>251.22</v>
      </c>
      <c r="S836" s="14" t="s">
        <v>105</v>
      </c>
      <c r="T836" s="14" t="s">
        <v>653</v>
      </c>
      <c r="U836" s="14" t="n">
        <v>2019</v>
      </c>
      <c r="V836" s="12" t="s">
        <v>157</v>
      </c>
      <c r="W836" s="14" t="s">
        <v>4570</v>
      </c>
      <c r="X836" s="15" t="n">
        <f aca="false">IF(OR($S836="%",$R836=""),"",$R836*INDEX(Cambi!$J$2:$J$5,MATCH($S836,Cambi!$I$2:$I$5,0))/IF($T836="EUR",1,INDEX(Cambi!$D:$D,MATCH($T836&amp;"|"&amp;$U836,Cambi!$C:$C,0))))</f>
        <v>224.403751674855</v>
      </c>
      <c r="Y836" s="12" t="s">
        <v>109</v>
      </c>
      <c r="Z836" s="12" t="s">
        <v>285</v>
      </c>
      <c r="AA836" s="12" t="s">
        <v>4560</v>
      </c>
      <c r="AB836" s="16" t="s">
        <v>679</v>
      </c>
      <c r="AC836" s="16" t="s">
        <v>4561</v>
      </c>
      <c r="AD836" s="12" t="s">
        <v>112</v>
      </c>
      <c r="AE836" s="12" t="s">
        <v>4562</v>
      </c>
      <c r="AF836" s="12" t="s">
        <v>4571</v>
      </c>
      <c r="AG836" s="12" t="s">
        <v>498</v>
      </c>
      <c r="AH836" s="12" t="s">
        <v>499</v>
      </c>
      <c r="AI836" s="12" t="s">
        <v>285</v>
      </c>
      <c r="AJ836" s="12" t="s">
        <v>266</v>
      </c>
      <c r="AK836" s="12" t="s">
        <v>4</v>
      </c>
    </row>
    <row r="837" customFormat="false" ht="15" hidden="false" customHeight="false" outlineLevel="0" collapsed="false">
      <c r="A837" s="11" t="n">
        <v>836</v>
      </c>
      <c r="B837" s="12" t="s">
        <v>4553</v>
      </c>
      <c r="C837" s="12" t="s">
        <v>4407</v>
      </c>
      <c r="D837" s="12" t="s">
        <v>4408</v>
      </c>
      <c r="E837" s="12" t="s">
        <v>759</v>
      </c>
      <c r="F837" s="12" t="s">
        <v>4554</v>
      </c>
      <c r="G837" s="12" t="s">
        <v>1055</v>
      </c>
      <c r="H837" s="12" t="s">
        <v>4555</v>
      </c>
      <c r="I837" s="12" t="s">
        <v>773</v>
      </c>
      <c r="J837" s="13" t="s">
        <v>4556</v>
      </c>
      <c r="K837" s="12" t="s">
        <v>4557</v>
      </c>
      <c r="L837" s="12" t="s">
        <v>4558</v>
      </c>
      <c r="M837" s="12" t="s">
        <v>4572</v>
      </c>
      <c r="N837" s="12" t="s">
        <v>352</v>
      </c>
      <c r="O837" s="12" t="s">
        <v>102</v>
      </c>
      <c r="P837" s="12" t="s">
        <v>155</v>
      </c>
      <c r="Q837" s="12" t="s">
        <v>799</v>
      </c>
      <c r="R837" s="14" t="n">
        <v>90.35</v>
      </c>
      <c r="S837" s="14" t="s">
        <v>105</v>
      </c>
      <c r="T837" s="14" t="s">
        <v>653</v>
      </c>
      <c r="U837" s="14" t="n">
        <v>2019</v>
      </c>
      <c r="V837" s="12" t="s">
        <v>157</v>
      </c>
      <c r="W837" s="14" t="s">
        <v>4573</v>
      </c>
      <c r="X837" s="15" t="n">
        <f aca="false">IF(OR($S837="%",$R837=""),"",$R837*INDEX(Cambi!$J$2:$J$5,MATCH($S837,Cambi!$I$2:$I$5,0))/IF($T837="EUR",1,INDEX(Cambi!$D:$D,MATCH($T837&amp;"|"&amp;$U837,Cambi!$C:$C,0))))</f>
        <v>80.7056721750782</v>
      </c>
      <c r="Y837" s="12" t="s">
        <v>109</v>
      </c>
      <c r="Z837" s="12" t="s">
        <v>285</v>
      </c>
      <c r="AA837" s="12" t="s">
        <v>4560</v>
      </c>
      <c r="AB837" s="16" t="s">
        <v>679</v>
      </c>
      <c r="AC837" s="16" t="s">
        <v>4561</v>
      </c>
      <c r="AD837" s="12" t="s">
        <v>112</v>
      </c>
      <c r="AE837" s="12" t="s">
        <v>4562</v>
      </c>
      <c r="AF837" s="12" t="s">
        <v>4574</v>
      </c>
      <c r="AG837" s="12" t="s">
        <v>498</v>
      </c>
      <c r="AH837" s="12" t="s">
        <v>499</v>
      </c>
      <c r="AI837" s="12" t="s">
        <v>285</v>
      </c>
      <c r="AJ837" s="12" t="s">
        <v>266</v>
      </c>
      <c r="AK837" s="12" t="s">
        <v>4</v>
      </c>
    </row>
    <row r="838" customFormat="false" ht="15" hidden="false" customHeight="false" outlineLevel="0" collapsed="false">
      <c r="A838" s="11" t="n">
        <v>837</v>
      </c>
      <c r="B838" s="12" t="s">
        <v>4553</v>
      </c>
      <c r="C838" s="12" t="s">
        <v>4407</v>
      </c>
      <c r="D838" s="12" t="s">
        <v>4408</v>
      </c>
      <c r="E838" s="12" t="s">
        <v>759</v>
      </c>
      <c r="F838" s="12" t="s">
        <v>4554</v>
      </c>
      <c r="G838" s="12" t="s">
        <v>1055</v>
      </c>
      <c r="H838" s="12" t="s">
        <v>4555</v>
      </c>
      <c r="I838" s="12" t="s">
        <v>773</v>
      </c>
      <c r="J838" s="13" t="s">
        <v>4556</v>
      </c>
      <c r="K838" s="12" t="s">
        <v>4557</v>
      </c>
      <c r="L838" s="12" t="s">
        <v>4558</v>
      </c>
      <c r="M838" s="12" t="s">
        <v>4575</v>
      </c>
      <c r="N838" s="12" t="s">
        <v>352</v>
      </c>
      <c r="O838" s="12" t="s">
        <v>102</v>
      </c>
      <c r="P838" s="12" t="s">
        <v>103</v>
      </c>
      <c r="Q838" s="12" t="s">
        <v>104</v>
      </c>
      <c r="R838" s="14" t="n">
        <v>378.64</v>
      </c>
      <c r="S838" s="14" t="s">
        <v>105</v>
      </c>
      <c r="T838" s="14" t="s">
        <v>653</v>
      </c>
      <c r="U838" s="14" t="n">
        <v>2019</v>
      </c>
      <c r="V838" s="12" t="s">
        <v>157</v>
      </c>
      <c r="W838" s="14" t="s">
        <v>4576</v>
      </c>
      <c r="X838" s="15" t="n">
        <f aca="false">IF(OR($S838="%",$R838=""),"",$R838*INDEX(Cambi!$J$2:$J$5,MATCH($S838,Cambi!$I$2:$I$5,0))/IF($T838="EUR",1,INDEX(Cambi!$D:$D,MATCH($T838&amp;"|"&amp;$U838,Cambi!$C:$C,0))))</f>
        <v>338.222420723537</v>
      </c>
      <c r="Y838" s="12" t="s">
        <v>109</v>
      </c>
      <c r="Z838" s="12" t="s">
        <v>285</v>
      </c>
      <c r="AA838" s="12" t="s">
        <v>4560</v>
      </c>
      <c r="AB838" s="16" t="s">
        <v>679</v>
      </c>
      <c r="AC838" s="16" t="s">
        <v>4561</v>
      </c>
      <c r="AD838" s="12" t="s">
        <v>112</v>
      </c>
      <c r="AE838" s="12" t="s">
        <v>4562</v>
      </c>
      <c r="AF838" s="12" t="s">
        <v>4577</v>
      </c>
      <c r="AG838" s="12" t="s">
        <v>498</v>
      </c>
      <c r="AH838" s="12" t="s">
        <v>499</v>
      </c>
      <c r="AI838" s="12" t="s">
        <v>285</v>
      </c>
      <c r="AJ838" s="12" t="s">
        <v>4578</v>
      </c>
      <c r="AK838" s="12" t="s">
        <v>4</v>
      </c>
    </row>
    <row r="839" customFormat="false" ht="15" hidden="false" customHeight="false" outlineLevel="0" collapsed="false">
      <c r="A839" s="11" t="n">
        <v>838</v>
      </c>
      <c r="B839" s="12" t="s">
        <v>4553</v>
      </c>
      <c r="C839" s="12" t="s">
        <v>4407</v>
      </c>
      <c r="D839" s="12" t="s">
        <v>4408</v>
      </c>
      <c r="E839" s="12" t="s">
        <v>759</v>
      </c>
      <c r="F839" s="12" t="s">
        <v>4554</v>
      </c>
      <c r="G839" s="12" t="s">
        <v>1055</v>
      </c>
      <c r="H839" s="12" t="s">
        <v>4555</v>
      </c>
      <c r="I839" s="12" t="s">
        <v>773</v>
      </c>
      <c r="J839" s="13" t="s">
        <v>4556</v>
      </c>
      <c r="K839" s="12" t="s">
        <v>4557</v>
      </c>
      <c r="L839" s="12" t="s">
        <v>4558</v>
      </c>
      <c r="M839" s="12" t="s">
        <v>4579</v>
      </c>
      <c r="N839" s="12" t="s">
        <v>352</v>
      </c>
      <c r="O839" s="12" t="s">
        <v>102</v>
      </c>
      <c r="P839" s="12" t="s">
        <v>103</v>
      </c>
      <c r="Q839" s="12" t="s">
        <v>104</v>
      </c>
      <c r="R839" s="14" t="n">
        <v>413.37</v>
      </c>
      <c r="S839" s="14" t="s">
        <v>105</v>
      </c>
      <c r="T839" s="14" t="s">
        <v>653</v>
      </c>
      <c r="U839" s="14" t="n">
        <v>2020</v>
      </c>
      <c r="V839" s="12" t="s">
        <v>107</v>
      </c>
      <c r="W839" s="14" t="s">
        <v>4580</v>
      </c>
      <c r="X839" s="15" t="n">
        <f aca="false">IF(OR($S839="%",$R839=""),"",$R839*INDEX(Cambi!$J$2:$J$5,MATCH($S839,Cambi!$I$2:$I$5,0))/IF($T839="EUR",1,INDEX(Cambi!$D:$D,MATCH($T839&amp;"|"&amp;$U839,Cambi!$C:$C,0))))</f>
        <v>361.906846436701</v>
      </c>
      <c r="Y839" s="12" t="s">
        <v>109</v>
      </c>
      <c r="Z839" s="12" t="s">
        <v>285</v>
      </c>
      <c r="AA839" s="12" t="s">
        <v>4560</v>
      </c>
      <c r="AB839" s="16" t="s">
        <v>679</v>
      </c>
      <c r="AC839" s="16" t="s">
        <v>4561</v>
      </c>
      <c r="AD839" s="12" t="s">
        <v>112</v>
      </c>
      <c r="AE839" s="12" t="s">
        <v>4562</v>
      </c>
      <c r="AF839" s="12" t="s">
        <v>4563</v>
      </c>
      <c r="AG839" s="12" t="s">
        <v>498</v>
      </c>
      <c r="AH839" s="12" t="s">
        <v>499</v>
      </c>
      <c r="AI839" s="12" t="s">
        <v>285</v>
      </c>
      <c r="AJ839" s="12" t="s">
        <v>266</v>
      </c>
      <c r="AK839" s="12" t="s">
        <v>4</v>
      </c>
    </row>
    <row r="840" customFormat="false" ht="15" hidden="false" customHeight="false" outlineLevel="0" collapsed="false">
      <c r="A840" s="11" t="n">
        <v>839</v>
      </c>
      <c r="B840" s="12" t="s">
        <v>4553</v>
      </c>
      <c r="C840" s="12" t="s">
        <v>4407</v>
      </c>
      <c r="D840" s="12" t="s">
        <v>4408</v>
      </c>
      <c r="E840" s="12" t="s">
        <v>759</v>
      </c>
      <c r="F840" s="12" t="s">
        <v>4554</v>
      </c>
      <c r="G840" s="12" t="s">
        <v>1055</v>
      </c>
      <c r="H840" s="12" t="s">
        <v>4555</v>
      </c>
      <c r="I840" s="12" t="s">
        <v>773</v>
      </c>
      <c r="J840" s="13" t="s">
        <v>4556</v>
      </c>
      <c r="K840" s="12" t="s">
        <v>4557</v>
      </c>
      <c r="L840" s="12" t="s">
        <v>4558</v>
      </c>
      <c r="M840" s="12" t="s">
        <v>4581</v>
      </c>
      <c r="N840" s="12" t="s">
        <v>352</v>
      </c>
      <c r="O840" s="12" t="s">
        <v>102</v>
      </c>
      <c r="P840" s="12" t="s">
        <v>155</v>
      </c>
      <c r="Q840" s="12" t="s">
        <v>4565</v>
      </c>
      <c r="R840" s="14" t="n">
        <v>37.7</v>
      </c>
      <c r="S840" s="14" t="s">
        <v>105</v>
      </c>
      <c r="T840" s="14" t="s">
        <v>653</v>
      </c>
      <c r="U840" s="14" t="n">
        <v>2021</v>
      </c>
      <c r="V840" s="12" t="s">
        <v>107</v>
      </c>
      <c r="W840" s="14" t="s">
        <v>4566</v>
      </c>
      <c r="X840" s="15" t="n">
        <f aca="false">IF(OR($S840="%",$R840=""),"",$R840*INDEX(Cambi!$J$2:$J$5,MATCH($S840,Cambi!$I$2:$I$5,0))/IF($T840="EUR",1,INDEX(Cambi!$D:$D,MATCH($T840&amp;"|"&amp;$U840,Cambi!$C:$C,0))))</f>
        <v>31.8762154392492</v>
      </c>
      <c r="Y840" s="12" t="s">
        <v>109</v>
      </c>
      <c r="Z840" s="12" t="s">
        <v>285</v>
      </c>
      <c r="AA840" s="12" t="s">
        <v>4560</v>
      </c>
      <c r="AB840" s="16" t="s">
        <v>679</v>
      </c>
      <c r="AC840" s="16" t="s">
        <v>4561</v>
      </c>
      <c r="AD840" s="12" t="s">
        <v>112</v>
      </c>
      <c r="AE840" s="12" t="s">
        <v>4562</v>
      </c>
      <c r="AF840" s="12" t="s">
        <v>4567</v>
      </c>
      <c r="AG840" s="12" t="s">
        <v>498</v>
      </c>
      <c r="AH840" s="12" t="s">
        <v>499</v>
      </c>
      <c r="AI840" s="12" t="s">
        <v>285</v>
      </c>
      <c r="AJ840" s="12" t="s">
        <v>266</v>
      </c>
      <c r="AK840" s="12" t="s">
        <v>4</v>
      </c>
    </row>
    <row r="841" customFormat="false" ht="15" hidden="false" customHeight="false" outlineLevel="0" collapsed="false">
      <c r="A841" s="11" t="n">
        <v>840</v>
      </c>
      <c r="B841" s="12" t="s">
        <v>4553</v>
      </c>
      <c r="C841" s="12" t="s">
        <v>4407</v>
      </c>
      <c r="D841" s="12" t="s">
        <v>4408</v>
      </c>
      <c r="E841" s="12" t="s">
        <v>759</v>
      </c>
      <c r="F841" s="12" t="s">
        <v>4554</v>
      </c>
      <c r="G841" s="12" t="s">
        <v>1055</v>
      </c>
      <c r="H841" s="12" t="s">
        <v>4555</v>
      </c>
      <c r="I841" s="12" t="s">
        <v>773</v>
      </c>
      <c r="J841" s="13" t="s">
        <v>4556</v>
      </c>
      <c r="K841" s="12" t="s">
        <v>4557</v>
      </c>
      <c r="L841" s="12" t="s">
        <v>4558</v>
      </c>
      <c r="M841" s="12" t="s">
        <v>4582</v>
      </c>
      <c r="N841" s="12" t="s">
        <v>352</v>
      </c>
      <c r="O841" s="12" t="s">
        <v>102</v>
      </c>
      <c r="P841" s="12" t="s">
        <v>155</v>
      </c>
      <c r="Q841" s="12" t="s">
        <v>4569</v>
      </c>
      <c r="R841" s="14" t="n">
        <v>324.62</v>
      </c>
      <c r="S841" s="14" t="s">
        <v>105</v>
      </c>
      <c r="T841" s="14" t="s">
        <v>653</v>
      </c>
      <c r="U841" s="14" t="n">
        <v>2021</v>
      </c>
      <c r="V841" s="12" t="s">
        <v>107</v>
      </c>
      <c r="W841" s="14" t="s">
        <v>4570</v>
      </c>
      <c r="X841" s="15" t="n">
        <f aca="false">IF(OR($S841="%",$R841=""),"",$R841*INDEX(Cambi!$J$2:$J$5,MATCH($S841,Cambi!$I$2:$I$5,0))/IF($T841="EUR",1,INDEX(Cambi!$D:$D,MATCH($T841&amp;"|"&amp;$U841,Cambi!$C:$C,0))))</f>
        <v>274.473661959922</v>
      </c>
      <c r="Y841" s="12" t="s">
        <v>109</v>
      </c>
      <c r="Z841" s="12" t="s">
        <v>285</v>
      </c>
      <c r="AA841" s="12" t="s">
        <v>4560</v>
      </c>
      <c r="AB841" s="16" t="s">
        <v>679</v>
      </c>
      <c r="AC841" s="16" t="s">
        <v>4561</v>
      </c>
      <c r="AD841" s="12" t="s">
        <v>112</v>
      </c>
      <c r="AE841" s="12" t="s">
        <v>4562</v>
      </c>
      <c r="AF841" s="12" t="s">
        <v>4571</v>
      </c>
      <c r="AG841" s="12" t="s">
        <v>498</v>
      </c>
      <c r="AH841" s="12" t="s">
        <v>499</v>
      </c>
      <c r="AI841" s="12" t="s">
        <v>285</v>
      </c>
      <c r="AJ841" s="12" t="s">
        <v>266</v>
      </c>
      <c r="AK841" s="12" t="s">
        <v>4</v>
      </c>
    </row>
    <row r="842" customFormat="false" ht="15" hidden="false" customHeight="false" outlineLevel="0" collapsed="false">
      <c r="A842" s="11" t="n">
        <v>841</v>
      </c>
      <c r="B842" s="12" t="s">
        <v>4553</v>
      </c>
      <c r="C842" s="12" t="s">
        <v>4407</v>
      </c>
      <c r="D842" s="12" t="s">
        <v>4408</v>
      </c>
      <c r="E842" s="12" t="s">
        <v>759</v>
      </c>
      <c r="F842" s="12" t="s">
        <v>4554</v>
      </c>
      <c r="G842" s="12" t="s">
        <v>1055</v>
      </c>
      <c r="H842" s="12" t="s">
        <v>4555</v>
      </c>
      <c r="I842" s="12" t="s">
        <v>773</v>
      </c>
      <c r="J842" s="13" t="s">
        <v>4556</v>
      </c>
      <c r="K842" s="12" t="s">
        <v>4557</v>
      </c>
      <c r="L842" s="12" t="s">
        <v>4558</v>
      </c>
      <c r="M842" s="12" t="s">
        <v>4583</v>
      </c>
      <c r="N842" s="12" t="s">
        <v>352</v>
      </c>
      <c r="O842" s="12" t="s">
        <v>102</v>
      </c>
      <c r="P842" s="12" t="s">
        <v>155</v>
      </c>
      <c r="Q842" s="12" t="s">
        <v>799</v>
      </c>
      <c r="R842" s="14" t="n">
        <v>94.05</v>
      </c>
      <c r="S842" s="14" t="s">
        <v>105</v>
      </c>
      <c r="T842" s="14" t="s">
        <v>653</v>
      </c>
      <c r="U842" s="14" t="n">
        <v>2021</v>
      </c>
      <c r="V842" s="12" t="s">
        <v>107</v>
      </c>
      <c r="W842" s="14" t="s">
        <v>4573</v>
      </c>
      <c r="X842" s="15" t="n">
        <f aca="false">IF(OR($S842="%",$R842=""),"",$R842*INDEX(Cambi!$J$2:$J$5,MATCH($S842,Cambi!$I$2:$I$5,0))/IF($T842="EUR",1,INDEX(Cambi!$D:$D,MATCH($T842&amp;"|"&amp;$U842,Cambi!$C:$C,0))))</f>
        <v>79.5214340069333</v>
      </c>
      <c r="Y842" s="12" t="s">
        <v>109</v>
      </c>
      <c r="Z842" s="12" t="s">
        <v>285</v>
      </c>
      <c r="AA842" s="12" t="s">
        <v>4560</v>
      </c>
      <c r="AB842" s="16" t="s">
        <v>679</v>
      </c>
      <c r="AC842" s="16" t="s">
        <v>4561</v>
      </c>
      <c r="AD842" s="12" t="s">
        <v>112</v>
      </c>
      <c r="AE842" s="12" t="s">
        <v>4562</v>
      </c>
      <c r="AF842" s="12" t="s">
        <v>4574</v>
      </c>
      <c r="AG842" s="12" t="s">
        <v>498</v>
      </c>
      <c r="AH842" s="12" t="s">
        <v>499</v>
      </c>
      <c r="AI842" s="12" t="s">
        <v>285</v>
      </c>
      <c r="AJ842" s="12" t="s">
        <v>266</v>
      </c>
      <c r="AK842" s="12" t="s">
        <v>4</v>
      </c>
    </row>
    <row r="843" customFormat="false" ht="15" hidden="false" customHeight="false" outlineLevel="0" collapsed="false">
      <c r="A843" s="11" t="n">
        <v>842</v>
      </c>
      <c r="B843" s="12" t="s">
        <v>4553</v>
      </c>
      <c r="C843" s="12" t="s">
        <v>4407</v>
      </c>
      <c r="D843" s="12" t="s">
        <v>4408</v>
      </c>
      <c r="E843" s="12" t="s">
        <v>759</v>
      </c>
      <c r="F843" s="12" t="s">
        <v>4554</v>
      </c>
      <c r="G843" s="12" t="s">
        <v>1055</v>
      </c>
      <c r="H843" s="12" t="s">
        <v>4555</v>
      </c>
      <c r="I843" s="12" t="s">
        <v>773</v>
      </c>
      <c r="J843" s="13" t="s">
        <v>4556</v>
      </c>
      <c r="K843" s="12" t="s">
        <v>4557</v>
      </c>
      <c r="L843" s="12" t="s">
        <v>4558</v>
      </c>
      <c r="M843" s="12" t="s">
        <v>4584</v>
      </c>
      <c r="N843" s="12" t="s">
        <v>352</v>
      </c>
      <c r="O843" s="12" t="s">
        <v>102</v>
      </c>
      <c r="P843" s="12" t="s">
        <v>103</v>
      </c>
      <c r="Q843" s="12" t="s">
        <v>104</v>
      </c>
      <c r="R843" s="14" t="n">
        <v>504.68</v>
      </c>
      <c r="S843" s="14" t="s">
        <v>105</v>
      </c>
      <c r="T843" s="14" t="s">
        <v>653</v>
      </c>
      <c r="U843" s="14" t="n">
        <v>2021</v>
      </c>
      <c r="V843" s="12" t="s">
        <v>107</v>
      </c>
      <c r="W843" s="14" t="s">
        <v>4585</v>
      </c>
      <c r="X843" s="15" t="n">
        <f aca="false">IF(OR($S843="%",$R843=""),"",$R843*INDEX(Cambi!$J$2:$J$5,MATCH($S843,Cambi!$I$2:$I$5,0))/IF($T843="EUR",1,INDEX(Cambi!$D:$D,MATCH($T843&amp;"|"&amp;$U843,Cambi!$C:$C,0))))</f>
        <v>426.718525407965</v>
      </c>
      <c r="Y843" s="12" t="s">
        <v>109</v>
      </c>
      <c r="Z843" s="12" t="s">
        <v>285</v>
      </c>
      <c r="AA843" s="12" t="s">
        <v>4560</v>
      </c>
      <c r="AB843" s="16" t="s">
        <v>679</v>
      </c>
      <c r="AC843" s="16" t="s">
        <v>4561</v>
      </c>
      <c r="AD843" s="12" t="s">
        <v>112</v>
      </c>
      <c r="AE843" s="12" t="s">
        <v>4562</v>
      </c>
      <c r="AF843" s="12" t="s">
        <v>4563</v>
      </c>
      <c r="AG843" s="12" t="s">
        <v>498</v>
      </c>
      <c r="AH843" s="12" t="s">
        <v>499</v>
      </c>
      <c r="AI843" s="12" t="s">
        <v>285</v>
      </c>
      <c r="AJ843" s="12" t="s">
        <v>4586</v>
      </c>
      <c r="AK843" s="12" t="s">
        <v>4</v>
      </c>
    </row>
    <row r="844" customFormat="false" ht="15" hidden="false" customHeight="false" outlineLevel="0" collapsed="false">
      <c r="A844" s="11" t="n">
        <v>843</v>
      </c>
      <c r="B844" s="12" t="s">
        <v>4587</v>
      </c>
      <c r="C844" s="12" t="s">
        <v>4407</v>
      </c>
      <c r="D844" s="12" t="s">
        <v>4408</v>
      </c>
      <c r="E844" s="12" t="s">
        <v>759</v>
      </c>
      <c r="F844" s="12" t="s">
        <v>4588</v>
      </c>
      <c r="G844" s="12" t="s">
        <v>771</v>
      </c>
      <c r="H844" s="12" t="s">
        <v>4589</v>
      </c>
      <c r="I844" s="12" t="s">
        <v>1353</v>
      </c>
      <c r="J844" s="13" t="s">
        <v>4590</v>
      </c>
      <c r="K844" s="12"/>
      <c r="L844" s="12" t="s">
        <v>4591</v>
      </c>
      <c r="M844" s="12" t="s">
        <v>4592</v>
      </c>
      <c r="N844" s="12" t="s">
        <v>212</v>
      </c>
      <c r="O844" s="12" t="s">
        <v>102</v>
      </c>
      <c r="P844" s="12" t="s">
        <v>103</v>
      </c>
      <c r="Q844" s="12" t="s">
        <v>104</v>
      </c>
      <c r="R844" s="14" t="n">
        <v>3.88</v>
      </c>
      <c r="S844" s="14" t="s">
        <v>129</v>
      </c>
      <c r="T844" s="14" t="s">
        <v>4476</v>
      </c>
      <c r="U844" s="14" t="n">
        <v>2024</v>
      </c>
      <c r="V844" s="12" t="s">
        <v>157</v>
      </c>
      <c r="W844" s="14"/>
      <c r="X844" s="15" t="n">
        <f aca="false">IF(OR($S844="%",$R844=""),"",$R844*INDEX(Cambi!$J$2:$J$5,MATCH($S844,Cambi!$I$2:$I$5,0))/IF($T844="EUR",1,INDEX(Cambi!$D:$D,MATCH($T844&amp;"|"&amp;$U844,Cambi!$C:$C,0))))</f>
        <v>154.458598726115</v>
      </c>
      <c r="Y844" s="12" t="s">
        <v>108</v>
      </c>
      <c r="Z844" s="12" t="s">
        <v>285</v>
      </c>
      <c r="AA844" s="12" t="s">
        <v>109</v>
      </c>
      <c r="AB844" s="12" t="s">
        <v>394</v>
      </c>
      <c r="AC844" s="12" t="s">
        <v>395</v>
      </c>
      <c r="AD844" s="12" t="s">
        <v>166</v>
      </c>
      <c r="AE844" s="12" t="s">
        <v>4593</v>
      </c>
      <c r="AF844" s="12" t="s">
        <v>4594</v>
      </c>
      <c r="AG844" s="12" t="s">
        <v>407</v>
      </c>
      <c r="AH844" s="12" t="s">
        <v>116</v>
      </c>
      <c r="AI844" s="12" t="s">
        <v>117</v>
      </c>
      <c r="AJ844" s="12" t="s">
        <v>4595</v>
      </c>
      <c r="AK844" s="12" t="s">
        <v>4</v>
      </c>
    </row>
    <row r="845" customFormat="false" ht="15" hidden="false" customHeight="false" outlineLevel="0" collapsed="false">
      <c r="A845" s="11" t="n">
        <v>844</v>
      </c>
      <c r="B845" s="12" t="s">
        <v>4587</v>
      </c>
      <c r="C845" s="12" t="s">
        <v>4407</v>
      </c>
      <c r="D845" s="12" t="s">
        <v>4408</v>
      </c>
      <c r="E845" s="12" t="s">
        <v>759</v>
      </c>
      <c r="F845" s="12" t="s">
        <v>4588</v>
      </c>
      <c r="G845" s="12" t="s">
        <v>771</v>
      </c>
      <c r="H845" s="12" t="s">
        <v>4589</v>
      </c>
      <c r="I845" s="12" t="s">
        <v>1353</v>
      </c>
      <c r="J845" s="13" t="s">
        <v>4590</v>
      </c>
      <c r="K845" s="12"/>
      <c r="L845" s="12" t="s">
        <v>4596</v>
      </c>
      <c r="M845" s="12" t="s">
        <v>4597</v>
      </c>
      <c r="N845" s="12" t="s">
        <v>195</v>
      </c>
      <c r="O845" s="12" t="s">
        <v>196</v>
      </c>
      <c r="P845" s="12" t="s">
        <v>103</v>
      </c>
      <c r="Q845" s="12" t="s">
        <v>104</v>
      </c>
      <c r="R845" s="14" t="n">
        <v>38.8</v>
      </c>
      <c r="S845" s="14" t="s">
        <v>197</v>
      </c>
      <c r="T845" s="14"/>
      <c r="U845" s="14" t="n">
        <v>2024</v>
      </c>
      <c r="V845" s="12" t="s">
        <v>157</v>
      </c>
      <c r="W845" s="14"/>
      <c r="X845" s="15" t="str">
        <f aca="false">IF(OR($S845="%",$R845=""),"",$R845*INDEX(Cambi!$J$2:$J$5,MATCH($S845,Cambi!$I$2:$I$5,0))/IF($T845="EUR",1,INDEX(Cambi!$D:$D,MATCH($T845&amp;"|"&amp;$U845,Cambi!$C:$C,0))))</f>
        <v/>
      </c>
      <c r="Y845" s="12" t="s">
        <v>108</v>
      </c>
      <c r="Z845" s="12" t="s">
        <v>285</v>
      </c>
      <c r="AA845" s="12" t="s">
        <v>109</v>
      </c>
      <c r="AB845" s="12" t="s">
        <v>394</v>
      </c>
      <c r="AC845" s="12" t="s">
        <v>395</v>
      </c>
      <c r="AD845" s="12" t="s">
        <v>166</v>
      </c>
      <c r="AE845" s="12" t="s">
        <v>4593</v>
      </c>
      <c r="AF845" s="12" t="s">
        <v>4598</v>
      </c>
      <c r="AG845" s="12" t="s">
        <v>407</v>
      </c>
      <c r="AH845" s="12" t="s">
        <v>116</v>
      </c>
      <c r="AI845" s="12" t="s">
        <v>117</v>
      </c>
      <c r="AJ845" s="12" t="s">
        <v>4599</v>
      </c>
      <c r="AK845" s="12" t="s">
        <v>4</v>
      </c>
    </row>
    <row r="846" customFormat="false" ht="15" hidden="false" customHeight="false" outlineLevel="0" collapsed="false">
      <c r="A846" s="11" t="n">
        <v>845</v>
      </c>
      <c r="B846" s="12" t="s">
        <v>4600</v>
      </c>
      <c r="C846" s="12" t="s">
        <v>4407</v>
      </c>
      <c r="D846" s="12" t="s">
        <v>4408</v>
      </c>
      <c r="E846" s="12" t="s">
        <v>759</v>
      </c>
      <c r="F846" s="12" t="s">
        <v>4601</v>
      </c>
      <c r="G846" s="12" t="s">
        <v>1055</v>
      </c>
      <c r="H846" s="12" t="s">
        <v>4602</v>
      </c>
      <c r="I846" s="12" t="s">
        <v>4603</v>
      </c>
      <c r="J846" s="13" t="s">
        <v>4604</v>
      </c>
      <c r="K846" s="12" t="s">
        <v>4605</v>
      </c>
      <c r="L846" s="12" t="s">
        <v>4606</v>
      </c>
      <c r="M846" s="12" t="s">
        <v>4607</v>
      </c>
      <c r="N846" s="12" t="s">
        <v>212</v>
      </c>
      <c r="O846" s="12" t="s">
        <v>196</v>
      </c>
      <c r="P846" s="12" t="s">
        <v>103</v>
      </c>
      <c r="Q846" s="12" t="s">
        <v>104</v>
      </c>
      <c r="R846" s="14" t="n">
        <v>53</v>
      </c>
      <c r="S846" s="14" t="s">
        <v>197</v>
      </c>
      <c r="T846" s="14"/>
      <c r="U846" s="14" t="n">
        <v>2025</v>
      </c>
      <c r="V846" s="12" t="s">
        <v>157</v>
      </c>
      <c r="W846" s="14"/>
      <c r="X846" s="15" t="str">
        <f aca="false">IF(OR($S846="%",$R846=""),"",$R846*INDEX(Cambi!$J$2:$J$5,MATCH($S846,Cambi!$I$2:$I$5,0))/IF($T846="EUR",1,INDEX(Cambi!$D:$D,MATCH($T846&amp;"|"&amp;$U846,Cambi!$C:$C,0))))</f>
        <v/>
      </c>
      <c r="Y846" s="12" t="s">
        <v>239</v>
      </c>
      <c r="Z846" s="12" t="s">
        <v>109</v>
      </c>
      <c r="AA846" s="12" t="s">
        <v>109</v>
      </c>
      <c r="AB846" s="12" t="s">
        <v>394</v>
      </c>
      <c r="AC846" s="12" t="s">
        <v>395</v>
      </c>
      <c r="AD846" s="12" t="s">
        <v>112</v>
      </c>
      <c r="AE846" s="12" t="s">
        <v>4608</v>
      </c>
      <c r="AF846" s="12" t="s">
        <v>4609</v>
      </c>
      <c r="AG846" s="12" t="s">
        <v>115</v>
      </c>
      <c r="AH846" s="12" t="s">
        <v>499</v>
      </c>
      <c r="AI846" s="12" t="s">
        <v>285</v>
      </c>
      <c r="AJ846" s="12" t="s">
        <v>4438</v>
      </c>
      <c r="AK846" s="12" t="s">
        <v>4</v>
      </c>
    </row>
    <row r="847" customFormat="false" ht="15" hidden="false" customHeight="false" outlineLevel="0" collapsed="false">
      <c r="A847" s="11" t="n">
        <v>846</v>
      </c>
      <c r="B847" s="12" t="s">
        <v>4600</v>
      </c>
      <c r="C847" s="12" t="s">
        <v>4407</v>
      </c>
      <c r="D847" s="12" t="s">
        <v>4408</v>
      </c>
      <c r="E847" s="12" t="s">
        <v>759</v>
      </c>
      <c r="F847" s="12" t="s">
        <v>4601</v>
      </c>
      <c r="G847" s="12" t="s">
        <v>1055</v>
      </c>
      <c r="H847" s="12" t="s">
        <v>4602</v>
      </c>
      <c r="I847" s="12" t="s">
        <v>4603</v>
      </c>
      <c r="J847" s="13" t="s">
        <v>4604</v>
      </c>
      <c r="K847" s="12" t="s">
        <v>4605</v>
      </c>
      <c r="L847" s="12" t="s">
        <v>4610</v>
      </c>
      <c r="M847" s="12" t="s">
        <v>4611</v>
      </c>
      <c r="N847" s="12" t="s">
        <v>212</v>
      </c>
      <c r="O847" s="12" t="s">
        <v>196</v>
      </c>
      <c r="P847" s="12" t="s">
        <v>103</v>
      </c>
      <c r="Q847" s="12" t="s">
        <v>104</v>
      </c>
      <c r="R847" s="14" t="n">
        <v>9</v>
      </c>
      <c r="S847" s="14" t="s">
        <v>197</v>
      </c>
      <c r="T847" s="14"/>
      <c r="U847" s="14" t="n">
        <v>2025</v>
      </c>
      <c r="V847" s="12" t="s">
        <v>157</v>
      </c>
      <c r="W847" s="14"/>
      <c r="X847" s="15" t="str">
        <f aca="false">IF(OR($S847="%",$R847=""),"",$R847*INDEX(Cambi!$J$2:$J$5,MATCH($S847,Cambi!$I$2:$I$5,0))/IF($T847="EUR",1,INDEX(Cambi!$D:$D,MATCH($T847&amp;"|"&amp;$U847,Cambi!$C:$C,0))))</f>
        <v/>
      </c>
      <c r="Y847" s="12" t="s">
        <v>239</v>
      </c>
      <c r="Z847" s="12" t="s">
        <v>109</v>
      </c>
      <c r="AA847" s="12" t="s">
        <v>109</v>
      </c>
      <c r="AB847" s="12" t="s">
        <v>394</v>
      </c>
      <c r="AC847" s="12" t="s">
        <v>395</v>
      </c>
      <c r="AD847" s="12" t="s">
        <v>112</v>
      </c>
      <c r="AE847" s="12" t="s">
        <v>4608</v>
      </c>
      <c r="AF847" s="12" t="s">
        <v>4612</v>
      </c>
      <c r="AG847" s="12" t="s">
        <v>115</v>
      </c>
      <c r="AH847" s="12" t="s">
        <v>499</v>
      </c>
      <c r="AI847" s="12" t="s">
        <v>285</v>
      </c>
      <c r="AJ847" s="12" t="s">
        <v>4613</v>
      </c>
      <c r="AK847" s="12" t="s">
        <v>4</v>
      </c>
    </row>
    <row r="848" customFormat="false" ht="15" hidden="false" customHeight="false" outlineLevel="0" collapsed="false">
      <c r="A848" s="11" t="n">
        <v>847</v>
      </c>
      <c r="B848" s="12" t="s">
        <v>4614</v>
      </c>
      <c r="C848" s="12" t="s">
        <v>4615</v>
      </c>
      <c r="D848" s="12" t="s">
        <v>4616</v>
      </c>
      <c r="E848" s="12" t="s">
        <v>759</v>
      </c>
      <c r="F848" s="12" t="s">
        <v>2127</v>
      </c>
      <c r="G848" s="12" t="s">
        <v>830</v>
      </c>
      <c r="H848" s="12" t="s">
        <v>4617</v>
      </c>
      <c r="I848" s="12" t="s">
        <v>847</v>
      </c>
      <c r="J848" s="13" t="s">
        <v>4618</v>
      </c>
      <c r="K848" s="12"/>
      <c r="L848" s="12" t="s">
        <v>4619</v>
      </c>
      <c r="M848" s="12" t="s">
        <v>4620</v>
      </c>
      <c r="N848" s="12" t="s">
        <v>352</v>
      </c>
      <c r="O848" s="12" t="s">
        <v>213</v>
      </c>
      <c r="P848" s="12" t="s">
        <v>103</v>
      </c>
      <c r="Q848" s="12" t="s">
        <v>104</v>
      </c>
      <c r="R848" s="14" t="n">
        <v>9.2</v>
      </c>
      <c r="S848" s="14" t="s">
        <v>197</v>
      </c>
      <c r="T848" s="14"/>
      <c r="U848" s="14" t="n">
        <v>2025</v>
      </c>
      <c r="V848" s="12" t="s">
        <v>157</v>
      </c>
      <c r="W848" s="14" t="s">
        <v>4621</v>
      </c>
      <c r="X848" s="15" t="str">
        <f aca="false">IF(OR($S848="%",$R848=""),"",$R848*INDEX(Cambi!$J$2:$J$5,MATCH($S848,Cambi!$I$2:$I$5,0))/IF($T848="EUR",1,INDEX(Cambi!$D:$D,MATCH($T848&amp;"|"&amp;$U848,Cambi!$C:$C,0))))</f>
        <v/>
      </c>
      <c r="Y848" s="12" t="s">
        <v>109</v>
      </c>
      <c r="Z848" s="12" t="s">
        <v>109</v>
      </c>
      <c r="AA848" s="12" t="s">
        <v>109</v>
      </c>
      <c r="AB848" s="16" t="s">
        <v>110</v>
      </c>
      <c r="AC848" s="16" t="s">
        <v>3915</v>
      </c>
      <c r="AD848" s="12" t="s">
        <v>112</v>
      </c>
      <c r="AE848" s="12" t="s">
        <v>1196</v>
      </c>
      <c r="AF848" s="12" t="s">
        <v>4622</v>
      </c>
      <c r="AG848" s="12" t="s">
        <v>284</v>
      </c>
      <c r="AH848" s="12" t="s">
        <v>838</v>
      </c>
      <c r="AI848" s="12" t="s">
        <v>117</v>
      </c>
      <c r="AJ848" s="12" t="s">
        <v>266</v>
      </c>
      <c r="AK848" s="12" t="s">
        <v>4</v>
      </c>
    </row>
    <row r="849" customFormat="false" ht="15" hidden="false" customHeight="false" outlineLevel="0" collapsed="false">
      <c r="A849" s="11" t="n">
        <v>848</v>
      </c>
      <c r="B849" s="12" t="s">
        <v>4614</v>
      </c>
      <c r="C849" s="12" t="s">
        <v>4615</v>
      </c>
      <c r="D849" s="12" t="s">
        <v>4616</v>
      </c>
      <c r="E849" s="12" t="s">
        <v>759</v>
      </c>
      <c r="F849" s="12" t="s">
        <v>2127</v>
      </c>
      <c r="G849" s="12" t="s">
        <v>830</v>
      </c>
      <c r="H849" s="12" t="s">
        <v>4623</v>
      </c>
      <c r="I849" s="12" t="s">
        <v>847</v>
      </c>
      <c r="J849" s="13" t="s">
        <v>4624</v>
      </c>
      <c r="K849" s="12"/>
      <c r="L849" s="12" t="s">
        <v>4625</v>
      </c>
      <c r="M849" s="12" t="s">
        <v>4626</v>
      </c>
      <c r="N849" s="12" t="s">
        <v>352</v>
      </c>
      <c r="O849" s="12" t="s">
        <v>102</v>
      </c>
      <c r="P849" s="12" t="s">
        <v>155</v>
      </c>
      <c r="Q849" s="12" t="s">
        <v>4418</v>
      </c>
      <c r="R849" s="14" t="n">
        <v>360</v>
      </c>
      <c r="S849" s="14" t="s">
        <v>105</v>
      </c>
      <c r="T849" s="14" t="s">
        <v>653</v>
      </c>
      <c r="U849" s="14" t="n">
        <v>2025</v>
      </c>
      <c r="V849" s="12" t="s">
        <v>157</v>
      </c>
      <c r="W849" s="14" t="s">
        <v>4627</v>
      </c>
      <c r="X849" s="15" t="n">
        <f aca="false">IF(OR($S849="%",$R849=""),"",$R849*INDEX(Cambi!$J$2:$J$5,MATCH($S849,Cambi!$I$2:$I$5,0))/IF($T849="EUR",1,INDEX(Cambi!$D:$D,MATCH($T849&amp;"|"&amp;$U849,Cambi!$C:$C,0))))</f>
        <v>318.58407079646</v>
      </c>
      <c r="Y849" s="12" t="s">
        <v>109</v>
      </c>
      <c r="Z849" s="12" t="s">
        <v>109</v>
      </c>
      <c r="AA849" s="12" t="s">
        <v>109</v>
      </c>
      <c r="AB849" s="16" t="s">
        <v>110</v>
      </c>
      <c r="AC849" s="16" t="s">
        <v>3915</v>
      </c>
      <c r="AD849" s="12" t="s">
        <v>112</v>
      </c>
      <c r="AE849" s="12" t="s">
        <v>1196</v>
      </c>
      <c r="AF849" s="12" t="s">
        <v>4628</v>
      </c>
      <c r="AG849" s="12" t="s">
        <v>284</v>
      </c>
      <c r="AH849" s="12" t="s">
        <v>838</v>
      </c>
      <c r="AI849" s="12" t="s">
        <v>117</v>
      </c>
      <c r="AJ849" s="12" t="s">
        <v>4629</v>
      </c>
      <c r="AK849" s="12" t="s">
        <v>4</v>
      </c>
    </row>
    <row r="850" customFormat="false" ht="15" hidden="false" customHeight="false" outlineLevel="0" collapsed="false">
      <c r="A850" s="11" t="n">
        <v>849</v>
      </c>
      <c r="B850" s="12" t="s">
        <v>4630</v>
      </c>
      <c r="C850" s="12" t="s">
        <v>4615</v>
      </c>
      <c r="D850" s="12" t="s">
        <v>4616</v>
      </c>
      <c r="E850" s="12" t="s">
        <v>759</v>
      </c>
      <c r="F850" s="12" t="s">
        <v>4631</v>
      </c>
      <c r="G850" s="12" t="s">
        <v>771</v>
      </c>
      <c r="H850" s="12" t="s">
        <v>4632</v>
      </c>
      <c r="I850" s="12" t="s">
        <v>4633</v>
      </c>
      <c r="J850" s="13" t="s">
        <v>4634</v>
      </c>
      <c r="K850" s="12" t="s">
        <v>4635</v>
      </c>
      <c r="L850" s="12" t="s">
        <v>4636</v>
      </c>
      <c r="M850" s="12" t="s">
        <v>4637</v>
      </c>
      <c r="N850" s="12" t="s">
        <v>101</v>
      </c>
      <c r="O850" s="12" t="s">
        <v>102</v>
      </c>
      <c r="P850" s="12" t="s">
        <v>103</v>
      </c>
      <c r="Q850" s="12" t="s">
        <v>104</v>
      </c>
      <c r="R850" s="14" t="n">
        <v>100</v>
      </c>
      <c r="S850" s="14" t="s">
        <v>105</v>
      </c>
      <c r="T850" s="14" t="s">
        <v>106</v>
      </c>
      <c r="U850" s="14" t="n">
        <v>2022</v>
      </c>
      <c r="V850" s="12" t="s">
        <v>157</v>
      </c>
      <c r="W850" s="14"/>
      <c r="X850" s="15" t="n">
        <f aca="false">IF(OR($S850="%",$R850=""),"",$R850*INDEX(Cambi!$J$2:$J$5,MATCH($S850,Cambi!$I$2:$I$5,0))/IF($T850="EUR",1,INDEX(Cambi!$D:$D,MATCH($T850&amp;"|"&amp;$U850,Cambi!$C:$C,0))))</f>
        <v>100</v>
      </c>
      <c r="Y850" s="12" t="s">
        <v>130</v>
      </c>
      <c r="Z850" s="12" t="s">
        <v>109</v>
      </c>
      <c r="AA850" s="12" t="s">
        <v>109</v>
      </c>
      <c r="AB850" s="16" t="s">
        <v>394</v>
      </c>
      <c r="AC850" s="16" t="s">
        <v>4638</v>
      </c>
      <c r="AD850" s="12" t="s">
        <v>112</v>
      </c>
      <c r="AE850" s="12" t="s">
        <v>4639</v>
      </c>
      <c r="AF850" s="12" t="s">
        <v>4640</v>
      </c>
      <c r="AG850" s="12" t="s">
        <v>115</v>
      </c>
      <c r="AH850" s="12" t="s">
        <v>116</v>
      </c>
      <c r="AI850" s="12" t="s">
        <v>285</v>
      </c>
      <c r="AJ850" s="12" t="s">
        <v>4641</v>
      </c>
      <c r="AK850" s="12" t="s">
        <v>4</v>
      </c>
    </row>
    <row r="851" customFormat="false" ht="15" hidden="false" customHeight="false" outlineLevel="0" collapsed="false">
      <c r="A851" s="11" t="n">
        <v>850</v>
      </c>
      <c r="B851" s="12" t="s">
        <v>4630</v>
      </c>
      <c r="C851" s="12" t="s">
        <v>4615</v>
      </c>
      <c r="D851" s="12" t="s">
        <v>4616</v>
      </c>
      <c r="E851" s="12" t="s">
        <v>759</v>
      </c>
      <c r="F851" s="12" t="s">
        <v>4631</v>
      </c>
      <c r="G851" s="12" t="s">
        <v>771</v>
      </c>
      <c r="H851" s="12" t="s">
        <v>4632</v>
      </c>
      <c r="I851" s="12" t="s">
        <v>4633</v>
      </c>
      <c r="J851" s="13" t="s">
        <v>4634</v>
      </c>
      <c r="K851" s="12" t="s">
        <v>4635</v>
      </c>
      <c r="L851" s="12" t="s">
        <v>4642</v>
      </c>
      <c r="M851" s="12" t="s">
        <v>4643</v>
      </c>
      <c r="N851" s="12" t="s">
        <v>101</v>
      </c>
      <c r="O851" s="12" t="s">
        <v>102</v>
      </c>
      <c r="P851" s="12" t="s">
        <v>103</v>
      </c>
      <c r="Q851" s="12" t="s">
        <v>104</v>
      </c>
      <c r="R851" s="14" t="n">
        <v>38.53</v>
      </c>
      <c r="S851" s="14" t="s">
        <v>105</v>
      </c>
      <c r="T851" s="14" t="s">
        <v>106</v>
      </c>
      <c r="U851" s="14" t="n">
        <v>2022</v>
      </c>
      <c r="V851" s="12" t="s">
        <v>157</v>
      </c>
      <c r="W851" s="14"/>
      <c r="X851" s="15" t="n">
        <f aca="false">IF(OR($S851="%",$R851=""),"",$R851*INDEX(Cambi!$J$2:$J$5,MATCH($S851,Cambi!$I$2:$I$5,0))/IF($T851="EUR",1,INDEX(Cambi!$D:$D,MATCH($T851&amp;"|"&amp;$U851,Cambi!$C:$C,0))))</f>
        <v>38.53</v>
      </c>
      <c r="Y851" s="12" t="s">
        <v>108</v>
      </c>
      <c r="Z851" s="12" t="s">
        <v>109</v>
      </c>
      <c r="AA851" s="12" t="s">
        <v>109</v>
      </c>
      <c r="AB851" s="16" t="s">
        <v>394</v>
      </c>
      <c r="AC851" s="16" t="s">
        <v>4638</v>
      </c>
      <c r="AD851" s="12" t="s">
        <v>112</v>
      </c>
      <c r="AE851" s="12" t="s">
        <v>4639</v>
      </c>
      <c r="AF851" s="12" t="s">
        <v>4644</v>
      </c>
      <c r="AG851" s="12" t="s">
        <v>115</v>
      </c>
      <c r="AH851" s="12" t="s">
        <v>116</v>
      </c>
      <c r="AI851" s="12" t="s">
        <v>285</v>
      </c>
      <c r="AJ851" s="12" t="s">
        <v>4645</v>
      </c>
      <c r="AK851" s="12" t="s">
        <v>4</v>
      </c>
    </row>
    <row r="852" customFormat="false" ht="15" hidden="false" customHeight="false" outlineLevel="0" collapsed="false">
      <c r="A852" s="11" t="n">
        <v>851</v>
      </c>
      <c r="B852" s="12" t="s">
        <v>4646</v>
      </c>
      <c r="C852" s="12" t="s">
        <v>4615</v>
      </c>
      <c r="D852" s="12" t="s">
        <v>4616</v>
      </c>
      <c r="E852" s="12" t="s">
        <v>759</v>
      </c>
      <c r="F852" s="12" t="s">
        <v>4647</v>
      </c>
      <c r="G852" s="12" t="s">
        <v>1055</v>
      </c>
      <c r="H852" s="12" t="s">
        <v>4648</v>
      </c>
      <c r="I852" s="12" t="s">
        <v>4649</v>
      </c>
      <c r="J852" s="13" t="s">
        <v>4650</v>
      </c>
      <c r="K852" s="12" t="s">
        <v>4651</v>
      </c>
      <c r="L852" s="12" t="s">
        <v>4652</v>
      </c>
      <c r="M852" s="12" t="s">
        <v>4653</v>
      </c>
      <c r="N852" s="12" t="s">
        <v>352</v>
      </c>
      <c r="O852" s="12" t="s">
        <v>102</v>
      </c>
      <c r="P852" s="12" t="s">
        <v>103</v>
      </c>
      <c r="Q852" s="12" t="s">
        <v>104</v>
      </c>
      <c r="R852" s="14" t="n">
        <v>200</v>
      </c>
      <c r="S852" s="14" t="s">
        <v>105</v>
      </c>
      <c r="T852" s="14" t="s">
        <v>106</v>
      </c>
      <c r="U852" s="14" t="n">
        <v>2026</v>
      </c>
      <c r="V852" s="12" t="s">
        <v>198</v>
      </c>
      <c r="W852" s="14"/>
      <c r="X852" s="15" t="n">
        <f aca="false">IF(OR($S852="%",$R852=""),"",$R852*INDEX(Cambi!$J$2:$J$5,MATCH($S852,Cambi!$I$2:$I$5,0))/IF($T852="EUR",1,INDEX(Cambi!$D:$D,MATCH($T852&amp;"|"&amp;$U852,Cambi!$C:$C,0))))</f>
        <v>200</v>
      </c>
      <c r="Y852" s="12" t="s">
        <v>109</v>
      </c>
      <c r="Z852" s="12" t="s">
        <v>109</v>
      </c>
      <c r="AA852" s="12" t="s">
        <v>109</v>
      </c>
      <c r="AB852" s="16" t="s">
        <v>110</v>
      </c>
      <c r="AC852" s="16" t="s">
        <v>4654</v>
      </c>
      <c r="AD852" s="12" t="s">
        <v>112</v>
      </c>
      <c r="AE852" s="12" t="s">
        <v>1196</v>
      </c>
      <c r="AF852" s="12" t="s">
        <v>4655</v>
      </c>
      <c r="AG852" s="12" t="s">
        <v>284</v>
      </c>
      <c r="AH852" s="12" t="s">
        <v>499</v>
      </c>
      <c r="AI852" s="12" t="s">
        <v>285</v>
      </c>
      <c r="AJ852" s="12" t="s">
        <v>4656</v>
      </c>
      <c r="AK852" s="12" t="s">
        <v>4</v>
      </c>
    </row>
    <row r="853" customFormat="false" ht="15" hidden="false" customHeight="false" outlineLevel="0" collapsed="false">
      <c r="A853" s="11" t="n">
        <v>852</v>
      </c>
      <c r="B853" s="12" t="s">
        <v>4657</v>
      </c>
      <c r="C853" s="12" t="s">
        <v>4615</v>
      </c>
      <c r="D853" s="12" t="s">
        <v>4616</v>
      </c>
      <c r="E853" s="12" t="s">
        <v>759</v>
      </c>
      <c r="F853" s="12" t="s">
        <v>4658</v>
      </c>
      <c r="G853" s="12" t="s">
        <v>1055</v>
      </c>
      <c r="H853" s="12" t="s">
        <v>4659</v>
      </c>
      <c r="I853" s="12" t="s">
        <v>4660</v>
      </c>
      <c r="J853" s="13" t="s">
        <v>4661</v>
      </c>
      <c r="K853" s="12" t="s">
        <v>4662</v>
      </c>
      <c r="L853" s="12" t="s">
        <v>4663</v>
      </c>
      <c r="M853" s="12" t="s">
        <v>4664</v>
      </c>
      <c r="N853" s="12" t="s">
        <v>101</v>
      </c>
      <c r="O853" s="12" t="s">
        <v>102</v>
      </c>
      <c r="P853" s="12" t="s">
        <v>103</v>
      </c>
      <c r="Q853" s="12" t="s">
        <v>104</v>
      </c>
      <c r="R853" s="14" t="n">
        <v>42.977</v>
      </c>
      <c r="S853" s="14" t="s">
        <v>105</v>
      </c>
      <c r="T853" s="14" t="s">
        <v>4665</v>
      </c>
      <c r="U853" s="14" t="n">
        <v>2026</v>
      </c>
      <c r="V853" s="12" t="s">
        <v>198</v>
      </c>
      <c r="W853" s="14"/>
      <c r="X853" s="15" t="n">
        <f aca="false">IF(OR($S853="%",$R853=""),"",$R853*INDEX(Cambi!$J$2:$J$5,MATCH($S853,Cambi!$I$2:$I$5,0))/IF($T853="EUR",1,INDEX(Cambi!$D:$D,MATCH($T853&amp;"|"&amp;$U853,Cambi!$C:$C,0))))</f>
        <v>8.52312390924956</v>
      </c>
      <c r="Y853" s="12" t="s">
        <v>108</v>
      </c>
      <c r="Z853" s="12" t="s">
        <v>117</v>
      </c>
      <c r="AA853" s="12" t="s">
        <v>4666</v>
      </c>
      <c r="AB853" s="16" t="s">
        <v>394</v>
      </c>
      <c r="AC853" s="16" t="s">
        <v>4667</v>
      </c>
      <c r="AD853" s="12" t="s">
        <v>112</v>
      </c>
      <c r="AE853" s="12" t="s">
        <v>4668</v>
      </c>
      <c r="AF853" s="12" t="s">
        <v>4669</v>
      </c>
      <c r="AG853" s="12" t="s">
        <v>115</v>
      </c>
      <c r="AH853" s="12" t="s">
        <v>116</v>
      </c>
      <c r="AI853" s="12" t="s">
        <v>117</v>
      </c>
      <c r="AJ853" s="12" t="s">
        <v>4670</v>
      </c>
      <c r="AK853" s="12" t="s">
        <v>4</v>
      </c>
    </row>
    <row r="854" customFormat="false" ht="15" hidden="false" customHeight="false" outlineLevel="0" collapsed="false">
      <c r="A854" s="11" t="n">
        <v>853</v>
      </c>
      <c r="B854" s="12" t="s">
        <v>4671</v>
      </c>
      <c r="C854" s="12" t="s">
        <v>4615</v>
      </c>
      <c r="D854" s="12" t="s">
        <v>4616</v>
      </c>
      <c r="E854" s="12" t="s">
        <v>759</v>
      </c>
      <c r="F854" s="12" t="s">
        <v>4672</v>
      </c>
      <c r="G854" s="12" t="s">
        <v>830</v>
      </c>
      <c r="H854" s="12" t="s">
        <v>4673</v>
      </c>
      <c r="I854" s="12" t="s">
        <v>4674</v>
      </c>
      <c r="J854" s="13" t="s">
        <v>4675</v>
      </c>
      <c r="K854" s="12"/>
      <c r="L854" s="12" t="s">
        <v>4676</v>
      </c>
      <c r="M854" s="12" t="s">
        <v>4677</v>
      </c>
      <c r="N854" s="12" t="s">
        <v>352</v>
      </c>
      <c r="O854" s="12" t="s">
        <v>102</v>
      </c>
      <c r="P854" s="12" t="s">
        <v>103</v>
      </c>
      <c r="Q854" s="12" t="s">
        <v>104</v>
      </c>
      <c r="R854" s="14" t="n">
        <v>190</v>
      </c>
      <c r="S854" s="14" t="s">
        <v>105</v>
      </c>
      <c r="T854" s="14" t="s">
        <v>106</v>
      </c>
      <c r="U854" s="14" t="n">
        <v>2025</v>
      </c>
      <c r="V854" s="12" t="s">
        <v>157</v>
      </c>
      <c r="W854" s="14" t="s">
        <v>4678</v>
      </c>
      <c r="X854" s="15" t="n">
        <f aca="false">IF(OR($S854="%",$R854=""),"",$R854*INDEX(Cambi!$J$2:$J$5,MATCH($S854,Cambi!$I$2:$I$5,0))/IF($T854="EUR",1,INDEX(Cambi!$D:$D,MATCH($T854&amp;"|"&amp;$U854,Cambi!$C:$C,0))))</f>
        <v>190</v>
      </c>
      <c r="Y854" s="12" t="s">
        <v>109</v>
      </c>
      <c r="Z854" s="12" t="s">
        <v>109</v>
      </c>
      <c r="AA854" s="12" t="s">
        <v>109</v>
      </c>
      <c r="AB854" s="16" t="s">
        <v>110</v>
      </c>
      <c r="AC854" s="16" t="s">
        <v>4679</v>
      </c>
      <c r="AD854" s="12" t="s">
        <v>112</v>
      </c>
      <c r="AE854" s="12" t="s">
        <v>1196</v>
      </c>
      <c r="AF854" s="12" t="s">
        <v>4680</v>
      </c>
      <c r="AG854" s="12" t="s">
        <v>284</v>
      </c>
      <c r="AH854" s="12" t="s">
        <v>838</v>
      </c>
      <c r="AI854" s="12" t="s">
        <v>117</v>
      </c>
      <c r="AJ854" s="12" t="s">
        <v>4681</v>
      </c>
      <c r="AK854" s="12" t="s">
        <v>4</v>
      </c>
    </row>
    <row r="855" customFormat="false" ht="15" hidden="false" customHeight="false" outlineLevel="0" collapsed="false">
      <c r="A855" s="11" t="n">
        <v>854</v>
      </c>
      <c r="B855" s="12" t="s">
        <v>4671</v>
      </c>
      <c r="C855" s="12" t="s">
        <v>4615</v>
      </c>
      <c r="D855" s="12" t="s">
        <v>4616</v>
      </c>
      <c r="E855" s="12" t="s">
        <v>759</v>
      </c>
      <c r="F855" s="12" t="s">
        <v>4682</v>
      </c>
      <c r="G855" s="12" t="s">
        <v>1055</v>
      </c>
      <c r="H855" s="12" t="s">
        <v>4683</v>
      </c>
      <c r="I855" s="12" t="s">
        <v>4684</v>
      </c>
      <c r="J855" s="13" t="s">
        <v>4685</v>
      </c>
      <c r="K855" s="12" t="s">
        <v>4686</v>
      </c>
      <c r="L855" s="12" t="s">
        <v>4676</v>
      </c>
      <c r="M855" s="12" t="s">
        <v>4687</v>
      </c>
      <c r="N855" s="12" t="s">
        <v>352</v>
      </c>
      <c r="O855" s="12" t="s">
        <v>102</v>
      </c>
      <c r="P855" s="12" t="s">
        <v>103</v>
      </c>
      <c r="Q855" s="12" t="s">
        <v>104</v>
      </c>
      <c r="R855" s="14" t="n">
        <v>300</v>
      </c>
      <c r="S855" s="14" t="s">
        <v>105</v>
      </c>
      <c r="T855" s="14" t="s">
        <v>106</v>
      </c>
      <c r="U855" s="14" t="n">
        <v>2030</v>
      </c>
      <c r="V855" s="12" t="s">
        <v>107</v>
      </c>
      <c r="W855" s="14" t="s">
        <v>4688</v>
      </c>
      <c r="X855" s="15" t="n">
        <f aca="false">IF(OR($S855="%",$R855=""),"",$R855*INDEX(Cambi!$J$2:$J$5,MATCH($S855,Cambi!$I$2:$I$5,0))/IF($T855="EUR",1,INDEX(Cambi!$D:$D,MATCH($T855&amp;"|"&amp;$U855,Cambi!$C:$C,0))))</f>
        <v>300</v>
      </c>
      <c r="Y855" s="12" t="s">
        <v>109</v>
      </c>
      <c r="Z855" s="12" t="s">
        <v>109</v>
      </c>
      <c r="AA855" s="12" t="s">
        <v>109</v>
      </c>
      <c r="AB855" s="16" t="s">
        <v>110</v>
      </c>
      <c r="AC855" s="16" t="s">
        <v>4679</v>
      </c>
      <c r="AD855" s="12" t="s">
        <v>112</v>
      </c>
      <c r="AE855" s="12" t="s">
        <v>1196</v>
      </c>
      <c r="AF855" s="12" t="s">
        <v>4689</v>
      </c>
      <c r="AG855" s="12" t="s">
        <v>284</v>
      </c>
      <c r="AH855" s="12" t="s">
        <v>499</v>
      </c>
      <c r="AI855" s="12" t="s">
        <v>285</v>
      </c>
      <c r="AJ855" s="12" t="s">
        <v>4690</v>
      </c>
      <c r="AK855" s="12" t="s">
        <v>4</v>
      </c>
    </row>
    <row r="856" customFormat="false" ht="15" hidden="false" customHeight="false" outlineLevel="0" collapsed="false">
      <c r="A856" s="11" t="n">
        <v>855</v>
      </c>
      <c r="B856" s="12" t="s">
        <v>4691</v>
      </c>
      <c r="C856" s="12" t="s">
        <v>4615</v>
      </c>
      <c r="D856" s="12" t="s">
        <v>4616</v>
      </c>
      <c r="E856" s="12" t="s">
        <v>759</v>
      </c>
      <c r="F856" s="12" t="s">
        <v>4692</v>
      </c>
      <c r="G856" s="12" t="s">
        <v>771</v>
      </c>
      <c r="H856" s="12" t="s">
        <v>4693</v>
      </c>
      <c r="I856" s="12" t="s">
        <v>4694</v>
      </c>
      <c r="J856" s="13" t="s">
        <v>4695</v>
      </c>
      <c r="K856" s="12"/>
      <c r="L856" s="12" t="s">
        <v>4696</v>
      </c>
      <c r="M856" s="12" t="s">
        <v>4697</v>
      </c>
      <c r="N856" s="12" t="s">
        <v>101</v>
      </c>
      <c r="O856" s="12" t="s">
        <v>102</v>
      </c>
      <c r="P856" s="12" t="s">
        <v>103</v>
      </c>
      <c r="Q856" s="12" t="s">
        <v>104</v>
      </c>
      <c r="R856" s="14" t="n">
        <v>123.355</v>
      </c>
      <c r="S856" s="14" t="s">
        <v>105</v>
      </c>
      <c r="T856" s="14" t="s">
        <v>4665</v>
      </c>
      <c r="U856" s="14" t="n">
        <v>2022</v>
      </c>
      <c r="V856" s="12" t="s">
        <v>157</v>
      </c>
      <c r="W856" s="14"/>
      <c r="X856" s="15" t="n">
        <f aca="false">IF(OR($S856="%",$R856=""),"",$R856*INDEX(Cambi!$J$2:$J$5,MATCH($S856,Cambi!$I$2:$I$5,0))/IF($T856="EUR",1,INDEX(Cambi!$D:$D,MATCH($T856&amp;"|"&amp;$U856,Cambi!$C:$C,0))))</f>
        <v>25.0147020055563</v>
      </c>
      <c r="Y856" s="12" t="s">
        <v>130</v>
      </c>
      <c r="Z856" s="12" t="s">
        <v>109</v>
      </c>
      <c r="AA856" s="12" t="s">
        <v>4698</v>
      </c>
      <c r="AB856" s="16" t="s">
        <v>394</v>
      </c>
      <c r="AC856" s="16" t="s">
        <v>4699</v>
      </c>
      <c r="AD856" s="12" t="s">
        <v>112</v>
      </c>
      <c r="AE856" s="12" t="s">
        <v>4700</v>
      </c>
      <c r="AF856" s="12" t="s">
        <v>4701</v>
      </c>
      <c r="AG856" s="12" t="s">
        <v>407</v>
      </c>
      <c r="AH856" s="12" t="s">
        <v>116</v>
      </c>
      <c r="AI856" s="12" t="s">
        <v>117</v>
      </c>
      <c r="AJ856" s="12" t="s">
        <v>4702</v>
      </c>
      <c r="AK856" s="12" t="s">
        <v>4</v>
      </c>
    </row>
    <row r="857" customFormat="false" ht="15" hidden="false" customHeight="false" outlineLevel="0" collapsed="false">
      <c r="A857" s="11" t="n">
        <v>856</v>
      </c>
      <c r="B857" s="12" t="s">
        <v>4703</v>
      </c>
      <c r="C857" s="12" t="s">
        <v>4615</v>
      </c>
      <c r="D857" s="12" t="s">
        <v>4616</v>
      </c>
      <c r="E857" s="12" t="s">
        <v>759</v>
      </c>
      <c r="F857" s="12" t="s">
        <v>4704</v>
      </c>
      <c r="G857" s="12" t="s">
        <v>1055</v>
      </c>
      <c r="H857" s="12" t="s">
        <v>4705</v>
      </c>
      <c r="I857" s="12" t="s">
        <v>4706</v>
      </c>
      <c r="J857" s="13" t="s">
        <v>4707</v>
      </c>
      <c r="K857" s="12" t="s">
        <v>4708</v>
      </c>
      <c r="L857" s="12" t="s">
        <v>4709</v>
      </c>
      <c r="M857" s="12" t="s">
        <v>4710</v>
      </c>
      <c r="N857" s="12" t="s">
        <v>212</v>
      </c>
      <c r="O857" s="12" t="s">
        <v>102</v>
      </c>
      <c r="P857" s="12" t="s">
        <v>103</v>
      </c>
      <c r="Q857" s="12" t="s">
        <v>104</v>
      </c>
      <c r="R857" s="14" t="n">
        <v>668.000866</v>
      </c>
      <c r="S857" s="14" t="s">
        <v>105</v>
      </c>
      <c r="T857" s="14" t="s">
        <v>4665</v>
      </c>
      <c r="U857" s="14" t="n">
        <v>2026</v>
      </c>
      <c r="V857" s="12" t="s">
        <v>198</v>
      </c>
      <c r="W857" s="14"/>
      <c r="X857" s="15" t="n">
        <f aca="false">IF(OR($S857="%",$R857=""),"",$R857*INDEX(Cambi!$J$2:$J$5,MATCH($S857,Cambi!$I$2:$I$5,0))/IF($T857="EUR",1,INDEX(Cambi!$D:$D,MATCH($T857&amp;"|"&amp;$U857,Cambi!$C:$C,0))))</f>
        <v>132.476770188799</v>
      </c>
      <c r="Y857" s="12" t="s">
        <v>108</v>
      </c>
      <c r="Z857" s="12" t="s">
        <v>285</v>
      </c>
      <c r="AA857" s="12" t="s">
        <v>4711</v>
      </c>
      <c r="AB857" s="16" t="s">
        <v>394</v>
      </c>
      <c r="AC857" s="16" t="s">
        <v>4712</v>
      </c>
      <c r="AD857" s="12" t="s">
        <v>112</v>
      </c>
      <c r="AE857" s="12" t="s">
        <v>4713</v>
      </c>
      <c r="AF857" s="12" t="s">
        <v>4714</v>
      </c>
      <c r="AG857" s="12" t="s">
        <v>115</v>
      </c>
      <c r="AH857" s="12" t="s">
        <v>499</v>
      </c>
      <c r="AI857" s="12" t="s">
        <v>285</v>
      </c>
      <c r="AJ857" s="12" t="s">
        <v>4715</v>
      </c>
      <c r="AK857" s="12" t="s">
        <v>4</v>
      </c>
    </row>
    <row r="858" customFormat="false" ht="15" hidden="false" customHeight="false" outlineLevel="0" collapsed="false">
      <c r="A858" s="11" t="n">
        <v>857</v>
      </c>
      <c r="B858" s="12" t="s">
        <v>4716</v>
      </c>
      <c r="C858" s="12" t="s">
        <v>4615</v>
      </c>
      <c r="D858" s="12" t="s">
        <v>4616</v>
      </c>
      <c r="E858" s="12" t="s">
        <v>759</v>
      </c>
      <c r="F858" s="12" t="s">
        <v>2513</v>
      </c>
      <c r="G858" s="12" t="s">
        <v>830</v>
      </c>
      <c r="H858" s="12" t="s">
        <v>4717</v>
      </c>
      <c r="I858" s="12" t="s">
        <v>4718</v>
      </c>
      <c r="J858" s="13" t="s">
        <v>4719</v>
      </c>
      <c r="K858" s="12"/>
      <c r="L858" s="12" t="s">
        <v>4717</v>
      </c>
      <c r="M858" s="12" t="s">
        <v>4720</v>
      </c>
      <c r="N858" s="12" t="s">
        <v>352</v>
      </c>
      <c r="O858" s="12" t="s">
        <v>102</v>
      </c>
      <c r="P858" s="12" t="s">
        <v>366</v>
      </c>
      <c r="Q858" s="12" t="s">
        <v>367</v>
      </c>
      <c r="R858" s="14" t="n">
        <v>1.2</v>
      </c>
      <c r="S858" s="14" t="s">
        <v>129</v>
      </c>
      <c r="T858" s="14" t="s">
        <v>653</v>
      </c>
      <c r="U858" s="14" t="n">
        <v>2024</v>
      </c>
      <c r="V858" s="12" t="s">
        <v>157</v>
      </c>
      <c r="W858" s="14"/>
      <c r="X858" s="15" t="n">
        <f aca="false">IF(OR($S858="%",$R858=""),"",$R858*INDEX(Cambi!$J$2:$J$5,MATCH($S858,Cambi!$I$2:$I$5,0))/IF($T858="EUR",1,INDEX(Cambi!$D:$D,MATCH($T858&amp;"|"&amp;$U858,Cambi!$C:$C,0))))</f>
        <v>1108.64745011086</v>
      </c>
      <c r="Y858" s="12" t="s">
        <v>108</v>
      </c>
      <c r="Z858" s="12" t="s">
        <v>109</v>
      </c>
      <c r="AA858" s="12" t="s">
        <v>109</v>
      </c>
      <c r="AB858" s="16" t="s">
        <v>110</v>
      </c>
      <c r="AC858" s="16" t="s">
        <v>3915</v>
      </c>
      <c r="AD858" s="12" t="s">
        <v>112</v>
      </c>
      <c r="AE858" s="12" t="s">
        <v>4721</v>
      </c>
      <c r="AF858" s="12" t="s">
        <v>4722</v>
      </c>
      <c r="AG858" s="12" t="s">
        <v>284</v>
      </c>
      <c r="AH858" s="12" t="s">
        <v>838</v>
      </c>
      <c r="AI858" s="12" t="s">
        <v>117</v>
      </c>
      <c r="AJ858" s="12" t="s">
        <v>4723</v>
      </c>
      <c r="AK858" s="12" t="s">
        <v>4</v>
      </c>
    </row>
    <row r="859" customFormat="false" ht="15" hidden="false" customHeight="false" outlineLevel="0" collapsed="false">
      <c r="A859" s="11" t="n">
        <v>858</v>
      </c>
      <c r="B859" s="12" t="s">
        <v>4724</v>
      </c>
      <c r="C859" s="12" t="s">
        <v>4615</v>
      </c>
      <c r="D859" s="12" t="s">
        <v>4616</v>
      </c>
      <c r="E859" s="12" t="s">
        <v>759</v>
      </c>
      <c r="F859" s="12" t="s">
        <v>845</v>
      </c>
      <c r="G859" s="12" t="s">
        <v>830</v>
      </c>
      <c r="H859" s="12" t="s">
        <v>4725</v>
      </c>
      <c r="I859" s="12" t="s">
        <v>808</v>
      </c>
      <c r="J859" s="13" t="s">
        <v>4726</v>
      </c>
      <c r="K859" s="12"/>
      <c r="L859" s="12" t="s">
        <v>4727</v>
      </c>
      <c r="M859" s="12" t="s">
        <v>4728</v>
      </c>
      <c r="N859" s="12" t="s">
        <v>352</v>
      </c>
      <c r="O859" s="12" t="s">
        <v>102</v>
      </c>
      <c r="P859" s="12" t="s">
        <v>103</v>
      </c>
      <c r="Q859" s="12" t="s">
        <v>104</v>
      </c>
      <c r="R859" s="14" t="n">
        <v>175.15</v>
      </c>
      <c r="S859" s="14" t="s">
        <v>105</v>
      </c>
      <c r="T859" s="14" t="s">
        <v>653</v>
      </c>
      <c r="U859" s="14" t="n">
        <v>2024</v>
      </c>
      <c r="V859" s="12" t="s">
        <v>198</v>
      </c>
      <c r="W859" s="14" t="s">
        <v>4729</v>
      </c>
      <c r="X859" s="15" t="n">
        <f aca="false">IF(OR($S859="%",$R859=""),"",$R859*INDEX(Cambi!$J$2:$J$5,MATCH($S859,Cambi!$I$2:$I$5,0))/IF($T859="EUR",1,INDEX(Cambi!$D:$D,MATCH($T859&amp;"|"&amp;$U859,Cambi!$C:$C,0))))</f>
        <v>161.816334072432</v>
      </c>
      <c r="Y859" s="12" t="s">
        <v>109</v>
      </c>
      <c r="Z859" s="12" t="s">
        <v>109</v>
      </c>
      <c r="AA859" s="12" t="s">
        <v>2677</v>
      </c>
      <c r="AB859" s="16" t="s">
        <v>110</v>
      </c>
      <c r="AC859" s="16" t="s">
        <v>4143</v>
      </c>
      <c r="AD859" s="12" t="s">
        <v>112</v>
      </c>
      <c r="AE859" s="12" t="s">
        <v>3263</v>
      </c>
      <c r="AF859" s="12" t="s">
        <v>4730</v>
      </c>
      <c r="AG859" s="12" t="s">
        <v>498</v>
      </c>
      <c r="AH859" s="12" t="s">
        <v>838</v>
      </c>
      <c r="AI859" s="12" t="s">
        <v>117</v>
      </c>
      <c r="AJ859" s="12" t="s">
        <v>4731</v>
      </c>
      <c r="AK859" s="12" t="s">
        <v>4</v>
      </c>
    </row>
    <row r="860" customFormat="false" ht="15" hidden="false" customHeight="false" outlineLevel="0" collapsed="false">
      <c r="A860" s="11" t="n">
        <v>859</v>
      </c>
      <c r="B860" s="12" t="s">
        <v>4724</v>
      </c>
      <c r="C860" s="12" t="s">
        <v>4615</v>
      </c>
      <c r="D860" s="12" t="s">
        <v>4616</v>
      </c>
      <c r="E860" s="12" t="s">
        <v>759</v>
      </c>
      <c r="F860" s="12" t="s">
        <v>845</v>
      </c>
      <c r="G860" s="12" t="s">
        <v>830</v>
      </c>
      <c r="H860" s="12" t="s">
        <v>4725</v>
      </c>
      <c r="I860" s="12" t="s">
        <v>808</v>
      </c>
      <c r="J860" s="13" t="s">
        <v>4726</v>
      </c>
      <c r="K860" s="12"/>
      <c r="L860" s="12" t="s">
        <v>4727</v>
      </c>
      <c r="M860" s="12" t="s">
        <v>4732</v>
      </c>
      <c r="N860" s="12" t="s">
        <v>352</v>
      </c>
      <c r="O860" s="12" t="s">
        <v>102</v>
      </c>
      <c r="P860" s="12" t="s">
        <v>103</v>
      </c>
      <c r="Q860" s="12" t="s">
        <v>104</v>
      </c>
      <c r="R860" s="14" t="n">
        <v>293.67</v>
      </c>
      <c r="S860" s="14" t="s">
        <v>105</v>
      </c>
      <c r="T860" s="14" t="s">
        <v>653</v>
      </c>
      <c r="U860" s="14" t="n">
        <v>2029</v>
      </c>
      <c r="V860" s="12" t="s">
        <v>107</v>
      </c>
      <c r="W860" s="14" t="s">
        <v>4729</v>
      </c>
      <c r="X860" s="15" t="n">
        <f aca="false">IF(OR($S860="%",$R860=""),"",$R860*INDEX(Cambi!$J$2:$J$5,MATCH($S860,Cambi!$I$2:$I$5,0))/IF($T860="EUR",1,INDEX(Cambi!$D:$D,MATCH($T860&amp;"|"&amp;$U860,Cambi!$C:$C,0))))</f>
        <v>259.884955752212</v>
      </c>
      <c r="Y860" s="12" t="s">
        <v>109</v>
      </c>
      <c r="Z860" s="12" t="s">
        <v>109</v>
      </c>
      <c r="AA860" s="12" t="s">
        <v>2677</v>
      </c>
      <c r="AB860" s="16" t="s">
        <v>110</v>
      </c>
      <c r="AC860" s="16" t="s">
        <v>4143</v>
      </c>
      <c r="AD860" s="12" t="s">
        <v>112</v>
      </c>
      <c r="AE860" s="12" t="s">
        <v>3263</v>
      </c>
      <c r="AF860" s="12" t="s">
        <v>4730</v>
      </c>
      <c r="AG860" s="12" t="s">
        <v>498</v>
      </c>
      <c r="AH860" s="12" t="s">
        <v>838</v>
      </c>
      <c r="AI860" s="12" t="s">
        <v>117</v>
      </c>
      <c r="AJ860" s="12" t="s">
        <v>266</v>
      </c>
      <c r="AK860" s="12" t="s">
        <v>4</v>
      </c>
    </row>
    <row r="861" customFormat="false" ht="15" hidden="false" customHeight="false" outlineLevel="0" collapsed="false">
      <c r="A861" s="11" t="n">
        <v>860</v>
      </c>
      <c r="B861" s="12" t="s">
        <v>4733</v>
      </c>
      <c r="C861" s="12" t="s">
        <v>4615</v>
      </c>
      <c r="D861" s="12" t="s">
        <v>4616</v>
      </c>
      <c r="E861" s="12" t="s">
        <v>759</v>
      </c>
      <c r="F861" s="12" t="s">
        <v>845</v>
      </c>
      <c r="G861" s="12" t="s">
        <v>830</v>
      </c>
      <c r="H861" s="12" t="s">
        <v>4734</v>
      </c>
      <c r="I861" s="12" t="s">
        <v>1593</v>
      </c>
      <c r="J861" s="13" t="s">
        <v>4726</v>
      </c>
      <c r="K861" s="12"/>
      <c r="L861" s="12" t="s">
        <v>4727</v>
      </c>
      <c r="M861" s="12" t="s">
        <v>4735</v>
      </c>
      <c r="N861" s="12" t="s">
        <v>352</v>
      </c>
      <c r="O861" s="12" t="s">
        <v>102</v>
      </c>
      <c r="P861" s="12" t="s">
        <v>103</v>
      </c>
      <c r="Q861" s="12" t="s">
        <v>104</v>
      </c>
      <c r="R861" s="14" t="n">
        <v>194.22</v>
      </c>
      <c r="S861" s="14" t="s">
        <v>105</v>
      </c>
      <c r="T861" s="14" t="s">
        <v>653</v>
      </c>
      <c r="U861" s="14" t="n">
        <v>2025</v>
      </c>
      <c r="V861" s="12" t="s">
        <v>107</v>
      </c>
      <c r="W861" s="14" t="s">
        <v>4736</v>
      </c>
      <c r="X861" s="15" t="n">
        <f aca="false">IF(OR($S861="%",$R861=""),"",$R861*INDEX(Cambi!$J$2:$J$5,MATCH($S861,Cambi!$I$2:$I$5,0))/IF($T861="EUR",1,INDEX(Cambi!$D:$D,MATCH($T861&amp;"|"&amp;$U861,Cambi!$C:$C,0))))</f>
        <v>171.87610619469</v>
      </c>
      <c r="Y861" s="12" t="s">
        <v>109</v>
      </c>
      <c r="Z861" s="12" t="s">
        <v>109</v>
      </c>
      <c r="AA861" s="12" t="s">
        <v>2677</v>
      </c>
      <c r="AB861" s="16" t="s">
        <v>110</v>
      </c>
      <c r="AC861" s="16" t="s">
        <v>4143</v>
      </c>
      <c r="AD861" s="12" t="s">
        <v>112</v>
      </c>
      <c r="AE861" s="12" t="s">
        <v>3263</v>
      </c>
      <c r="AF861" s="12" t="s">
        <v>4737</v>
      </c>
      <c r="AG861" s="12" t="s">
        <v>498</v>
      </c>
      <c r="AH861" s="12" t="s">
        <v>838</v>
      </c>
      <c r="AI861" s="12" t="s">
        <v>117</v>
      </c>
      <c r="AJ861" s="12" t="s">
        <v>266</v>
      </c>
      <c r="AK861" s="12" t="s">
        <v>4</v>
      </c>
    </row>
    <row r="862" customFormat="false" ht="15" hidden="false" customHeight="false" outlineLevel="0" collapsed="false">
      <c r="A862" s="11" t="n">
        <v>861</v>
      </c>
      <c r="B862" s="12" t="s">
        <v>4733</v>
      </c>
      <c r="C862" s="12" t="s">
        <v>4615</v>
      </c>
      <c r="D862" s="12" t="s">
        <v>4616</v>
      </c>
      <c r="E862" s="12" t="s">
        <v>759</v>
      </c>
      <c r="F862" s="12" t="s">
        <v>845</v>
      </c>
      <c r="G862" s="12" t="s">
        <v>830</v>
      </c>
      <c r="H862" s="12" t="s">
        <v>4734</v>
      </c>
      <c r="I862" s="12" t="s">
        <v>1593</v>
      </c>
      <c r="J862" s="13" t="s">
        <v>4726</v>
      </c>
      <c r="K862" s="12"/>
      <c r="L862" s="12" t="s">
        <v>4727</v>
      </c>
      <c r="M862" s="12" t="s">
        <v>4738</v>
      </c>
      <c r="N862" s="12" t="s">
        <v>352</v>
      </c>
      <c r="O862" s="12" t="s">
        <v>102</v>
      </c>
      <c r="P862" s="12" t="s">
        <v>103</v>
      </c>
      <c r="Q862" s="12" t="s">
        <v>104</v>
      </c>
      <c r="R862" s="14" t="n">
        <v>325.66</v>
      </c>
      <c r="S862" s="14" t="s">
        <v>105</v>
      </c>
      <c r="T862" s="14" t="s">
        <v>653</v>
      </c>
      <c r="U862" s="14" t="n">
        <v>2030</v>
      </c>
      <c r="V862" s="12" t="s">
        <v>107</v>
      </c>
      <c r="W862" s="14" t="s">
        <v>4736</v>
      </c>
      <c r="X862" s="15" t="n">
        <f aca="false">IF(OR($S862="%",$R862=""),"",$R862*INDEX(Cambi!$J$2:$J$5,MATCH($S862,Cambi!$I$2:$I$5,0))/IF($T862="EUR",1,INDEX(Cambi!$D:$D,MATCH($T862&amp;"|"&amp;$U862,Cambi!$C:$C,0))))</f>
        <v>288.194690265487</v>
      </c>
      <c r="Y862" s="12" t="s">
        <v>109</v>
      </c>
      <c r="Z862" s="12" t="s">
        <v>109</v>
      </c>
      <c r="AA862" s="12" t="s">
        <v>2677</v>
      </c>
      <c r="AB862" s="16" t="s">
        <v>110</v>
      </c>
      <c r="AC862" s="16" t="s">
        <v>4143</v>
      </c>
      <c r="AD862" s="12" t="s">
        <v>112</v>
      </c>
      <c r="AE862" s="12" t="s">
        <v>3263</v>
      </c>
      <c r="AF862" s="12" t="s">
        <v>4737</v>
      </c>
      <c r="AG862" s="12" t="s">
        <v>498</v>
      </c>
      <c r="AH862" s="12" t="s">
        <v>838</v>
      </c>
      <c r="AI862" s="12" t="s">
        <v>117</v>
      </c>
      <c r="AJ862" s="12" t="s">
        <v>4739</v>
      </c>
      <c r="AK862" s="12" t="s">
        <v>4</v>
      </c>
    </row>
    <row r="863" customFormat="false" ht="15" hidden="false" customHeight="false" outlineLevel="0" collapsed="false">
      <c r="A863" s="11" t="n">
        <v>862</v>
      </c>
      <c r="B863" s="12" t="s">
        <v>4740</v>
      </c>
      <c r="C863" s="12" t="s">
        <v>4615</v>
      </c>
      <c r="D863" s="12" t="s">
        <v>4616</v>
      </c>
      <c r="E863" s="12" t="s">
        <v>759</v>
      </c>
      <c r="F863" s="12" t="s">
        <v>845</v>
      </c>
      <c r="G863" s="12" t="s">
        <v>830</v>
      </c>
      <c r="H863" s="12" t="s">
        <v>4741</v>
      </c>
      <c r="I863" s="12" t="s">
        <v>847</v>
      </c>
      <c r="J863" s="13" t="s">
        <v>4742</v>
      </c>
      <c r="K863" s="12"/>
      <c r="L863" s="12" t="s">
        <v>4727</v>
      </c>
      <c r="M863" s="12" t="s">
        <v>4743</v>
      </c>
      <c r="N863" s="12" t="s">
        <v>352</v>
      </c>
      <c r="O863" s="12" t="s">
        <v>102</v>
      </c>
      <c r="P863" s="12" t="s">
        <v>103</v>
      </c>
      <c r="Q863" s="12" t="s">
        <v>104</v>
      </c>
      <c r="R863" s="14" t="n">
        <v>215.06</v>
      </c>
      <c r="S863" s="14" t="s">
        <v>105</v>
      </c>
      <c r="T863" s="14" t="s">
        <v>653</v>
      </c>
      <c r="U863" s="14" t="n">
        <v>2026</v>
      </c>
      <c r="V863" s="12" t="s">
        <v>198</v>
      </c>
      <c r="W863" s="14" t="s">
        <v>4744</v>
      </c>
      <c r="X863" s="15" t="n">
        <f aca="false">IF(OR($S863="%",$R863=""),"",$R863*INDEX(Cambi!$J$2:$J$5,MATCH($S863,Cambi!$I$2:$I$5,0))/IF($T863="EUR",1,INDEX(Cambi!$D:$D,MATCH($T863&amp;"|"&amp;$U863,Cambi!$C:$C,0))))</f>
        <v>190.318584070796</v>
      </c>
      <c r="Y863" s="12" t="s">
        <v>109</v>
      </c>
      <c r="Z863" s="12" t="s">
        <v>109</v>
      </c>
      <c r="AA863" s="12" t="s">
        <v>2677</v>
      </c>
      <c r="AB863" s="16" t="s">
        <v>110</v>
      </c>
      <c r="AC863" s="16" t="s">
        <v>4143</v>
      </c>
      <c r="AD863" s="12" t="s">
        <v>112</v>
      </c>
      <c r="AE863" s="12" t="s">
        <v>3263</v>
      </c>
      <c r="AF863" s="12" t="s">
        <v>4745</v>
      </c>
      <c r="AG863" s="12" t="s">
        <v>498</v>
      </c>
      <c r="AH863" s="12" t="s">
        <v>838</v>
      </c>
      <c r="AI863" s="12" t="s">
        <v>117</v>
      </c>
      <c r="AJ863" s="12" t="s">
        <v>859</v>
      </c>
      <c r="AK863" s="12" t="s">
        <v>4</v>
      </c>
    </row>
    <row r="864" customFormat="false" ht="15" hidden="false" customHeight="false" outlineLevel="0" collapsed="false">
      <c r="A864" s="11" t="n">
        <v>863</v>
      </c>
      <c r="B864" s="12" t="s">
        <v>4740</v>
      </c>
      <c r="C864" s="12" t="s">
        <v>4615</v>
      </c>
      <c r="D864" s="12" t="s">
        <v>4616</v>
      </c>
      <c r="E864" s="12" t="s">
        <v>759</v>
      </c>
      <c r="F864" s="12" t="s">
        <v>845</v>
      </c>
      <c r="G864" s="12" t="s">
        <v>830</v>
      </c>
      <c r="H864" s="12" t="s">
        <v>4741</v>
      </c>
      <c r="I864" s="12" t="s">
        <v>847</v>
      </c>
      <c r="J864" s="13" t="s">
        <v>4742</v>
      </c>
      <c r="K864" s="12"/>
      <c r="L864" s="12" t="s">
        <v>4727</v>
      </c>
      <c r="M864" s="12" t="s">
        <v>4746</v>
      </c>
      <c r="N864" s="12" t="s">
        <v>352</v>
      </c>
      <c r="O864" s="12" t="s">
        <v>102</v>
      </c>
      <c r="P864" s="12" t="s">
        <v>103</v>
      </c>
      <c r="Q864" s="12" t="s">
        <v>104</v>
      </c>
      <c r="R864" s="14" t="n">
        <v>358.05</v>
      </c>
      <c r="S864" s="14" t="s">
        <v>105</v>
      </c>
      <c r="T864" s="14" t="s">
        <v>653</v>
      </c>
      <c r="U864" s="14" t="n">
        <v>2031</v>
      </c>
      <c r="V864" s="12" t="s">
        <v>107</v>
      </c>
      <c r="W864" s="14" t="s">
        <v>4744</v>
      </c>
      <c r="X864" s="15" t="n">
        <f aca="false">IF(OR($S864="%",$R864=""),"",$R864*INDEX(Cambi!$J$2:$J$5,MATCH($S864,Cambi!$I$2:$I$5,0))/IF($T864="EUR",1,INDEX(Cambi!$D:$D,MATCH($T864&amp;"|"&amp;$U864,Cambi!$C:$C,0))))</f>
        <v>316.858407079646</v>
      </c>
      <c r="Y864" s="12" t="s">
        <v>109</v>
      </c>
      <c r="Z864" s="12" t="s">
        <v>109</v>
      </c>
      <c r="AA864" s="12" t="s">
        <v>2677</v>
      </c>
      <c r="AB864" s="16" t="s">
        <v>110</v>
      </c>
      <c r="AC864" s="16" t="s">
        <v>4143</v>
      </c>
      <c r="AD864" s="12" t="s">
        <v>112</v>
      </c>
      <c r="AE864" s="12" t="s">
        <v>3263</v>
      </c>
      <c r="AF864" s="12" t="s">
        <v>4745</v>
      </c>
      <c r="AG864" s="12" t="s">
        <v>498</v>
      </c>
      <c r="AH864" s="12" t="s">
        <v>838</v>
      </c>
      <c r="AI864" s="12" t="s">
        <v>117</v>
      </c>
      <c r="AJ864" s="12" t="s">
        <v>859</v>
      </c>
      <c r="AK864" s="12" t="s">
        <v>4</v>
      </c>
    </row>
    <row r="865" customFormat="false" ht="15" hidden="false" customHeight="false" outlineLevel="0" collapsed="false">
      <c r="A865" s="11" t="n">
        <v>864</v>
      </c>
      <c r="B865" s="12" t="s">
        <v>625</v>
      </c>
      <c r="C865" s="12" t="s">
        <v>4615</v>
      </c>
      <c r="D865" s="12" t="s">
        <v>4616</v>
      </c>
      <c r="E865" s="12" t="s">
        <v>759</v>
      </c>
      <c r="F865" s="12" t="s">
        <v>626</v>
      </c>
      <c r="G865" s="12" t="s">
        <v>95</v>
      </c>
      <c r="H865" s="12" t="s">
        <v>627</v>
      </c>
      <c r="I865" s="12" t="s">
        <v>628</v>
      </c>
      <c r="J865" s="13" t="s">
        <v>629</v>
      </c>
      <c r="K865" s="12" t="s">
        <v>630</v>
      </c>
      <c r="L865" s="12" t="s">
        <v>1110</v>
      </c>
      <c r="M865" s="12" t="s">
        <v>1111</v>
      </c>
      <c r="N865" s="12" t="s">
        <v>101</v>
      </c>
      <c r="O865" s="12" t="s">
        <v>102</v>
      </c>
      <c r="P865" s="12" t="s">
        <v>103</v>
      </c>
      <c r="Q865" s="12" t="s">
        <v>104</v>
      </c>
      <c r="R865" s="14" t="n">
        <v>63.4</v>
      </c>
      <c r="S865" s="14" t="s">
        <v>105</v>
      </c>
      <c r="T865" s="14" t="s">
        <v>106</v>
      </c>
      <c r="U865" s="14" t="n">
        <v>2026</v>
      </c>
      <c r="V865" s="12" t="s">
        <v>107</v>
      </c>
      <c r="W865" s="14"/>
      <c r="X865" s="15" t="n">
        <f aca="false">IF(OR($S865="%",$R865=""),"",$R865*INDEX(Cambi!$J$2:$J$5,MATCH($S865,Cambi!$I$2:$I$5,0))/IF($T865="EUR",1,INDEX(Cambi!$D:$D,MATCH($T865&amp;"|"&amp;$U865,Cambi!$C:$C,0))))</f>
        <v>63.4</v>
      </c>
      <c r="Y865" s="12" t="s">
        <v>130</v>
      </c>
      <c r="Z865" s="12" t="s">
        <v>109</v>
      </c>
      <c r="AA865" s="12" t="s">
        <v>633</v>
      </c>
      <c r="AB865" s="16" t="s">
        <v>110</v>
      </c>
      <c r="AC865" s="16" t="s">
        <v>634</v>
      </c>
      <c r="AD865" s="12" t="s">
        <v>281</v>
      </c>
      <c r="AE865" s="12" t="s">
        <v>635</v>
      </c>
      <c r="AF865" s="12" t="s">
        <v>4747</v>
      </c>
      <c r="AG865" s="12" t="s">
        <v>115</v>
      </c>
      <c r="AH865" s="12" t="s">
        <v>116</v>
      </c>
      <c r="AI865" s="12" t="s">
        <v>285</v>
      </c>
      <c r="AJ865" s="12" t="s">
        <v>4748</v>
      </c>
      <c r="AK865" s="12" t="s">
        <v>4</v>
      </c>
    </row>
    <row r="866" customFormat="false" ht="15" hidden="false" customHeight="false" outlineLevel="0" collapsed="false">
      <c r="A866" s="11" t="n">
        <v>865</v>
      </c>
      <c r="B866" s="12" t="s">
        <v>4749</v>
      </c>
      <c r="C866" s="12" t="s">
        <v>4615</v>
      </c>
      <c r="D866" s="12" t="s">
        <v>4616</v>
      </c>
      <c r="E866" s="12" t="s">
        <v>759</v>
      </c>
      <c r="F866" s="12" t="s">
        <v>4750</v>
      </c>
      <c r="G866" s="12" t="s">
        <v>1055</v>
      </c>
      <c r="H866" s="12" t="s">
        <v>4751</v>
      </c>
      <c r="I866" s="12" t="s">
        <v>4752</v>
      </c>
      <c r="J866" s="13" t="s">
        <v>4753</v>
      </c>
      <c r="K866" s="12" t="s">
        <v>4754</v>
      </c>
      <c r="L866" s="12" t="s">
        <v>4755</v>
      </c>
      <c r="M866" s="12" t="s">
        <v>4756</v>
      </c>
      <c r="N866" s="12" t="s">
        <v>101</v>
      </c>
      <c r="O866" s="12" t="s">
        <v>102</v>
      </c>
      <c r="P866" s="12" t="s">
        <v>103</v>
      </c>
      <c r="Q866" s="12" t="s">
        <v>104</v>
      </c>
      <c r="R866" s="14" t="n">
        <v>43057</v>
      </c>
      <c r="S866" s="14" t="s">
        <v>392</v>
      </c>
      <c r="T866" s="14" t="s">
        <v>4665</v>
      </c>
      <c r="U866" s="14" t="n">
        <v>2025</v>
      </c>
      <c r="V866" s="12" t="s">
        <v>157</v>
      </c>
      <c r="W866" s="14"/>
      <c r="X866" s="15" t="n">
        <f aca="false">IF(OR($S866="%",$R866=""),"",$R866*INDEX(Cambi!$J$2:$J$5,MATCH($S866,Cambi!$I$2:$I$5,0))/IF($T866="EUR",1,INDEX(Cambi!$D:$D,MATCH($T866&amp;"|"&amp;$U866,Cambi!$C:$C,0))))</f>
        <v>8.5389893701412</v>
      </c>
      <c r="Y866" s="12" t="s">
        <v>108</v>
      </c>
      <c r="Z866" s="12" t="s">
        <v>117</v>
      </c>
      <c r="AA866" s="12" t="s">
        <v>109</v>
      </c>
      <c r="AB866" s="16" t="s">
        <v>394</v>
      </c>
      <c r="AC866" s="16" t="s">
        <v>4667</v>
      </c>
      <c r="AD866" s="12" t="s">
        <v>112</v>
      </c>
      <c r="AE866" s="12" t="s">
        <v>4757</v>
      </c>
      <c r="AF866" s="12" t="s">
        <v>4758</v>
      </c>
      <c r="AG866" s="12" t="s">
        <v>115</v>
      </c>
      <c r="AH866" s="12" t="s">
        <v>116</v>
      </c>
      <c r="AI866" s="12" t="s">
        <v>285</v>
      </c>
      <c r="AJ866" s="12" t="s">
        <v>4759</v>
      </c>
      <c r="AK866" s="12" t="s">
        <v>4</v>
      </c>
    </row>
    <row r="867" customFormat="false" ht="15" hidden="false" customHeight="false" outlineLevel="0" collapsed="false">
      <c r="A867" s="11" t="n">
        <v>866</v>
      </c>
      <c r="B867" s="12" t="s">
        <v>4749</v>
      </c>
      <c r="C867" s="12" t="s">
        <v>4615</v>
      </c>
      <c r="D867" s="12" t="s">
        <v>4616</v>
      </c>
      <c r="E867" s="12" t="s">
        <v>759</v>
      </c>
      <c r="F867" s="12" t="s">
        <v>4750</v>
      </c>
      <c r="G867" s="12" t="s">
        <v>1055</v>
      </c>
      <c r="H867" s="12" t="s">
        <v>4751</v>
      </c>
      <c r="I867" s="12" t="s">
        <v>4752</v>
      </c>
      <c r="J867" s="13" t="s">
        <v>4753</v>
      </c>
      <c r="K867" s="12" t="s">
        <v>4754</v>
      </c>
      <c r="L867" s="12" t="s">
        <v>4760</v>
      </c>
      <c r="M867" s="12" t="s">
        <v>4761</v>
      </c>
      <c r="N867" s="12" t="s">
        <v>101</v>
      </c>
      <c r="O867" s="12" t="s">
        <v>102</v>
      </c>
      <c r="P867" s="12" t="s">
        <v>103</v>
      </c>
      <c r="Q867" s="12" t="s">
        <v>104</v>
      </c>
      <c r="R867" s="14" t="n">
        <v>59463</v>
      </c>
      <c r="S867" s="14" t="s">
        <v>392</v>
      </c>
      <c r="T867" s="14" t="s">
        <v>4665</v>
      </c>
      <c r="U867" s="14" t="n">
        <v>2025</v>
      </c>
      <c r="V867" s="12" t="s">
        <v>157</v>
      </c>
      <c r="W867" s="14"/>
      <c r="X867" s="15" t="n">
        <f aca="false">IF(OR($S867="%",$R867=""),"",$R867*INDEX(Cambi!$J$2:$J$5,MATCH($S867,Cambi!$I$2:$I$5,0))/IF($T867="EUR",1,INDEX(Cambi!$D:$D,MATCH($T867&amp;"|"&amp;$U867,Cambi!$C:$C,0))))</f>
        <v>11.7925987624941</v>
      </c>
      <c r="Y867" s="12" t="s">
        <v>108</v>
      </c>
      <c r="Z867" s="12" t="s">
        <v>117</v>
      </c>
      <c r="AA867" s="12" t="s">
        <v>109</v>
      </c>
      <c r="AB867" s="16" t="s">
        <v>394</v>
      </c>
      <c r="AC867" s="16" t="s">
        <v>4667</v>
      </c>
      <c r="AD867" s="12" t="s">
        <v>112</v>
      </c>
      <c r="AE867" s="12" t="s">
        <v>4757</v>
      </c>
      <c r="AF867" s="12" t="s">
        <v>4758</v>
      </c>
      <c r="AG867" s="12" t="s">
        <v>115</v>
      </c>
      <c r="AH867" s="12" t="s">
        <v>116</v>
      </c>
      <c r="AI867" s="12" t="s">
        <v>285</v>
      </c>
      <c r="AJ867" s="12" t="s">
        <v>4762</v>
      </c>
      <c r="AK867" s="12" t="s">
        <v>4</v>
      </c>
    </row>
    <row r="868" customFormat="false" ht="15" hidden="false" customHeight="false" outlineLevel="0" collapsed="false">
      <c r="A868" s="11" t="n">
        <v>867</v>
      </c>
      <c r="B868" s="12" t="s">
        <v>1292</v>
      </c>
      <c r="C868" s="12" t="s">
        <v>4615</v>
      </c>
      <c r="D868" s="12" t="s">
        <v>4616</v>
      </c>
      <c r="E868" s="12" t="s">
        <v>759</v>
      </c>
      <c r="F868" s="12" t="s">
        <v>4763</v>
      </c>
      <c r="G868" s="12" t="s">
        <v>771</v>
      </c>
      <c r="H868" s="12" t="s">
        <v>4764</v>
      </c>
      <c r="I868" s="12" t="s">
        <v>4765</v>
      </c>
      <c r="J868" s="13" t="s">
        <v>4766</v>
      </c>
      <c r="K868" s="12" t="s">
        <v>4767</v>
      </c>
      <c r="L868" s="12" t="s">
        <v>4768</v>
      </c>
      <c r="M868" s="12" t="s">
        <v>4769</v>
      </c>
      <c r="N868" s="12" t="s">
        <v>352</v>
      </c>
      <c r="O868" s="12" t="s">
        <v>102</v>
      </c>
      <c r="P868" s="12" t="s">
        <v>103</v>
      </c>
      <c r="Q868" s="12" t="s">
        <v>104</v>
      </c>
      <c r="R868" s="14" t="n">
        <v>185</v>
      </c>
      <c r="S868" s="14" t="s">
        <v>105</v>
      </c>
      <c r="T868" s="14" t="s">
        <v>106</v>
      </c>
      <c r="U868" s="14" t="n">
        <v>2025</v>
      </c>
      <c r="V868" s="12" t="s">
        <v>198</v>
      </c>
      <c r="W868" s="14" t="s">
        <v>4770</v>
      </c>
      <c r="X868" s="15" t="n">
        <f aca="false">IF(OR($S868="%",$R868=""),"",$R868*INDEX(Cambi!$J$2:$J$5,MATCH($S868,Cambi!$I$2:$I$5,0))/IF($T868="EUR",1,INDEX(Cambi!$D:$D,MATCH($T868&amp;"|"&amp;$U868,Cambi!$C:$C,0))))</f>
        <v>185</v>
      </c>
      <c r="Y868" s="12" t="s">
        <v>654</v>
      </c>
      <c r="Z868" s="12" t="s">
        <v>285</v>
      </c>
      <c r="AA868" s="12" t="s">
        <v>1301</v>
      </c>
      <c r="AB868" s="12" t="s">
        <v>679</v>
      </c>
      <c r="AC868" s="12" t="s">
        <v>395</v>
      </c>
      <c r="AD868" s="12" t="s">
        <v>281</v>
      </c>
      <c r="AE868" s="12" t="s">
        <v>1302</v>
      </c>
      <c r="AF868" s="12" t="s">
        <v>4771</v>
      </c>
      <c r="AG868" s="12" t="s">
        <v>498</v>
      </c>
      <c r="AH868" s="12" t="s">
        <v>499</v>
      </c>
      <c r="AI868" s="12" t="s">
        <v>285</v>
      </c>
      <c r="AJ868" s="12" t="s">
        <v>4772</v>
      </c>
      <c r="AK868" s="12" t="s">
        <v>4</v>
      </c>
    </row>
    <row r="869" customFormat="false" ht="15" hidden="false" customHeight="false" outlineLevel="0" collapsed="false">
      <c r="A869" s="11" t="n">
        <v>868</v>
      </c>
      <c r="B869" s="12" t="s">
        <v>1292</v>
      </c>
      <c r="C869" s="12" t="s">
        <v>4615</v>
      </c>
      <c r="D869" s="12" t="s">
        <v>4616</v>
      </c>
      <c r="E869" s="12" t="s">
        <v>759</v>
      </c>
      <c r="F869" s="12" t="s">
        <v>4763</v>
      </c>
      <c r="G869" s="12" t="s">
        <v>771</v>
      </c>
      <c r="H869" s="12" t="s">
        <v>4764</v>
      </c>
      <c r="I869" s="12" t="s">
        <v>4765</v>
      </c>
      <c r="J869" s="13" t="s">
        <v>4766</v>
      </c>
      <c r="K869" s="12" t="s">
        <v>4767</v>
      </c>
      <c r="L869" s="12" t="s">
        <v>4768</v>
      </c>
      <c r="M869" s="12" t="s">
        <v>4773</v>
      </c>
      <c r="N869" s="12" t="s">
        <v>352</v>
      </c>
      <c r="O869" s="12" t="s">
        <v>102</v>
      </c>
      <c r="P869" s="12" t="s">
        <v>103</v>
      </c>
      <c r="Q869" s="12" t="s">
        <v>104</v>
      </c>
      <c r="R869" s="14" t="n">
        <v>263</v>
      </c>
      <c r="S869" s="14" t="s">
        <v>105</v>
      </c>
      <c r="T869" s="14" t="s">
        <v>106</v>
      </c>
      <c r="U869" s="14" t="n">
        <v>2029</v>
      </c>
      <c r="V869" s="12" t="s">
        <v>107</v>
      </c>
      <c r="W869" s="14" t="s">
        <v>4770</v>
      </c>
      <c r="X869" s="15" t="n">
        <f aca="false">IF(OR($S869="%",$R869=""),"",$R869*INDEX(Cambi!$J$2:$J$5,MATCH($S869,Cambi!$I$2:$I$5,0))/IF($T869="EUR",1,INDEX(Cambi!$D:$D,MATCH($T869&amp;"|"&amp;$U869,Cambi!$C:$C,0))))</f>
        <v>263</v>
      </c>
      <c r="Y869" s="12" t="s">
        <v>654</v>
      </c>
      <c r="Z869" s="12" t="s">
        <v>285</v>
      </c>
      <c r="AA869" s="12" t="s">
        <v>1301</v>
      </c>
      <c r="AB869" s="12" t="s">
        <v>679</v>
      </c>
      <c r="AC869" s="12" t="s">
        <v>395</v>
      </c>
      <c r="AD869" s="12" t="s">
        <v>281</v>
      </c>
      <c r="AE869" s="12" t="s">
        <v>1302</v>
      </c>
      <c r="AF869" s="12" t="s">
        <v>4774</v>
      </c>
      <c r="AG869" s="12" t="s">
        <v>498</v>
      </c>
      <c r="AH869" s="12" t="s">
        <v>499</v>
      </c>
      <c r="AI869" s="12" t="s">
        <v>285</v>
      </c>
      <c r="AJ869" s="12" t="s">
        <v>4775</v>
      </c>
      <c r="AK869" s="12" t="s">
        <v>4</v>
      </c>
    </row>
    <row r="870" customFormat="false" ht="15" hidden="false" customHeight="false" outlineLevel="0" collapsed="false">
      <c r="A870" s="11" t="n">
        <v>869</v>
      </c>
      <c r="B870" s="12" t="s">
        <v>4776</v>
      </c>
      <c r="C870" s="12" t="s">
        <v>4777</v>
      </c>
      <c r="D870" s="12" t="s">
        <v>4778</v>
      </c>
      <c r="E870" s="12" t="s">
        <v>759</v>
      </c>
      <c r="F870" s="12" t="s">
        <v>2127</v>
      </c>
      <c r="G870" s="12" t="s">
        <v>830</v>
      </c>
      <c r="H870" s="12" t="s">
        <v>4779</v>
      </c>
      <c r="I870" s="12" t="s">
        <v>847</v>
      </c>
      <c r="J870" s="13" t="s">
        <v>4780</v>
      </c>
      <c r="K870" s="12"/>
      <c r="L870" s="12" t="s">
        <v>4781</v>
      </c>
      <c r="M870" s="12" t="s">
        <v>4782</v>
      </c>
      <c r="N870" s="12" t="s">
        <v>352</v>
      </c>
      <c r="O870" s="12" t="s">
        <v>102</v>
      </c>
      <c r="P870" s="12" t="s">
        <v>103</v>
      </c>
      <c r="Q870" s="12" t="s">
        <v>104</v>
      </c>
      <c r="R870" s="14" t="n">
        <v>227</v>
      </c>
      <c r="S870" s="14" t="s">
        <v>105</v>
      </c>
      <c r="T870" s="14" t="s">
        <v>653</v>
      </c>
      <c r="U870" s="14" t="n">
        <v>2025</v>
      </c>
      <c r="V870" s="12" t="s">
        <v>157</v>
      </c>
      <c r="W870" s="14" t="s">
        <v>4783</v>
      </c>
      <c r="X870" s="15" t="n">
        <f aca="false">IF(OR($S870="%",$R870=""),"",$R870*INDEX(Cambi!$J$2:$J$5,MATCH($S870,Cambi!$I$2:$I$5,0))/IF($T870="EUR",1,INDEX(Cambi!$D:$D,MATCH($T870&amp;"|"&amp;$U870,Cambi!$C:$C,0))))</f>
        <v>200.884955752212</v>
      </c>
      <c r="Y870" s="12" t="s">
        <v>109</v>
      </c>
      <c r="Z870" s="12" t="s">
        <v>109</v>
      </c>
      <c r="AA870" s="12" t="s">
        <v>109</v>
      </c>
      <c r="AB870" s="16" t="s">
        <v>110</v>
      </c>
      <c r="AC870" s="16" t="s">
        <v>3915</v>
      </c>
      <c r="AD870" s="12" t="s">
        <v>112</v>
      </c>
      <c r="AE870" s="12" t="s">
        <v>1196</v>
      </c>
      <c r="AF870" s="12" t="s">
        <v>4784</v>
      </c>
      <c r="AG870" s="12" t="s">
        <v>284</v>
      </c>
      <c r="AH870" s="12" t="s">
        <v>838</v>
      </c>
      <c r="AI870" s="12" t="s">
        <v>117</v>
      </c>
      <c r="AJ870" s="12" t="s">
        <v>859</v>
      </c>
      <c r="AK870" s="12" t="s">
        <v>4</v>
      </c>
    </row>
    <row r="871" customFormat="false" ht="15" hidden="false" customHeight="false" outlineLevel="0" collapsed="false">
      <c r="A871" s="11" t="n">
        <v>870</v>
      </c>
      <c r="B871" s="12" t="s">
        <v>4776</v>
      </c>
      <c r="C871" s="12" t="s">
        <v>4777</v>
      </c>
      <c r="D871" s="12" t="s">
        <v>4778</v>
      </c>
      <c r="E871" s="12" t="s">
        <v>759</v>
      </c>
      <c r="F871" s="12" t="s">
        <v>2127</v>
      </c>
      <c r="G871" s="12" t="s">
        <v>830</v>
      </c>
      <c r="H871" s="12" t="s">
        <v>4785</v>
      </c>
      <c r="I871" s="12" t="s">
        <v>847</v>
      </c>
      <c r="J871" s="13" t="s">
        <v>4786</v>
      </c>
      <c r="K871" s="12"/>
      <c r="L871" s="12" t="s">
        <v>4785</v>
      </c>
      <c r="M871" s="12" t="s">
        <v>4787</v>
      </c>
      <c r="N871" s="12" t="s">
        <v>352</v>
      </c>
      <c r="O871" s="12" t="s">
        <v>102</v>
      </c>
      <c r="P871" s="12" t="s">
        <v>155</v>
      </c>
      <c r="Q871" s="12" t="s">
        <v>4788</v>
      </c>
      <c r="R871" s="14" t="n">
        <v>472</v>
      </c>
      <c r="S871" s="14" t="s">
        <v>105</v>
      </c>
      <c r="T871" s="14" t="s">
        <v>653</v>
      </c>
      <c r="U871" s="14" t="n">
        <v>2025</v>
      </c>
      <c r="V871" s="12" t="s">
        <v>157</v>
      </c>
      <c r="W871" s="14" t="s">
        <v>4789</v>
      </c>
      <c r="X871" s="15" t="n">
        <f aca="false">IF(OR($S871="%",$R871=""),"",$R871*INDEX(Cambi!$J$2:$J$5,MATCH($S871,Cambi!$I$2:$I$5,0))/IF($T871="EUR",1,INDEX(Cambi!$D:$D,MATCH($T871&amp;"|"&amp;$U871,Cambi!$C:$C,0))))</f>
        <v>417.699115044248</v>
      </c>
      <c r="Y871" s="12" t="s">
        <v>109</v>
      </c>
      <c r="Z871" s="12" t="s">
        <v>109</v>
      </c>
      <c r="AA871" s="12" t="s">
        <v>109</v>
      </c>
      <c r="AB871" s="16" t="s">
        <v>110</v>
      </c>
      <c r="AC871" s="16" t="s">
        <v>3915</v>
      </c>
      <c r="AD871" s="12" t="s">
        <v>112</v>
      </c>
      <c r="AE871" s="12" t="s">
        <v>1196</v>
      </c>
      <c r="AF871" s="12" t="s">
        <v>4790</v>
      </c>
      <c r="AG871" s="12" t="s">
        <v>284</v>
      </c>
      <c r="AH871" s="12" t="s">
        <v>838</v>
      </c>
      <c r="AI871" s="12" t="s">
        <v>117</v>
      </c>
      <c r="AJ871" s="12" t="s">
        <v>4791</v>
      </c>
      <c r="AK871" s="12" t="s">
        <v>4</v>
      </c>
    </row>
    <row r="872" customFormat="false" ht="15" hidden="false" customHeight="false" outlineLevel="0" collapsed="false">
      <c r="A872" s="11" t="n">
        <v>871</v>
      </c>
      <c r="B872" s="12" t="s">
        <v>4776</v>
      </c>
      <c r="C872" s="12" t="s">
        <v>4777</v>
      </c>
      <c r="D872" s="12" t="s">
        <v>4778</v>
      </c>
      <c r="E872" s="12" t="s">
        <v>759</v>
      </c>
      <c r="F872" s="12" t="s">
        <v>2127</v>
      </c>
      <c r="G872" s="12" t="s">
        <v>830</v>
      </c>
      <c r="H872" s="12" t="s">
        <v>4779</v>
      </c>
      <c r="I872" s="12" t="s">
        <v>847</v>
      </c>
      <c r="J872" s="13" t="s">
        <v>4780</v>
      </c>
      <c r="K872" s="12"/>
      <c r="L872" s="12" t="s">
        <v>4781</v>
      </c>
      <c r="M872" s="12" t="s">
        <v>4792</v>
      </c>
      <c r="N872" s="12" t="s">
        <v>352</v>
      </c>
      <c r="O872" s="12" t="s">
        <v>102</v>
      </c>
      <c r="P872" s="12" t="s">
        <v>103</v>
      </c>
      <c r="Q872" s="12" t="s">
        <v>104</v>
      </c>
      <c r="R872" s="14" t="n">
        <v>315</v>
      </c>
      <c r="S872" s="14" t="s">
        <v>105</v>
      </c>
      <c r="T872" s="14" t="s">
        <v>653</v>
      </c>
      <c r="U872" s="14" t="n">
        <v>2032</v>
      </c>
      <c r="V872" s="12" t="s">
        <v>107</v>
      </c>
      <c r="W872" s="14" t="s">
        <v>4783</v>
      </c>
      <c r="X872" s="15" t="n">
        <f aca="false">IF(OR($S872="%",$R872=""),"",$R872*INDEX(Cambi!$J$2:$J$5,MATCH($S872,Cambi!$I$2:$I$5,0))/IF($T872="EUR",1,INDEX(Cambi!$D:$D,MATCH($T872&amp;"|"&amp;$U872,Cambi!$C:$C,0))))</f>
        <v>278.761061946903</v>
      </c>
      <c r="Y872" s="12" t="s">
        <v>109</v>
      </c>
      <c r="Z872" s="12" t="s">
        <v>109</v>
      </c>
      <c r="AA872" s="12" t="s">
        <v>109</v>
      </c>
      <c r="AB872" s="16" t="s">
        <v>110</v>
      </c>
      <c r="AC872" s="16" t="s">
        <v>3915</v>
      </c>
      <c r="AD872" s="12" t="s">
        <v>112</v>
      </c>
      <c r="AE872" s="12" t="s">
        <v>1196</v>
      </c>
      <c r="AF872" s="12" t="s">
        <v>4784</v>
      </c>
      <c r="AG872" s="12" t="s">
        <v>284</v>
      </c>
      <c r="AH872" s="12" t="s">
        <v>838</v>
      </c>
      <c r="AI872" s="12" t="s">
        <v>117</v>
      </c>
      <c r="AJ872" s="12" t="s">
        <v>266</v>
      </c>
      <c r="AK872" s="12" t="s">
        <v>4</v>
      </c>
    </row>
    <row r="873" customFormat="false" ht="15" hidden="false" customHeight="false" outlineLevel="0" collapsed="false">
      <c r="A873" s="11" t="n">
        <v>872</v>
      </c>
      <c r="B873" s="12" t="s">
        <v>4793</v>
      </c>
      <c r="C873" s="12" t="s">
        <v>4777</v>
      </c>
      <c r="D873" s="12" t="s">
        <v>4778</v>
      </c>
      <c r="E873" s="12" t="s">
        <v>759</v>
      </c>
      <c r="F873" s="12" t="s">
        <v>4794</v>
      </c>
      <c r="G873" s="12" t="s">
        <v>771</v>
      </c>
      <c r="H873" s="12" t="s">
        <v>4795</v>
      </c>
      <c r="I873" s="12" t="s">
        <v>4796</v>
      </c>
      <c r="J873" s="13" t="s">
        <v>4797</v>
      </c>
      <c r="K873" s="12"/>
      <c r="L873" s="12" t="s">
        <v>4798</v>
      </c>
      <c r="M873" s="12" t="s">
        <v>4799</v>
      </c>
      <c r="N873" s="12" t="s">
        <v>101</v>
      </c>
      <c r="O873" s="12" t="s">
        <v>102</v>
      </c>
      <c r="P873" s="12" t="s">
        <v>103</v>
      </c>
      <c r="Q873" s="12" t="s">
        <v>104</v>
      </c>
      <c r="R873" s="14" t="n">
        <v>62.4</v>
      </c>
      <c r="S873" s="14" t="s">
        <v>105</v>
      </c>
      <c r="T873" s="14" t="s">
        <v>106</v>
      </c>
      <c r="U873" s="14" t="n">
        <v>2025</v>
      </c>
      <c r="V873" s="12" t="s">
        <v>107</v>
      </c>
      <c r="W873" s="14"/>
      <c r="X873" s="15" t="n">
        <f aca="false">IF(OR($S873="%",$R873=""),"",$R873*INDEX(Cambi!$J$2:$J$5,MATCH($S873,Cambi!$I$2:$I$5,0))/IF($T873="EUR",1,INDEX(Cambi!$D:$D,MATCH($T873&amp;"|"&amp;$U873,Cambi!$C:$C,0))))</f>
        <v>62.4</v>
      </c>
      <c r="Y873" s="12" t="s">
        <v>108</v>
      </c>
      <c r="Z873" s="12" t="s">
        <v>109</v>
      </c>
      <c r="AA873" s="12" t="s">
        <v>4800</v>
      </c>
      <c r="AB873" s="16" t="s">
        <v>394</v>
      </c>
      <c r="AC873" s="16" t="s">
        <v>4801</v>
      </c>
      <c r="AD873" s="12" t="s">
        <v>166</v>
      </c>
      <c r="AE873" s="12" t="s">
        <v>4802</v>
      </c>
      <c r="AF873" s="12" t="s">
        <v>4803</v>
      </c>
      <c r="AG873" s="12" t="s">
        <v>407</v>
      </c>
      <c r="AH873" s="12" t="s">
        <v>116</v>
      </c>
      <c r="AI873" s="12" t="s">
        <v>117</v>
      </c>
      <c r="AJ873" s="12" t="s">
        <v>4804</v>
      </c>
      <c r="AK873" s="12" t="s">
        <v>4</v>
      </c>
    </row>
    <row r="874" customFormat="false" ht="15" hidden="false" customHeight="false" outlineLevel="0" collapsed="false">
      <c r="A874" s="11" t="n">
        <v>873</v>
      </c>
      <c r="B874" s="12" t="s">
        <v>4793</v>
      </c>
      <c r="C874" s="12" t="s">
        <v>4777</v>
      </c>
      <c r="D874" s="12" t="s">
        <v>4778</v>
      </c>
      <c r="E874" s="12" t="s">
        <v>759</v>
      </c>
      <c r="F874" s="12" t="s">
        <v>4794</v>
      </c>
      <c r="G874" s="12" t="s">
        <v>771</v>
      </c>
      <c r="H874" s="12" t="s">
        <v>4795</v>
      </c>
      <c r="I874" s="12" t="s">
        <v>4796</v>
      </c>
      <c r="J874" s="13" t="s">
        <v>4797</v>
      </c>
      <c r="K874" s="12"/>
      <c r="L874" s="12" t="s">
        <v>4805</v>
      </c>
      <c r="M874" s="12" t="s">
        <v>4806</v>
      </c>
      <c r="N874" s="12" t="s">
        <v>101</v>
      </c>
      <c r="O874" s="12" t="s">
        <v>102</v>
      </c>
      <c r="P874" s="12" t="s">
        <v>103</v>
      </c>
      <c r="Q874" s="12" t="s">
        <v>104</v>
      </c>
      <c r="R874" s="14" t="n">
        <v>12.3</v>
      </c>
      <c r="S874" s="14" t="s">
        <v>105</v>
      </c>
      <c r="T874" s="14" t="s">
        <v>106</v>
      </c>
      <c r="U874" s="14" t="n">
        <v>2026</v>
      </c>
      <c r="V874" s="12" t="s">
        <v>107</v>
      </c>
      <c r="W874" s="14"/>
      <c r="X874" s="15" t="n">
        <f aca="false">IF(OR($S874="%",$R874=""),"",$R874*INDEX(Cambi!$J$2:$J$5,MATCH($S874,Cambi!$I$2:$I$5,0))/IF($T874="EUR",1,INDEX(Cambi!$D:$D,MATCH($T874&amp;"|"&amp;$U874,Cambi!$C:$C,0))))</f>
        <v>12.3</v>
      </c>
      <c r="Y874" s="12" t="s">
        <v>108</v>
      </c>
      <c r="Z874" s="12" t="s">
        <v>109</v>
      </c>
      <c r="AA874" s="12" t="s">
        <v>4800</v>
      </c>
      <c r="AB874" s="16" t="s">
        <v>394</v>
      </c>
      <c r="AC874" s="16" t="s">
        <v>4801</v>
      </c>
      <c r="AD874" s="12" t="s">
        <v>166</v>
      </c>
      <c r="AE874" s="12" t="s">
        <v>4802</v>
      </c>
      <c r="AF874" s="12" t="s">
        <v>4807</v>
      </c>
      <c r="AG874" s="12" t="s">
        <v>407</v>
      </c>
      <c r="AH874" s="12" t="s">
        <v>116</v>
      </c>
      <c r="AI874" s="12" t="s">
        <v>117</v>
      </c>
      <c r="AJ874" s="12" t="s">
        <v>266</v>
      </c>
      <c r="AK874" s="12" t="s">
        <v>4</v>
      </c>
    </row>
    <row r="875" customFormat="false" ht="15" hidden="false" customHeight="false" outlineLevel="0" collapsed="false">
      <c r="A875" s="11" t="n">
        <v>874</v>
      </c>
      <c r="B875" s="12" t="s">
        <v>4808</v>
      </c>
      <c r="C875" s="12" t="s">
        <v>4777</v>
      </c>
      <c r="D875" s="12" t="s">
        <v>4778</v>
      </c>
      <c r="E875" s="12" t="s">
        <v>759</v>
      </c>
      <c r="F875" s="12" t="s">
        <v>4794</v>
      </c>
      <c r="G875" s="12" t="s">
        <v>771</v>
      </c>
      <c r="H875" s="12" t="s">
        <v>4809</v>
      </c>
      <c r="I875" s="12" t="s">
        <v>376</v>
      </c>
      <c r="J875" s="13" t="s">
        <v>4810</v>
      </c>
      <c r="K875" s="12"/>
      <c r="L875" s="12" t="s">
        <v>4811</v>
      </c>
      <c r="M875" s="12" t="s">
        <v>4812</v>
      </c>
      <c r="N875" s="12" t="s">
        <v>101</v>
      </c>
      <c r="O875" s="12" t="s">
        <v>102</v>
      </c>
      <c r="P875" s="12" t="s">
        <v>103</v>
      </c>
      <c r="Q875" s="12" t="s">
        <v>104</v>
      </c>
      <c r="R875" s="14" t="n">
        <v>24.9</v>
      </c>
      <c r="S875" s="14" t="s">
        <v>105</v>
      </c>
      <c r="T875" s="14" t="s">
        <v>106</v>
      </c>
      <c r="U875" s="14" t="n">
        <v>2025</v>
      </c>
      <c r="V875" s="12" t="s">
        <v>107</v>
      </c>
      <c r="W875" s="14"/>
      <c r="X875" s="15" t="n">
        <f aca="false">IF(OR($S875="%",$R875=""),"",$R875*INDEX(Cambi!$J$2:$J$5,MATCH($S875,Cambi!$I$2:$I$5,0))/IF($T875="EUR",1,INDEX(Cambi!$D:$D,MATCH($T875&amp;"|"&amp;$U875,Cambi!$C:$C,0))))</f>
        <v>24.9</v>
      </c>
      <c r="Y875" s="12" t="s">
        <v>108</v>
      </c>
      <c r="Z875" s="12" t="s">
        <v>109</v>
      </c>
      <c r="AA875" s="12" t="s">
        <v>4813</v>
      </c>
      <c r="AB875" s="16" t="s">
        <v>394</v>
      </c>
      <c r="AC875" s="16" t="s">
        <v>4801</v>
      </c>
      <c r="AD875" s="12" t="s">
        <v>166</v>
      </c>
      <c r="AE875" s="12" t="s">
        <v>4814</v>
      </c>
      <c r="AF875" s="12" t="s">
        <v>4815</v>
      </c>
      <c r="AG875" s="12" t="s">
        <v>407</v>
      </c>
      <c r="AH875" s="12" t="s">
        <v>116</v>
      </c>
      <c r="AI875" s="12" t="s">
        <v>117</v>
      </c>
      <c r="AJ875" s="12" t="s">
        <v>4816</v>
      </c>
      <c r="AK875" s="12" t="s">
        <v>4</v>
      </c>
    </row>
    <row r="876" customFormat="false" ht="15" hidden="false" customHeight="false" outlineLevel="0" collapsed="false">
      <c r="A876" s="11" t="n">
        <v>875</v>
      </c>
      <c r="B876" s="12" t="s">
        <v>4808</v>
      </c>
      <c r="C876" s="12" t="s">
        <v>4777</v>
      </c>
      <c r="D876" s="12" t="s">
        <v>4778</v>
      </c>
      <c r="E876" s="12" t="s">
        <v>759</v>
      </c>
      <c r="F876" s="12" t="s">
        <v>4794</v>
      </c>
      <c r="G876" s="12" t="s">
        <v>771</v>
      </c>
      <c r="H876" s="12" t="s">
        <v>4809</v>
      </c>
      <c r="I876" s="12" t="s">
        <v>376</v>
      </c>
      <c r="J876" s="13" t="s">
        <v>4810</v>
      </c>
      <c r="K876" s="12"/>
      <c r="L876" s="12" t="s">
        <v>4817</v>
      </c>
      <c r="M876" s="12" t="s">
        <v>4818</v>
      </c>
      <c r="N876" s="12" t="s">
        <v>101</v>
      </c>
      <c r="O876" s="12" t="s">
        <v>102</v>
      </c>
      <c r="P876" s="12" t="s">
        <v>103</v>
      </c>
      <c r="Q876" s="12" t="s">
        <v>104</v>
      </c>
      <c r="R876" s="14" t="n">
        <v>1.7</v>
      </c>
      <c r="S876" s="14" t="s">
        <v>105</v>
      </c>
      <c r="T876" s="14" t="s">
        <v>106</v>
      </c>
      <c r="U876" s="14" t="n">
        <v>2026</v>
      </c>
      <c r="V876" s="12" t="s">
        <v>107</v>
      </c>
      <c r="W876" s="14"/>
      <c r="X876" s="15" t="n">
        <f aca="false">IF(OR($S876="%",$R876=""),"",$R876*INDEX(Cambi!$J$2:$J$5,MATCH($S876,Cambi!$I$2:$I$5,0))/IF($T876="EUR",1,INDEX(Cambi!$D:$D,MATCH($T876&amp;"|"&amp;$U876,Cambi!$C:$C,0))))</f>
        <v>1.7</v>
      </c>
      <c r="Y876" s="12" t="s">
        <v>108</v>
      </c>
      <c r="Z876" s="12" t="s">
        <v>109</v>
      </c>
      <c r="AA876" s="12" t="s">
        <v>4813</v>
      </c>
      <c r="AB876" s="16" t="s">
        <v>394</v>
      </c>
      <c r="AC876" s="16" t="s">
        <v>4801</v>
      </c>
      <c r="AD876" s="12" t="s">
        <v>166</v>
      </c>
      <c r="AE876" s="12" t="s">
        <v>4814</v>
      </c>
      <c r="AF876" s="12" t="s">
        <v>4819</v>
      </c>
      <c r="AG876" s="12" t="s">
        <v>407</v>
      </c>
      <c r="AH876" s="12" t="s">
        <v>116</v>
      </c>
      <c r="AI876" s="12" t="s">
        <v>117</v>
      </c>
      <c r="AJ876" s="12" t="s">
        <v>266</v>
      </c>
      <c r="AK876" s="12" t="s">
        <v>4</v>
      </c>
    </row>
    <row r="877" customFormat="false" ht="15" hidden="false" customHeight="false" outlineLevel="0" collapsed="false">
      <c r="A877" s="11" t="n">
        <v>876</v>
      </c>
      <c r="B877" s="12" t="s">
        <v>4820</v>
      </c>
      <c r="C877" s="12" t="s">
        <v>4777</v>
      </c>
      <c r="D877" s="12" t="s">
        <v>4778</v>
      </c>
      <c r="E877" s="12" t="s">
        <v>759</v>
      </c>
      <c r="F877" s="12" t="s">
        <v>4821</v>
      </c>
      <c r="G877" s="12" t="s">
        <v>771</v>
      </c>
      <c r="H877" s="12" t="s">
        <v>4822</v>
      </c>
      <c r="I877" s="12" t="s">
        <v>4823</v>
      </c>
      <c r="J877" s="13" t="s">
        <v>4824</v>
      </c>
      <c r="K877" s="12"/>
      <c r="L877" s="12" t="s">
        <v>4825</v>
      </c>
      <c r="M877" s="12" t="s">
        <v>4826</v>
      </c>
      <c r="N877" s="12" t="s">
        <v>101</v>
      </c>
      <c r="O877" s="12" t="s">
        <v>102</v>
      </c>
      <c r="P877" s="12" t="s">
        <v>103</v>
      </c>
      <c r="Q877" s="12" t="s">
        <v>104</v>
      </c>
      <c r="R877" s="14" t="n">
        <v>21600000</v>
      </c>
      <c r="S877" s="14" t="s">
        <v>432</v>
      </c>
      <c r="T877" s="14" t="s">
        <v>106</v>
      </c>
      <c r="U877" s="14" t="n">
        <v>2023</v>
      </c>
      <c r="V877" s="12" t="s">
        <v>157</v>
      </c>
      <c r="W877" s="14"/>
      <c r="X877" s="15" t="n">
        <f aca="false">IF(OR($S877="%",$R877=""),"",$R877*INDEX(Cambi!$J$2:$J$5,MATCH($S877,Cambi!$I$2:$I$5,0))/IF($T877="EUR",1,INDEX(Cambi!$D:$D,MATCH($T877&amp;"|"&amp;$U877,Cambi!$C:$C,0))))</f>
        <v>21.6</v>
      </c>
      <c r="Y877" s="12" t="s">
        <v>108</v>
      </c>
      <c r="Z877" s="12" t="s">
        <v>109</v>
      </c>
      <c r="AA877" s="12" t="s">
        <v>109</v>
      </c>
      <c r="AB877" s="16" t="s">
        <v>394</v>
      </c>
      <c r="AC877" s="16" t="s">
        <v>4827</v>
      </c>
      <c r="AD877" s="12" t="s">
        <v>112</v>
      </c>
      <c r="AE877" s="12" t="s">
        <v>4828</v>
      </c>
      <c r="AF877" s="12" t="s">
        <v>4829</v>
      </c>
      <c r="AG877" s="12" t="s">
        <v>115</v>
      </c>
      <c r="AH877" s="12" t="s">
        <v>116</v>
      </c>
      <c r="AI877" s="12" t="s">
        <v>117</v>
      </c>
      <c r="AJ877" s="12" t="s">
        <v>4830</v>
      </c>
      <c r="AK877" s="12" t="s">
        <v>4</v>
      </c>
    </row>
    <row r="878" customFormat="false" ht="15" hidden="false" customHeight="false" outlineLevel="0" collapsed="false">
      <c r="A878" s="11" t="n">
        <v>877</v>
      </c>
      <c r="B878" s="12" t="s">
        <v>4831</v>
      </c>
      <c r="C878" s="12" t="s">
        <v>4777</v>
      </c>
      <c r="D878" s="12" t="s">
        <v>4778</v>
      </c>
      <c r="E878" s="12" t="s">
        <v>759</v>
      </c>
      <c r="F878" s="12" t="s">
        <v>4821</v>
      </c>
      <c r="G878" s="12" t="s">
        <v>771</v>
      </c>
      <c r="H878" s="12" t="s">
        <v>4832</v>
      </c>
      <c r="I878" s="12" t="s">
        <v>4833</v>
      </c>
      <c r="J878" s="13" t="s">
        <v>4834</v>
      </c>
      <c r="K878" s="12"/>
      <c r="L878" s="12" t="s">
        <v>4835</v>
      </c>
      <c r="M878" s="12" t="s">
        <v>4836</v>
      </c>
      <c r="N878" s="12" t="s">
        <v>101</v>
      </c>
      <c r="O878" s="12" t="s">
        <v>102</v>
      </c>
      <c r="P878" s="12" t="s">
        <v>103</v>
      </c>
      <c r="Q878" s="12" t="s">
        <v>104</v>
      </c>
      <c r="R878" s="14" t="n">
        <v>4</v>
      </c>
      <c r="S878" s="14" t="s">
        <v>105</v>
      </c>
      <c r="T878" s="14" t="s">
        <v>106</v>
      </c>
      <c r="U878" s="14" t="n">
        <v>2024</v>
      </c>
      <c r="V878" s="12" t="s">
        <v>157</v>
      </c>
      <c r="W878" s="14"/>
      <c r="X878" s="15" t="n">
        <f aca="false">IF(OR($S878="%",$R878=""),"",$R878*INDEX(Cambi!$J$2:$J$5,MATCH($S878,Cambi!$I$2:$I$5,0))/IF($T878="EUR",1,INDEX(Cambi!$D:$D,MATCH($T878&amp;"|"&amp;$U878,Cambi!$C:$C,0))))</f>
        <v>4</v>
      </c>
      <c r="Y878" s="12" t="s">
        <v>108</v>
      </c>
      <c r="Z878" s="12" t="s">
        <v>109</v>
      </c>
      <c r="AA878" s="12" t="s">
        <v>109</v>
      </c>
      <c r="AB878" s="16" t="s">
        <v>394</v>
      </c>
      <c r="AC878" s="16" t="s">
        <v>4827</v>
      </c>
      <c r="AD878" s="12" t="s">
        <v>112</v>
      </c>
      <c r="AE878" s="12" t="s">
        <v>4837</v>
      </c>
      <c r="AF878" s="12" t="s">
        <v>4838</v>
      </c>
      <c r="AG878" s="12" t="s">
        <v>115</v>
      </c>
      <c r="AH878" s="12" t="s">
        <v>116</v>
      </c>
      <c r="AI878" s="12" t="s">
        <v>117</v>
      </c>
      <c r="AJ878" s="12" t="s">
        <v>4839</v>
      </c>
      <c r="AK878" s="12" t="s">
        <v>4</v>
      </c>
    </row>
    <row r="879" customFormat="false" ht="15" hidden="false" customHeight="false" outlineLevel="0" collapsed="false">
      <c r="A879" s="11" t="n">
        <v>878</v>
      </c>
      <c r="B879" s="12" t="s">
        <v>4831</v>
      </c>
      <c r="C879" s="12" t="s">
        <v>4777</v>
      </c>
      <c r="D879" s="12" t="s">
        <v>4778</v>
      </c>
      <c r="E879" s="12" t="s">
        <v>759</v>
      </c>
      <c r="F879" s="12" t="s">
        <v>4821</v>
      </c>
      <c r="G879" s="12" t="s">
        <v>771</v>
      </c>
      <c r="H879" s="12" t="s">
        <v>4832</v>
      </c>
      <c r="I879" s="12" t="s">
        <v>4833</v>
      </c>
      <c r="J879" s="13" t="s">
        <v>4834</v>
      </c>
      <c r="K879" s="12"/>
      <c r="L879" s="12" t="s">
        <v>4840</v>
      </c>
      <c r="M879" s="12" t="s">
        <v>4841</v>
      </c>
      <c r="N879" s="12" t="s">
        <v>101</v>
      </c>
      <c r="O879" s="12" t="s">
        <v>102</v>
      </c>
      <c r="P879" s="12" t="s">
        <v>103</v>
      </c>
      <c r="Q879" s="12" t="s">
        <v>104</v>
      </c>
      <c r="R879" s="14" t="n">
        <v>9</v>
      </c>
      <c r="S879" s="14" t="s">
        <v>105</v>
      </c>
      <c r="T879" s="14" t="s">
        <v>106</v>
      </c>
      <c r="U879" s="14" t="n">
        <v>2024</v>
      </c>
      <c r="V879" s="12" t="s">
        <v>157</v>
      </c>
      <c r="W879" s="14"/>
      <c r="X879" s="15" t="n">
        <f aca="false">IF(OR($S879="%",$R879=""),"",$R879*INDEX(Cambi!$J$2:$J$5,MATCH($S879,Cambi!$I$2:$I$5,0))/IF($T879="EUR",1,INDEX(Cambi!$D:$D,MATCH($T879&amp;"|"&amp;$U879,Cambi!$C:$C,0))))</f>
        <v>9</v>
      </c>
      <c r="Y879" s="12" t="s">
        <v>108</v>
      </c>
      <c r="Z879" s="12" t="s">
        <v>109</v>
      </c>
      <c r="AA879" s="12" t="s">
        <v>109</v>
      </c>
      <c r="AB879" s="16" t="s">
        <v>394</v>
      </c>
      <c r="AC879" s="16" t="s">
        <v>4827</v>
      </c>
      <c r="AD879" s="12" t="s">
        <v>112</v>
      </c>
      <c r="AE879" s="12" t="s">
        <v>4837</v>
      </c>
      <c r="AF879" s="12" t="s">
        <v>4842</v>
      </c>
      <c r="AG879" s="12" t="s">
        <v>115</v>
      </c>
      <c r="AH879" s="12" t="s">
        <v>116</v>
      </c>
      <c r="AI879" s="12" t="s">
        <v>117</v>
      </c>
      <c r="AJ879" s="12" t="s">
        <v>4843</v>
      </c>
      <c r="AK879" s="12" t="s">
        <v>4</v>
      </c>
    </row>
    <row r="880" customFormat="false" ht="15" hidden="false" customHeight="false" outlineLevel="0" collapsed="false">
      <c r="A880" s="11" t="n">
        <v>879</v>
      </c>
      <c r="B880" s="12" t="s">
        <v>4844</v>
      </c>
      <c r="C880" s="12" t="s">
        <v>4777</v>
      </c>
      <c r="D880" s="12" t="s">
        <v>4778</v>
      </c>
      <c r="E880" s="12" t="s">
        <v>759</v>
      </c>
      <c r="F880" s="12" t="s">
        <v>4821</v>
      </c>
      <c r="G880" s="12" t="s">
        <v>771</v>
      </c>
      <c r="H880" s="12" t="s">
        <v>4845</v>
      </c>
      <c r="I880" s="12" t="s">
        <v>4846</v>
      </c>
      <c r="J880" s="13" t="s">
        <v>4847</v>
      </c>
      <c r="K880" s="12"/>
      <c r="L880" s="12" t="s">
        <v>4848</v>
      </c>
      <c r="M880" s="12" t="s">
        <v>4849</v>
      </c>
      <c r="N880" s="12" t="s">
        <v>101</v>
      </c>
      <c r="O880" s="12" t="s">
        <v>102</v>
      </c>
      <c r="P880" s="12" t="s">
        <v>103</v>
      </c>
      <c r="Q880" s="12" t="s">
        <v>104</v>
      </c>
      <c r="R880" s="14" t="n">
        <v>10</v>
      </c>
      <c r="S880" s="14" t="s">
        <v>105</v>
      </c>
      <c r="T880" s="14" t="s">
        <v>106</v>
      </c>
      <c r="U880" s="14" t="n">
        <v>2024</v>
      </c>
      <c r="V880" s="12" t="s">
        <v>157</v>
      </c>
      <c r="W880" s="14"/>
      <c r="X880" s="15" t="n">
        <f aca="false">IF(OR($S880="%",$R880=""),"",$R880*INDEX(Cambi!$J$2:$J$5,MATCH($S880,Cambi!$I$2:$I$5,0))/IF($T880="EUR",1,INDEX(Cambi!$D:$D,MATCH($T880&amp;"|"&amp;$U880,Cambi!$C:$C,0))))</f>
        <v>10</v>
      </c>
      <c r="Y880" s="12" t="s">
        <v>108</v>
      </c>
      <c r="Z880" s="12" t="s">
        <v>109</v>
      </c>
      <c r="AA880" s="12" t="s">
        <v>109</v>
      </c>
      <c r="AB880" s="16" t="s">
        <v>394</v>
      </c>
      <c r="AC880" s="16" t="s">
        <v>4827</v>
      </c>
      <c r="AD880" s="12" t="s">
        <v>112</v>
      </c>
      <c r="AE880" s="12" t="s">
        <v>4850</v>
      </c>
      <c r="AF880" s="12" t="s">
        <v>4851</v>
      </c>
      <c r="AG880" s="12" t="s">
        <v>115</v>
      </c>
      <c r="AH880" s="12" t="s">
        <v>116</v>
      </c>
      <c r="AI880" s="12" t="s">
        <v>117</v>
      </c>
      <c r="AJ880" s="12" t="s">
        <v>4852</v>
      </c>
      <c r="AK880" s="12" t="s">
        <v>4</v>
      </c>
    </row>
    <row r="881" customFormat="false" ht="15" hidden="false" customHeight="false" outlineLevel="0" collapsed="false">
      <c r="A881" s="11" t="n">
        <v>880</v>
      </c>
      <c r="B881" s="12" t="s">
        <v>4844</v>
      </c>
      <c r="C881" s="12" t="s">
        <v>4777</v>
      </c>
      <c r="D881" s="12" t="s">
        <v>4778</v>
      </c>
      <c r="E881" s="12" t="s">
        <v>759</v>
      </c>
      <c r="F881" s="12" t="s">
        <v>4821</v>
      </c>
      <c r="G881" s="12" t="s">
        <v>771</v>
      </c>
      <c r="H881" s="12" t="s">
        <v>4845</v>
      </c>
      <c r="I881" s="12" t="s">
        <v>4846</v>
      </c>
      <c r="J881" s="13" t="s">
        <v>4847</v>
      </c>
      <c r="K881" s="12"/>
      <c r="L881" s="12" t="s">
        <v>4853</v>
      </c>
      <c r="M881" s="12" t="s">
        <v>4854</v>
      </c>
      <c r="N881" s="12" t="s">
        <v>101</v>
      </c>
      <c r="O881" s="12" t="s">
        <v>102</v>
      </c>
      <c r="P881" s="12" t="s">
        <v>103</v>
      </c>
      <c r="Q881" s="12" t="s">
        <v>104</v>
      </c>
      <c r="R881" s="14" t="n">
        <v>5</v>
      </c>
      <c r="S881" s="14" t="s">
        <v>105</v>
      </c>
      <c r="T881" s="14" t="s">
        <v>106</v>
      </c>
      <c r="U881" s="14" t="n">
        <v>2024</v>
      </c>
      <c r="V881" s="12" t="s">
        <v>157</v>
      </c>
      <c r="W881" s="14"/>
      <c r="X881" s="15" t="n">
        <f aca="false">IF(OR($S881="%",$R881=""),"",$R881*INDEX(Cambi!$J$2:$J$5,MATCH($S881,Cambi!$I$2:$I$5,0))/IF($T881="EUR",1,INDEX(Cambi!$D:$D,MATCH($T881&amp;"|"&amp;$U881,Cambi!$C:$C,0))))</f>
        <v>5</v>
      </c>
      <c r="Y881" s="12" t="s">
        <v>108</v>
      </c>
      <c r="Z881" s="12" t="s">
        <v>109</v>
      </c>
      <c r="AA881" s="12" t="s">
        <v>109</v>
      </c>
      <c r="AB881" s="16" t="s">
        <v>394</v>
      </c>
      <c r="AC881" s="16" t="s">
        <v>4827</v>
      </c>
      <c r="AD881" s="12" t="s">
        <v>112</v>
      </c>
      <c r="AE881" s="12" t="s">
        <v>4850</v>
      </c>
      <c r="AF881" s="12" t="s">
        <v>4855</v>
      </c>
      <c r="AG881" s="12" t="s">
        <v>115</v>
      </c>
      <c r="AH881" s="12" t="s">
        <v>116</v>
      </c>
      <c r="AI881" s="12" t="s">
        <v>117</v>
      </c>
      <c r="AJ881" s="12" t="s">
        <v>4856</v>
      </c>
      <c r="AK881" s="12" t="s">
        <v>4</v>
      </c>
    </row>
    <row r="882" customFormat="false" ht="15" hidden="false" customHeight="false" outlineLevel="0" collapsed="false">
      <c r="A882" s="11" t="n">
        <v>881</v>
      </c>
      <c r="B882" s="12" t="s">
        <v>4857</v>
      </c>
      <c r="C882" s="12" t="s">
        <v>4777</v>
      </c>
      <c r="D882" s="12" t="s">
        <v>4778</v>
      </c>
      <c r="E882" s="12" t="s">
        <v>759</v>
      </c>
      <c r="F882" s="12" t="s">
        <v>4858</v>
      </c>
      <c r="G882" s="12" t="s">
        <v>771</v>
      </c>
      <c r="H882" s="12" t="s">
        <v>4859</v>
      </c>
      <c r="I882" s="12" t="s">
        <v>583</v>
      </c>
      <c r="J882" s="13" t="s">
        <v>4860</v>
      </c>
      <c r="K882" s="12"/>
      <c r="L882" s="12" t="s">
        <v>4861</v>
      </c>
      <c r="M882" s="12" t="s">
        <v>4862</v>
      </c>
      <c r="N882" s="12" t="s">
        <v>101</v>
      </c>
      <c r="O882" s="12" t="s">
        <v>102</v>
      </c>
      <c r="P882" s="12" t="s">
        <v>103</v>
      </c>
      <c r="Q882" s="12" t="s">
        <v>104</v>
      </c>
      <c r="R882" s="14" t="n">
        <v>2341222</v>
      </c>
      <c r="S882" s="14" t="s">
        <v>432</v>
      </c>
      <c r="T882" s="14" t="s">
        <v>106</v>
      </c>
      <c r="U882" s="14" t="n">
        <v>2023</v>
      </c>
      <c r="V882" s="12" t="s">
        <v>157</v>
      </c>
      <c r="W882" s="14"/>
      <c r="X882" s="15" t="n">
        <f aca="false">IF(OR($S882="%",$R882=""),"",$R882*INDEX(Cambi!$J$2:$J$5,MATCH($S882,Cambi!$I$2:$I$5,0))/IF($T882="EUR",1,INDEX(Cambi!$D:$D,MATCH($T882&amp;"|"&amp;$U882,Cambi!$C:$C,0))))</f>
        <v>2.341222</v>
      </c>
      <c r="Y882" s="12" t="s">
        <v>108</v>
      </c>
      <c r="Z882" s="12" t="s">
        <v>109</v>
      </c>
      <c r="AA882" s="12" t="s">
        <v>109</v>
      </c>
      <c r="AB882" s="16" t="s">
        <v>394</v>
      </c>
      <c r="AC882" s="16" t="s">
        <v>4863</v>
      </c>
      <c r="AD882" s="12" t="s">
        <v>112</v>
      </c>
      <c r="AE882" s="12" t="s">
        <v>4864</v>
      </c>
      <c r="AF882" s="12" t="s">
        <v>4865</v>
      </c>
      <c r="AG882" s="12" t="s">
        <v>115</v>
      </c>
      <c r="AH882" s="12" t="s">
        <v>116</v>
      </c>
      <c r="AI882" s="12" t="s">
        <v>117</v>
      </c>
      <c r="AJ882" s="12" t="s">
        <v>4866</v>
      </c>
      <c r="AK882" s="12" t="s">
        <v>4</v>
      </c>
    </row>
    <row r="883" customFormat="false" ht="15" hidden="false" customHeight="false" outlineLevel="0" collapsed="false">
      <c r="A883" s="11" t="n">
        <v>882</v>
      </c>
      <c r="B883" s="12" t="s">
        <v>4857</v>
      </c>
      <c r="C883" s="12" t="s">
        <v>4777</v>
      </c>
      <c r="D883" s="12" t="s">
        <v>4778</v>
      </c>
      <c r="E883" s="12" t="s">
        <v>759</v>
      </c>
      <c r="F883" s="12" t="s">
        <v>4858</v>
      </c>
      <c r="G883" s="12" t="s">
        <v>771</v>
      </c>
      <c r="H883" s="12" t="s">
        <v>4859</v>
      </c>
      <c r="I883" s="12" t="s">
        <v>583</v>
      </c>
      <c r="J883" s="13" t="s">
        <v>4860</v>
      </c>
      <c r="K883" s="12"/>
      <c r="L883" s="12" t="s">
        <v>4861</v>
      </c>
      <c r="M883" s="12" t="s">
        <v>4867</v>
      </c>
      <c r="N883" s="12" t="s">
        <v>101</v>
      </c>
      <c r="O883" s="12" t="s">
        <v>102</v>
      </c>
      <c r="P883" s="12" t="s">
        <v>103</v>
      </c>
      <c r="Q883" s="12" t="s">
        <v>104</v>
      </c>
      <c r="R883" s="14" t="n">
        <v>2650370</v>
      </c>
      <c r="S883" s="14" t="s">
        <v>432</v>
      </c>
      <c r="T883" s="14" t="s">
        <v>106</v>
      </c>
      <c r="U883" s="14" t="n">
        <v>2024</v>
      </c>
      <c r="V883" s="12" t="s">
        <v>107</v>
      </c>
      <c r="W883" s="14"/>
      <c r="X883" s="15" t="n">
        <f aca="false">IF(OR($S883="%",$R883=""),"",$R883*INDEX(Cambi!$J$2:$J$5,MATCH($S883,Cambi!$I$2:$I$5,0))/IF($T883="EUR",1,INDEX(Cambi!$D:$D,MATCH($T883&amp;"|"&amp;$U883,Cambi!$C:$C,0))))</f>
        <v>2.65037</v>
      </c>
      <c r="Y883" s="12" t="s">
        <v>108</v>
      </c>
      <c r="Z883" s="12" t="s">
        <v>109</v>
      </c>
      <c r="AA883" s="12" t="s">
        <v>109</v>
      </c>
      <c r="AB883" s="16" t="s">
        <v>394</v>
      </c>
      <c r="AC883" s="16" t="s">
        <v>4863</v>
      </c>
      <c r="AD883" s="12" t="s">
        <v>112</v>
      </c>
      <c r="AE883" s="12" t="s">
        <v>4864</v>
      </c>
      <c r="AF883" s="12" t="s">
        <v>4865</v>
      </c>
      <c r="AG883" s="12" t="s">
        <v>115</v>
      </c>
      <c r="AH883" s="12" t="s">
        <v>116</v>
      </c>
      <c r="AI883" s="12" t="s">
        <v>117</v>
      </c>
      <c r="AJ883" s="12" t="s">
        <v>4868</v>
      </c>
      <c r="AK883" s="12" t="s">
        <v>4</v>
      </c>
    </row>
    <row r="884" customFormat="false" ht="15" hidden="false" customHeight="false" outlineLevel="0" collapsed="false">
      <c r="A884" s="11" t="n">
        <v>883</v>
      </c>
      <c r="B884" s="12" t="s">
        <v>4857</v>
      </c>
      <c r="C884" s="12" t="s">
        <v>4777</v>
      </c>
      <c r="D884" s="12" t="s">
        <v>4778</v>
      </c>
      <c r="E884" s="12" t="s">
        <v>759</v>
      </c>
      <c r="F884" s="12" t="s">
        <v>4858</v>
      </c>
      <c r="G884" s="12" t="s">
        <v>771</v>
      </c>
      <c r="H884" s="12" t="s">
        <v>4859</v>
      </c>
      <c r="I884" s="12" t="s">
        <v>583</v>
      </c>
      <c r="J884" s="13" t="s">
        <v>4860</v>
      </c>
      <c r="K884" s="12"/>
      <c r="L884" s="12" t="s">
        <v>4861</v>
      </c>
      <c r="M884" s="12" t="s">
        <v>4869</v>
      </c>
      <c r="N884" s="12" t="s">
        <v>101</v>
      </c>
      <c r="O884" s="12" t="s">
        <v>102</v>
      </c>
      <c r="P884" s="12" t="s">
        <v>103</v>
      </c>
      <c r="Q884" s="12" t="s">
        <v>104</v>
      </c>
      <c r="R884" s="14" t="n">
        <v>2650370</v>
      </c>
      <c r="S884" s="14" t="s">
        <v>432</v>
      </c>
      <c r="T884" s="14" t="s">
        <v>106</v>
      </c>
      <c r="U884" s="14" t="n">
        <v>2025</v>
      </c>
      <c r="V884" s="12" t="s">
        <v>107</v>
      </c>
      <c r="W884" s="14"/>
      <c r="X884" s="15" t="n">
        <f aca="false">IF(OR($S884="%",$R884=""),"",$R884*INDEX(Cambi!$J$2:$J$5,MATCH($S884,Cambi!$I$2:$I$5,0))/IF($T884="EUR",1,INDEX(Cambi!$D:$D,MATCH($T884&amp;"|"&amp;$U884,Cambi!$C:$C,0))))</f>
        <v>2.65037</v>
      </c>
      <c r="Y884" s="12" t="s">
        <v>108</v>
      </c>
      <c r="Z884" s="12" t="s">
        <v>109</v>
      </c>
      <c r="AA884" s="12" t="s">
        <v>109</v>
      </c>
      <c r="AB884" s="16" t="s">
        <v>394</v>
      </c>
      <c r="AC884" s="16" t="s">
        <v>4863</v>
      </c>
      <c r="AD884" s="12" t="s">
        <v>112</v>
      </c>
      <c r="AE884" s="12" t="s">
        <v>4864</v>
      </c>
      <c r="AF884" s="12" t="s">
        <v>4865</v>
      </c>
      <c r="AG884" s="12" t="s">
        <v>115</v>
      </c>
      <c r="AH884" s="12" t="s">
        <v>116</v>
      </c>
      <c r="AI884" s="12" t="s">
        <v>117</v>
      </c>
      <c r="AJ884" s="12" t="s">
        <v>4868</v>
      </c>
      <c r="AK884" s="12" t="s">
        <v>4</v>
      </c>
    </row>
    <row r="885" customFormat="false" ht="15" hidden="false" customHeight="false" outlineLevel="0" collapsed="false">
      <c r="A885" s="11" t="n">
        <v>884</v>
      </c>
      <c r="B885" s="12" t="s">
        <v>4857</v>
      </c>
      <c r="C885" s="12" t="s">
        <v>4777</v>
      </c>
      <c r="D885" s="12" t="s">
        <v>4778</v>
      </c>
      <c r="E885" s="12" t="s">
        <v>759</v>
      </c>
      <c r="F885" s="12" t="s">
        <v>4858</v>
      </c>
      <c r="G885" s="12" t="s">
        <v>771</v>
      </c>
      <c r="H885" s="12" t="s">
        <v>4859</v>
      </c>
      <c r="I885" s="12" t="s">
        <v>583</v>
      </c>
      <c r="J885" s="13" t="s">
        <v>4860</v>
      </c>
      <c r="K885" s="12"/>
      <c r="L885" s="12" t="s">
        <v>4861</v>
      </c>
      <c r="M885" s="12" t="s">
        <v>4870</v>
      </c>
      <c r="N885" s="12" t="s">
        <v>101</v>
      </c>
      <c r="O885" s="12" t="s">
        <v>102</v>
      </c>
      <c r="P885" s="12" t="s">
        <v>103</v>
      </c>
      <c r="Q885" s="12" t="s">
        <v>104</v>
      </c>
      <c r="R885" s="14" t="n">
        <v>2650370</v>
      </c>
      <c r="S885" s="14" t="s">
        <v>432</v>
      </c>
      <c r="T885" s="14" t="s">
        <v>106</v>
      </c>
      <c r="U885" s="14" t="n">
        <v>2026</v>
      </c>
      <c r="V885" s="12" t="s">
        <v>107</v>
      </c>
      <c r="W885" s="14"/>
      <c r="X885" s="15" t="n">
        <f aca="false">IF(OR($S885="%",$R885=""),"",$R885*INDEX(Cambi!$J$2:$J$5,MATCH($S885,Cambi!$I$2:$I$5,0))/IF($T885="EUR",1,INDEX(Cambi!$D:$D,MATCH($T885&amp;"|"&amp;$U885,Cambi!$C:$C,0))))</f>
        <v>2.65037</v>
      </c>
      <c r="Y885" s="12" t="s">
        <v>108</v>
      </c>
      <c r="Z885" s="12" t="s">
        <v>109</v>
      </c>
      <c r="AA885" s="12" t="s">
        <v>109</v>
      </c>
      <c r="AB885" s="16" t="s">
        <v>394</v>
      </c>
      <c r="AC885" s="16" t="s">
        <v>4863</v>
      </c>
      <c r="AD885" s="12" t="s">
        <v>112</v>
      </c>
      <c r="AE885" s="12" t="s">
        <v>4864</v>
      </c>
      <c r="AF885" s="12" t="s">
        <v>4865</v>
      </c>
      <c r="AG885" s="12" t="s">
        <v>115</v>
      </c>
      <c r="AH885" s="12" t="s">
        <v>116</v>
      </c>
      <c r="AI885" s="12" t="s">
        <v>117</v>
      </c>
      <c r="AJ885" s="12" t="s">
        <v>4868</v>
      </c>
      <c r="AK885" s="12" t="s">
        <v>4</v>
      </c>
    </row>
    <row r="886" customFormat="false" ht="15" hidden="false" customHeight="false" outlineLevel="0" collapsed="false">
      <c r="A886" s="11" t="n">
        <v>885</v>
      </c>
      <c r="B886" s="12" t="s">
        <v>625</v>
      </c>
      <c r="C886" s="12" t="s">
        <v>4777</v>
      </c>
      <c r="D886" s="12" t="s">
        <v>4778</v>
      </c>
      <c r="E886" s="12" t="s">
        <v>759</v>
      </c>
      <c r="F886" s="12" t="s">
        <v>626</v>
      </c>
      <c r="G886" s="12" t="s">
        <v>95</v>
      </c>
      <c r="H886" s="12" t="s">
        <v>627</v>
      </c>
      <c r="I886" s="12" t="s">
        <v>628</v>
      </c>
      <c r="J886" s="13" t="s">
        <v>629</v>
      </c>
      <c r="K886" s="12" t="s">
        <v>630</v>
      </c>
      <c r="L886" s="12" t="s">
        <v>1110</v>
      </c>
      <c r="M886" s="12" t="s">
        <v>1111</v>
      </c>
      <c r="N886" s="12" t="s">
        <v>101</v>
      </c>
      <c r="O886" s="12" t="s">
        <v>102</v>
      </c>
      <c r="P886" s="12" t="s">
        <v>103</v>
      </c>
      <c r="Q886" s="12" t="s">
        <v>104</v>
      </c>
      <c r="R886" s="14" t="n">
        <v>14</v>
      </c>
      <c r="S886" s="14" t="s">
        <v>105</v>
      </c>
      <c r="T886" s="14" t="s">
        <v>106</v>
      </c>
      <c r="U886" s="14" t="n">
        <v>2026</v>
      </c>
      <c r="V886" s="12" t="s">
        <v>107</v>
      </c>
      <c r="W886" s="14"/>
      <c r="X886" s="15" t="n">
        <f aca="false">IF(OR($S886="%",$R886=""),"",$R886*INDEX(Cambi!$J$2:$J$5,MATCH($S886,Cambi!$I$2:$I$5,0))/IF($T886="EUR",1,INDEX(Cambi!$D:$D,MATCH($T886&amp;"|"&amp;$U886,Cambi!$C:$C,0))))</f>
        <v>14</v>
      </c>
      <c r="Y886" s="12" t="s">
        <v>130</v>
      </c>
      <c r="Z886" s="12" t="s">
        <v>109</v>
      </c>
      <c r="AA886" s="12" t="s">
        <v>633</v>
      </c>
      <c r="AB886" s="16" t="s">
        <v>110</v>
      </c>
      <c r="AC886" s="16" t="s">
        <v>634</v>
      </c>
      <c r="AD886" s="12" t="s">
        <v>281</v>
      </c>
      <c r="AE886" s="12" t="s">
        <v>635</v>
      </c>
      <c r="AF886" s="12" t="s">
        <v>4871</v>
      </c>
      <c r="AG886" s="12" t="s">
        <v>115</v>
      </c>
      <c r="AH886" s="12" t="s">
        <v>116</v>
      </c>
      <c r="AI886" s="12" t="s">
        <v>285</v>
      </c>
      <c r="AJ886" s="12" t="s">
        <v>1113</v>
      </c>
      <c r="AK886" s="12" t="s">
        <v>4</v>
      </c>
    </row>
    <row r="887" customFormat="false" ht="15" hidden="false" customHeight="false" outlineLevel="0" collapsed="false">
      <c r="A887" s="11" t="n">
        <v>886</v>
      </c>
      <c r="B887" s="12" t="s">
        <v>4872</v>
      </c>
      <c r="C887" s="12" t="s">
        <v>4873</v>
      </c>
      <c r="D887" s="12" t="s">
        <v>4874</v>
      </c>
      <c r="E887" s="12" t="s">
        <v>759</v>
      </c>
      <c r="F887" s="12" t="s">
        <v>1295</v>
      </c>
      <c r="G887" s="12" t="s">
        <v>771</v>
      </c>
      <c r="H887" s="12" t="s">
        <v>4875</v>
      </c>
      <c r="I887" s="12" t="s">
        <v>583</v>
      </c>
      <c r="J887" s="13" t="s">
        <v>4876</v>
      </c>
      <c r="K887" s="12" t="s">
        <v>4877</v>
      </c>
      <c r="L887" s="12" t="s">
        <v>4878</v>
      </c>
      <c r="M887" s="12" t="s">
        <v>4879</v>
      </c>
      <c r="N887" s="12" t="s">
        <v>352</v>
      </c>
      <c r="O887" s="12" t="s">
        <v>213</v>
      </c>
      <c r="P887" s="12" t="s">
        <v>155</v>
      </c>
      <c r="Q887" s="12" t="s">
        <v>3252</v>
      </c>
      <c r="R887" s="14" t="n">
        <v>18</v>
      </c>
      <c r="S887" s="14" t="s">
        <v>197</v>
      </c>
      <c r="T887" s="14"/>
      <c r="U887" s="14" t="n">
        <v>2022</v>
      </c>
      <c r="V887" s="12" t="s">
        <v>157</v>
      </c>
      <c r="W887" s="14"/>
      <c r="X887" s="15" t="str">
        <f aca="false">IF(OR($S887="%",$R887=""),"",$R887*INDEX(Cambi!$J$2:$J$5,MATCH($S887,Cambi!$I$2:$I$5,0))/IF($T887="EUR",1,INDEX(Cambi!$D:$D,MATCH($T887&amp;"|"&amp;$U887,Cambi!$C:$C,0))))</f>
        <v/>
      </c>
      <c r="Y887" s="12" t="s">
        <v>109</v>
      </c>
      <c r="Z887" s="12" t="s">
        <v>109</v>
      </c>
      <c r="AA887" s="12" t="s">
        <v>109</v>
      </c>
      <c r="AB887" s="16" t="s">
        <v>110</v>
      </c>
      <c r="AC887" s="16" t="s">
        <v>4880</v>
      </c>
      <c r="AD887" s="12" t="s">
        <v>281</v>
      </c>
      <c r="AE887" s="12" t="s">
        <v>1196</v>
      </c>
      <c r="AF887" s="12" t="s">
        <v>4881</v>
      </c>
      <c r="AG887" s="12" t="s">
        <v>284</v>
      </c>
      <c r="AH887" s="12" t="s">
        <v>116</v>
      </c>
      <c r="AI887" s="12" t="s">
        <v>285</v>
      </c>
      <c r="AJ887" s="12" t="s">
        <v>4882</v>
      </c>
      <c r="AK887" s="12" t="s">
        <v>4</v>
      </c>
    </row>
    <row r="888" customFormat="false" ht="15" hidden="false" customHeight="false" outlineLevel="0" collapsed="false">
      <c r="A888" s="11" t="n">
        <v>887</v>
      </c>
      <c r="B888" s="12" t="s">
        <v>4883</v>
      </c>
      <c r="C888" s="12" t="s">
        <v>4873</v>
      </c>
      <c r="D888" s="12" t="s">
        <v>4874</v>
      </c>
      <c r="E888" s="12" t="s">
        <v>759</v>
      </c>
      <c r="F888" s="12" t="s">
        <v>4884</v>
      </c>
      <c r="G888" s="12" t="s">
        <v>771</v>
      </c>
      <c r="H888" s="12" t="s">
        <v>4885</v>
      </c>
      <c r="I888" s="12" t="s">
        <v>583</v>
      </c>
      <c r="J888" s="13" t="s">
        <v>4886</v>
      </c>
      <c r="K888" s="12"/>
      <c r="L888" s="12" t="s">
        <v>4887</v>
      </c>
      <c r="M888" s="12" t="s">
        <v>4888</v>
      </c>
      <c r="N888" s="12" t="s">
        <v>101</v>
      </c>
      <c r="O888" s="12" t="s">
        <v>102</v>
      </c>
      <c r="P888" s="12" t="s">
        <v>103</v>
      </c>
      <c r="Q888" s="12" t="s">
        <v>104</v>
      </c>
      <c r="R888" s="14" t="n">
        <v>2075193</v>
      </c>
      <c r="S888" s="14" t="s">
        <v>432</v>
      </c>
      <c r="T888" s="14" t="s">
        <v>106</v>
      </c>
      <c r="U888" s="14" t="n">
        <v>2022</v>
      </c>
      <c r="V888" s="12" t="s">
        <v>157</v>
      </c>
      <c r="W888" s="14"/>
      <c r="X888" s="15" t="n">
        <f aca="false">IF(OR($S888="%",$R888=""),"",$R888*INDEX(Cambi!$J$2:$J$5,MATCH($S888,Cambi!$I$2:$I$5,0))/IF($T888="EUR",1,INDEX(Cambi!$D:$D,MATCH($T888&amp;"|"&amp;$U888,Cambi!$C:$C,0))))</f>
        <v>2.075193</v>
      </c>
      <c r="Y888" s="12" t="s">
        <v>108</v>
      </c>
      <c r="Z888" s="12" t="s">
        <v>117</v>
      </c>
      <c r="AA888" s="12" t="s">
        <v>109</v>
      </c>
      <c r="AB888" s="16" t="s">
        <v>394</v>
      </c>
      <c r="AC888" s="16" t="s">
        <v>4889</v>
      </c>
      <c r="AD888" s="12" t="s">
        <v>112</v>
      </c>
      <c r="AE888" s="12" t="s">
        <v>4890</v>
      </c>
      <c r="AF888" s="12" t="s">
        <v>4891</v>
      </c>
      <c r="AG888" s="12" t="s">
        <v>115</v>
      </c>
      <c r="AH888" s="12" t="s">
        <v>116</v>
      </c>
      <c r="AI888" s="12" t="s">
        <v>117</v>
      </c>
      <c r="AJ888" s="12" t="s">
        <v>4892</v>
      </c>
      <c r="AK888" s="12" t="s">
        <v>4</v>
      </c>
    </row>
    <row r="889" customFormat="false" ht="15" hidden="false" customHeight="false" outlineLevel="0" collapsed="false">
      <c r="A889" s="11" t="n">
        <v>888</v>
      </c>
      <c r="B889" s="12" t="s">
        <v>4883</v>
      </c>
      <c r="C889" s="12" t="s">
        <v>4873</v>
      </c>
      <c r="D889" s="12" t="s">
        <v>4874</v>
      </c>
      <c r="E889" s="12" t="s">
        <v>759</v>
      </c>
      <c r="F889" s="12" t="s">
        <v>4884</v>
      </c>
      <c r="G889" s="12" t="s">
        <v>771</v>
      </c>
      <c r="H889" s="12" t="s">
        <v>4885</v>
      </c>
      <c r="I889" s="12" t="s">
        <v>583</v>
      </c>
      <c r="J889" s="13" t="s">
        <v>4886</v>
      </c>
      <c r="K889" s="12"/>
      <c r="L889" s="12" t="s">
        <v>4893</v>
      </c>
      <c r="M889" s="12" t="s">
        <v>4894</v>
      </c>
      <c r="N889" s="12" t="s">
        <v>101</v>
      </c>
      <c r="O889" s="12" t="s">
        <v>102</v>
      </c>
      <c r="P889" s="12" t="s">
        <v>103</v>
      </c>
      <c r="Q889" s="12" t="s">
        <v>104</v>
      </c>
      <c r="R889" s="14" t="n">
        <v>4700000</v>
      </c>
      <c r="S889" s="14" t="s">
        <v>432</v>
      </c>
      <c r="T889" s="14" t="s">
        <v>106</v>
      </c>
      <c r="U889" s="14" t="n">
        <v>2022</v>
      </c>
      <c r="V889" s="12" t="s">
        <v>157</v>
      </c>
      <c r="W889" s="14"/>
      <c r="X889" s="15" t="n">
        <f aca="false">IF(OR($S889="%",$R889=""),"",$R889*INDEX(Cambi!$J$2:$J$5,MATCH($S889,Cambi!$I$2:$I$5,0))/IF($T889="EUR",1,INDEX(Cambi!$D:$D,MATCH($T889&amp;"|"&amp;$U889,Cambi!$C:$C,0))))</f>
        <v>4.7</v>
      </c>
      <c r="Y889" s="12" t="s">
        <v>108</v>
      </c>
      <c r="Z889" s="12" t="s">
        <v>117</v>
      </c>
      <c r="AA889" s="12" t="s">
        <v>109</v>
      </c>
      <c r="AB889" s="16" t="s">
        <v>394</v>
      </c>
      <c r="AC889" s="16" t="s">
        <v>4889</v>
      </c>
      <c r="AD889" s="12" t="s">
        <v>112</v>
      </c>
      <c r="AE889" s="12" t="s">
        <v>4890</v>
      </c>
      <c r="AF889" s="12" t="s">
        <v>4895</v>
      </c>
      <c r="AG889" s="12" t="s">
        <v>115</v>
      </c>
      <c r="AH889" s="12" t="s">
        <v>116</v>
      </c>
      <c r="AI889" s="12" t="s">
        <v>117</v>
      </c>
      <c r="AJ889" s="12" t="s">
        <v>4896</v>
      </c>
      <c r="AK889" s="12" t="s">
        <v>4</v>
      </c>
    </row>
    <row r="890" customFormat="false" ht="15" hidden="false" customHeight="false" outlineLevel="0" collapsed="false">
      <c r="A890" s="11" t="n">
        <v>889</v>
      </c>
      <c r="B890" s="12" t="s">
        <v>4897</v>
      </c>
      <c r="C890" s="12" t="s">
        <v>4873</v>
      </c>
      <c r="D890" s="12" t="s">
        <v>4874</v>
      </c>
      <c r="E890" s="12" t="s">
        <v>759</v>
      </c>
      <c r="F890" s="12" t="s">
        <v>4898</v>
      </c>
      <c r="G890" s="12" t="s">
        <v>771</v>
      </c>
      <c r="H890" s="12" t="s">
        <v>4899</v>
      </c>
      <c r="I890" s="12" t="s">
        <v>4900</v>
      </c>
      <c r="J890" s="13" t="s">
        <v>4901</v>
      </c>
      <c r="K890" s="12"/>
      <c r="L890" s="12" t="s">
        <v>4902</v>
      </c>
      <c r="M890" s="12" t="s">
        <v>4903</v>
      </c>
      <c r="N890" s="12" t="s">
        <v>101</v>
      </c>
      <c r="O890" s="12" t="s">
        <v>102</v>
      </c>
      <c r="P890" s="12" t="s">
        <v>103</v>
      </c>
      <c r="Q890" s="12" t="s">
        <v>104</v>
      </c>
      <c r="R890" s="14" t="n">
        <v>7602260</v>
      </c>
      <c r="S890" s="14" t="s">
        <v>432</v>
      </c>
      <c r="T890" s="14" t="s">
        <v>106</v>
      </c>
      <c r="U890" s="14" t="n">
        <v>2026</v>
      </c>
      <c r="V890" s="12" t="s">
        <v>198</v>
      </c>
      <c r="W890" s="14"/>
      <c r="X890" s="15" t="n">
        <f aca="false">IF(OR($S890="%",$R890=""),"",$R890*INDEX(Cambi!$J$2:$J$5,MATCH($S890,Cambi!$I$2:$I$5,0))/IF($T890="EUR",1,INDEX(Cambi!$D:$D,MATCH($T890&amp;"|"&amp;$U890,Cambi!$C:$C,0))))</f>
        <v>7.60226</v>
      </c>
      <c r="Y890" s="12" t="s">
        <v>108</v>
      </c>
      <c r="Z890" s="12" t="s">
        <v>117</v>
      </c>
      <c r="AA890" s="12" t="s">
        <v>109</v>
      </c>
      <c r="AB890" s="16" t="s">
        <v>394</v>
      </c>
      <c r="AC890" s="16" t="s">
        <v>4904</v>
      </c>
      <c r="AD890" s="12" t="s">
        <v>112</v>
      </c>
      <c r="AE890" s="12" t="s">
        <v>4905</v>
      </c>
      <c r="AF890" s="12" t="s">
        <v>4906</v>
      </c>
      <c r="AG890" s="12" t="s">
        <v>115</v>
      </c>
      <c r="AH890" s="12" t="s">
        <v>116</v>
      </c>
      <c r="AI890" s="12" t="s">
        <v>117</v>
      </c>
      <c r="AJ890" s="12" t="s">
        <v>4907</v>
      </c>
      <c r="AK890" s="12" t="s">
        <v>4</v>
      </c>
    </row>
    <row r="891" customFormat="false" ht="15" hidden="false" customHeight="false" outlineLevel="0" collapsed="false">
      <c r="A891" s="11" t="n">
        <v>890</v>
      </c>
      <c r="B891" s="12" t="s">
        <v>4908</v>
      </c>
      <c r="C891" s="12" t="s">
        <v>4873</v>
      </c>
      <c r="D891" s="12" t="s">
        <v>4874</v>
      </c>
      <c r="E891" s="12" t="s">
        <v>759</v>
      </c>
      <c r="F891" s="12" t="s">
        <v>4909</v>
      </c>
      <c r="G891" s="12" t="s">
        <v>771</v>
      </c>
      <c r="H891" s="12" t="s">
        <v>4910</v>
      </c>
      <c r="I891" s="12" t="s">
        <v>4911</v>
      </c>
      <c r="J891" s="13" t="s">
        <v>4912</v>
      </c>
      <c r="K891" s="12"/>
      <c r="L891" s="12" t="s">
        <v>4913</v>
      </c>
      <c r="M891" s="12" t="s">
        <v>4914</v>
      </c>
      <c r="N891" s="12" t="s">
        <v>101</v>
      </c>
      <c r="O891" s="12" t="s">
        <v>102</v>
      </c>
      <c r="P891" s="12" t="s">
        <v>103</v>
      </c>
      <c r="Q891" s="12" t="s">
        <v>104</v>
      </c>
      <c r="R891" s="14" t="n">
        <v>4265362</v>
      </c>
      <c r="S891" s="14" t="s">
        <v>432</v>
      </c>
      <c r="T891" s="14" t="s">
        <v>106</v>
      </c>
      <c r="U891" s="14" t="n">
        <v>2025</v>
      </c>
      <c r="V891" s="12" t="s">
        <v>157</v>
      </c>
      <c r="W891" s="14"/>
      <c r="X891" s="15" t="n">
        <f aca="false">IF(OR($S891="%",$R891=""),"",$R891*INDEX(Cambi!$J$2:$J$5,MATCH($S891,Cambi!$I$2:$I$5,0))/IF($T891="EUR",1,INDEX(Cambi!$D:$D,MATCH($T891&amp;"|"&amp;$U891,Cambi!$C:$C,0))))</f>
        <v>4.265362</v>
      </c>
      <c r="Y891" s="12" t="s">
        <v>108</v>
      </c>
      <c r="Z891" s="12" t="s">
        <v>117</v>
      </c>
      <c r="AA891" s="12" t="s">
        <v>109</v>
      </c>
      <c r="AB891" s="16" t="s">
        <v>394</v>
      </c>
      <c r="AC891" s="16" t="s">
        <v>4915</v>
      </c>
      <c r="AD891" s="12" t="s">
        <v>112</v>
      </c>
      <c r="AE891" s="12" t="s">
        <v>4916</v>
      </c>
      <c r="AF891" s="12" t="s">
        <v>4917</v>
      </c>
      <c r="AG891" s="12" t="s">
        <v>115</v>
      </c>
      <c r="AH891" s="12" t="s">
        <v>116</v>
      </c>
      <c r="AI891" s="12" t="s">
        <v>285</v>
      </c>
      <c r="AJ891" s="12" t="s">
        <v>4918</v>
      </c>
      <c r="AK891" s="12" t="s">
        <v>4</v>
      </c>
    </row>
    <row r="892" customFormat="false" ht="15" hidden="false" customHeight="false" outlineLevel="0" collapsed="false">
      <c r="A892" s="11" t="n">
        <v>891</v>
      </c>
      <c r="B892" s="12" t="s">
        <v>4908</v>
      </c>
      <c r="C892" s="12" t="s">
        <v>4873</v>
      </c>
      <c r="D892" s="12" t="s">
        <v>4874</v>
      </c>
      <c r="E892" s="12" t="s">
        <v>759</v>
      </c>
      <c r="F892" s="12" t="s">
        <v>4909</v>
      </c>
      <c r="G892" s="12" t="s">
        <v>771</v>
      </c>
      <c r="H892" s="12" t="s">
        <v>4910</v>
      </c>
      <c r="I892" s="12" t="s">
        <v>4911</v>
      </c>
      <c r="J892" s="13" t="s">
        <v>4912</v>
      </c>
      <c r="K892" s="12"/>
      <c r="L892" s="12" t="s">
        <v>4913</v>
      </c>
      <c r="M892" s="12" t="s">
        <v>4919</v>
      </c>
      <c r="N892" s="12" t="s">
        <v>101</v>
      </c>
      <c r="O892" s="12" t="s">
        <v>102</v>
      </c>
      <c r="P892" s="12" t="s">
        <v>103</v>
      </c>
      <c r="Q892" s="12" t="s">
        <v>104</v>
      </c>
      <c r="R892" s="14" t="n">
        <v>4777200</v>
      </c>
      <c r="S892" s="14" t="s">
        <v>432</v>
      </c>
      <c r="T892" s="14" t="s">
        <v>106</v>
      </c>
      <c r="U892" s="14" t="n">
        <v>2026</v>
      </c>
      <c r="V892" s="12" t="s">
        <v>198</v>
      </c>
      <c r="W892" s="14"/>
      <c r="X892" s="15" t="n">
        <f aca="false">IF(OR($S892="%",$R892=""),"",$R892*INDEX(Cambi!$J$2:$J$5,MATCH($S892,Cambi!$I$2:$I$5,0))/IF($T892="EUR",1,INDEX(Cambi!$D:$D,MATCH($T892&amp;"|"&amp;$U892,Cambi!$C:$C,0))))</f>
        <v>4.7772</v>
      </c>
      <c r="Y892" s="12" t="s">
        <v>108</v>
      </c>
      <c r="Z892" s="12" t="s">
        <v>117</v>
      </c>
      <c r="AA892" s="12" t="s">
        <v>109</v>
      </c>
      <c r="AB892" s="16" t="s">
        <v>394</v>
      </c>
      <c r="AC892" s="16" t="s">
        <v>4915</v>
      </c>
      <c r="AD892" s="12" t="s">
        <v>112</v>
      </c>
      <c r="AE892" s="12" t="s">
        <v>4916</v>
      </c>
      <c r="AF892" s="12" t="s">
        <v>4917</v>
      </c>
      <c r="AG892" s="12" t="s">
        <v>115</v>
      </c>
      <c r="AH892" s="12" t="s">
        <v>116</v>
      </c>
      <c r="AI892" s="12" t="s">
        <v>285</v>
      </c>
      <c r="AJ892" s="12" t="s">
        <v>4920</v>
      </c>
      <c r="AK892" s="12" t="s">
        <v>4</v>
      </c>
    </row>
    <row r="893" customFormat="false" ht="15" hidden="false" customHeight="false" outlineLevel="0" collapsed="false">
      <c r="A893" s="11" t="n">
        <v>892</v>
      </c>
      <c r="B893" s="12" t="s">
        <v>4921</v>
      </c>
      <c r="C893" s="12" t="s">
        <v>4873</v>
      </c>
      <c r="D893" s="12" t="s">
        <v>4874</v>
      </c>
      <c r="E893" s="12" t="s">
        <v>759</v>
      </c>
      <c r="F893" s="12" t="s">
        <v>4922</v>
      </c>
      <c r="G893" s="12" t="s">
        <v>771</v>
      </c>
      <c r="H893" s="12" t="s">
        <v>4923</v>
      </c>
      <c r="I893" s="12" t="s">
        <v>2443</v>
      </c>
      <c r="J893" s="13" t="s">
        <v>4924</v>
      </c>
      <c r="K893" s="12"/>
      <c r="L893" s="12" t="s">
        <v>4925</v>
      </c>
      <c r="M893" s="12" t="s">
        <v>4926</v>
      </c>
      <c r="N893" s="12" t="s">
        <v>101</v>
      </c>
      <c r="O893" s="12" t="s">
        <v>102</v>
      </c>
      <c r="P893" s="12" t="s">
        <v>103</v>
      </c>
      <c r="Q893" s="12" t="s">
        <v>104</v>
      </c>
      <c r="R893" s="14" t="n">
        <v>9.92</v>
      </c>
      <c r="S893" s="14" t="s">
        <v>105</v>
      </c>
      <c r="T893" s="14" t="s">
        <v>106</v>
      </c>
      <c r="U893" s="14" t="n">
        <v>2025</v>
      </c>
      <c r="V893" s="12" t="s">
        <v>157</v>
      </c>
      <c r="W893" s="14"/>
      <c r="X893" s="15" t="n">
        <f aca="false">IF(OR($S893="%",$R893=""),"",$R893*INDEX(Cambi!$J$2:$J$5,MATCH($S893,Cambi!$I$2:$I$5,0))/IF($T893="EUR",1,INDEX(Cambi!$D:$D,MATCH($T893&amp;"|"&amp;$U893,Cambi!$C:$C,0))))</f>
        <v>9.92</v>
      </c>
      <c r="Y893" s="12" t="s">
        <v>239</v>
      </c>
      <c r="Z893" s="12" t="s">
        <v>109</v>
      </c>
      <c r="AA893" s="12" t="s">
        <v>109</v>
      </c>
      <c r="AB893" s="16" t="s">
        <v>394</v>
      </c>
      <c r="AC893" s="16" t="s">
        <v>4927</v>
      </c>
      <c r="AD893" s="12" t="s">
        <v>112</v>
      </c>
      <c r="AE893" s="12" t="s">
        <v>4928</v>
      </c>
      <c r="AF893" s="12" t="s">
        <v>4929</v>
      </c>
      <c r="AG893" s="12" t="s">
        <v>115</v>
      </c>
      <c r="AH893" s="12" t="s">
        <v>116</v>
      </c>
      <c r="AI893" s="12" t="s">
        <v>117</v>
      </c>
      <c r="AJ893" s="12" t="s">
        <v>4930</v>
      </c>
      <c r="AK893" s="12" t="s">
        <v>4</v>
      </c>
    </row>
    <row r="894" customFormat="false" ht="15" hidden="false" customHeight="false" outlineLevel="0" collapsed="false">
      <c r="A894" s="11" t="n">
        <v>893</v>
      </c>
      <c r="B894" s="12" t="s">
        <v>4921</v>
      </c>
      <c r="C894" s="12" t="s">
        <v>4873</v>
      </c>
      <c r="D894" s="12" t="s">
        <v>4874</v>
      </c>
      <c r="E894" s="12" t="s">
        <v>759</v>
      </c>
      <c r="F894" s="12" t="s">
        <v>4922</v>
      </c>
      <c r="G894" s="12" t="s">
        <v>771</v>
      </c>
      <c r="H894" s="12" t="s">
        <v>4923</v>
      </c>
      <c r="I894" s="12" t="s">
        <v>2443</v>
      </c>
      <c r="J894" s="13" t="s">
        <v>4924</v>
      </c>
      <c r="K894" s="12"/>
      <c r="L894" s="12" t="s">
        <v>4931</v>
      </c>
      <c r="M894" s="12" t="s">
        <v>4932</v>
      </c>
      <c r="N894" s="12" t="s">
        <v>101</v>
      </c>
      <c r="O894" s="12" t="s">
        <v>102</v>
      </c>
      <c r="P894" s="12" t="s">
        <v>103</v>
      </c>
      <c r="Q894" s="12" t="s">
        <v>104</v>
      </c>
      <c r="R894" s="14" t="n">
        <v>4.14</v>
      </c>
      <c r="S894" s="14" t="s">
        <v>105</v>
      </c>
      <c r="T894" s="14" t="s">
        <v>106</v>
      </c>
      <c r="U894" s="14" t="n">
        <v>2025</v>
      </c>
      <c r="V894" s="12" t="s">
        <v>157</v>
      </c>
      <c r="W894" s="14"/>
      <c r="X894" s="15" t="n">
        <f aca="false">IF(OR($S894="%",$R894=""),"",$R894*INDEX(Cambi!$J$2:$J$5,MATCH($S894,Cambi!$I$2:$I$5,0))/IF($T894="EUR",1,INDEX(Cambi!$D:$D,MATCH($T894&amp;"|"&amp;$U894,Cambi!$C:$C,0))))</f>
        <v>4.14</v>
      </c>
      <c r="Y894" s="12" t="s">
        <v>130</v>
      </c>
      <c r="Z894" s="12" t="s">
        <v>109</v>
      </c>
      <c r="AA894" s="12" t="s">
        <v>109</v>
      </c>
      <c r="AB894" s="16" t="s">
        <v>394</v>
      </c>
      <c r="AC894" s="16" t="s">
        <v>4933</v>
      </c>
      <c r="AD894" s="12" t="s">
        <v>112</v>
      </c>
      <c r="AE894" s="12" t="s">
        <v>4928</v>
      </c>
      <c r="AF894" s="12" t="s">
        <v>4934</v>
      </c>
      <c r="AG894" s="12" t="s">
        <v>115</v>
      </c>
      <c r="AH894" s="12" t="s">
        <v>116</v>
      </c>
      <c r="AI894" s="12" t="s">
        <v>117</v>
      </c>
      <c r="AJ894" s="12" t="s">
        <v>4935</v>
      </c>
      <c r="AK894" s="12" t="s">
        <v>4</v>
      </c>
    </row>
    <row r="895" customFormat="false" ht="15" hidden="false" customHeight="false" outlineLevel="0" collapsed="false">
      <c r="A895" s="11" t="n">
        <v>894</v>
      </c>
      <c r="B895" s="12" t="s">
        <v>4921</v>
      </c>
      <c r="C895" s="12" t="s">
        <v>4873</v>
      </c>
      <c r="D895" s="12" t="s">
        <v>4874</v>
      </c>
      <c r="E895" s="12" t="s">
        <v>759</v>
      </c>
      <c r="F895" s="12" t="s">
        <v>4922</v>
      </c>
      <c r="G895" s="12" t="s">
        <v>771</v>
      </c>
      <c r="H895" s="12" t="s">
        <v>4923</v>
      </c>
      <c r="I895" s="12" t="s">
        <v>2443</v>
      </c>
      <c r="J895" s="13" t="s">
        <v>4924</v>
      </c>
      <c r="K895" s="12"/>
      <c r="L895" s="12" t="s">
        <v>4936</v>
      </c>
      <c r="M895" s="12" t="s">
        <v>4937</v>
      </c>
      <c r="N895" s="12" t="s">
        <v>101</v>
      </c>
      <c r="O895" s="12" t="s">
        <v>102</v>
      </c>
      <c r="P895" s="12" t="s">
        <v>103</v>
      </c>
      <c r="Q895" s="12" t="s">
        <v>104</v>
      </c>
      <c r="R895" s="14" t="n">
        <v>3.75</v>
      </c>
      <c r="S895" s="14" t="s">
        <v>105</v>
      </c>
      <c r="T895" s="14" t="s">
        <v>106</v>
      </c>
      <c r="U895" s="14" t="n">
        <v>2025</v>
      </c>
      <c r="V895" s="12" t="s">
        <v>157</v>
      </c>
      <c r="W895" s="14"/>
      <c r="X895" s="15" t="n">
        <f aca="false">IF(OR($S895="%",$R895=""),"",$R895*INDEX(Cambi!$J$2:$J$5,MATCH($S895,Cambi!$I$2:$I$5,0))/IF($T895="EUR",1,INDEX(Cambi!$D:$D,MATCH($T895&amp;"|"&amp;$U895,Cambi!$C:$C,0))))</f>
        <v>3.75</v>
      </c>
      <c r="Y895" s="12" t="s">
        <v>108</v>
      </c>
      <c r="Z895" s="12" t="s">
        <v>117</v>
      </c>
      <c r="AA895" s="12" t="s">
        <v>109</v>
      </c>
      <c r="AB895" s="16" t="s">
        <v>394</v>
      </c>
      <c r="AC895" s="16" t="s">
        <v>4938</v>
      </c>
      <c r="AD895" s="12" t="s">
        <v>112</v>
      </c>
      <c r="AE895" s="12" t="s">
        <v>4928</v>
      </c>
      <c r="AF895" s="12" t="s">
        <v>4939</v>
      </c>
      <c r="AG895" s="12" t="s">
        <v>115</v>
      </c>
      <c r="AH895" s="12" t="s">
        <v>116</v>
      </c>
      <c r="AI895" s="12" t="s">
        <v>117</v>
      </c>
      <c r="AJ895" s="12" t="s">
        <v>4940</v>
      </c>
      <c r="AK895" s="12" t="s">
        <v>4</v>
      </c>
    </row>
    <row r="896" customFormat="false" ht="15" hidden="false" customHeight="false" outlineLevel="0" collapsed="false">
      <c r="A896" s="11" t="n">
        <v>895</v>
      </c>
      <c r="B896" s="12" t="s">
        <v>3188</v>
      </c>
      <c r="C896" s="12" t="s">
        <v>4941</v>
      </c>
      <c r="D896" s="12" t="s">
        <v>4942</v>
      </c>
      <c r="E896" s="12" t="s">
        <v>759</v>
      </c>
      <c r="F896" s="12" t="s">
        <v>3189</v>
      </c>
      <c r="G896" s="12" t="s">
        <v>1876</v>
      </c>
      <c r="H896" s="12" t="s">
        <v>3190</v>
      </c>
      <c r="I896" s="12" t="s">
        <v>3191</v>
      </c>
      <c r="J896" s="13" t="s">
        <v>3192</v>
      </c>
      <c r="K896" s="12" t="s">
        <v>3193</v>
      </c>
      <c r="L896" s="12" t="s">
        <v>3194</v>
      </c>
      <c r="M896" s="12" t="s">
        <v>4943</v>
      </c>
      <c r="N896" s="12" t="s">
        <v>956</v>
      </c>
      <c r="O896" s="12" t="s">
        <v>244</v>
      </c>
      <c r="P896" s="12" t="s">
        <v>103</v>
      </c>
      <c r="Q896" s="12" t="s">
        <v>104</v>
      </c>
      <c r="R896" s="14" t="n">
        <v>1.3</v>
      </c>
      <c r="S896" s="14" t="s">
        <v>105</v>
      </c>
      <c r="T896" s="14" t="s">
        <v>106</v>
      </c>
      <c r="U896" s="14" t="n">
        <v>2022</v>
      </c>
      <c r="V896" s="12" t="s">
        <v>157</v>
      </c>
      <c r="W896" s="14"/>
      <c r="X896" s="15" t="n">
        <f aca="false">IF(OR($S896="%",$R896=""),"",$R896*INDEX(Cambi!$J$2:$J$5,MATCH($S896,Cambi!$I$2:$I$5,0))/IF($T896="EUR",1,INDEX(Cambi!$D:$D,MATCH($T896&amp;"|"&amp;$U896,Cambi!$C:$C,0))))</f>
        <v>1.3</v>
      </c>
      <c r="Y896" s="12" t="s">
        <v>109</v>
      </c>
      <c r="Z896" s="12" t="s">
        <v>109</v>
      </c>
      <c r="AA896" s="12" t="s">
        <v>109</v>
      </c>
      <c r="AB896" s="16" t="s">
        <v>679</v>
      </c>
      <c r="AC896" s="16" t="s">
        <v>3196</v>
      </c>
      <c r="AD896" s="12" t="s">
        <v>617</v>
      </c>
      <c r="AE896" s="12" t="s">
        <v>3197</v>
      </c>
      <c r="AF896" s="12" t="s">
        <v>3198</v>
      </c>
      <c r="AG896" s="12" t="s">
        <v>498</v>
      </c>
      <c r="AH896" s="12" t="s">
        <v>116</v>
      </c>
      <c r="AI896" s="12" t="s">
        <v>117</v>
      </c>
      <c r="AJ896" s="12" t="s">
        <v>4944</v>
      </c>
      <c r="AK896" s="12" t="s">
        <v>4</v>
      </c>
    </row>
    <row r="897" customFormat="false" ht="15" hidden="false" customHeight="false" outlineLevel="0" collapsed="false">
      <c r="A897" s="11" t="n">
        <v>896</v>
      </c>
      <c r="B897" s="12" t="s">
        <v>4945</v>
      </c>
      <c r="C897" s="12" t="s">
        <v>4941</v>
      </c>
      <c r="D897" s="12" t="s">
        <v>4942</v>
      </c>
      <c r="E897" s="12" t="s">
        <v>759</v>
      </c>
      <c r="F897" s="12" t="s">
        <v>4946</v>
      </c>
      <c r="G897" s="12" t="s">
        <v>1055</v>
      </c>
      <c r="H897" s="12" t="s">
        <v>4947</v>
      </c>
      <c r="I897" s="12" t="s">
        <v>1629</v>
      </c>
      <c r="J897" s="13" t="s">
        <v>4948</v>
      </c>
      <c r="K897" s="12" t="s">
        <v>4949</v>
      </c>
      <c r="L897" s="12" t="s">
        <v>4950</v>
      </c>
      <c r="M897" s="12" t="s">
        <v>4951</v>
      </c>
      <c r="N897" s="12" t="s">
        <v>352</v>
      </c>
      <c r="O897" s="12" t="s">
        <v>102</v>
      </c>
      <c r="P897" s="12" t="s">
        <v>103</v>
      </c>
      <c r="Q897" s="12" t="s">
        <v>104</v>
      </c>
      <c r="R897" s="14" t="n">
        <v>3068</v>
      </c>
      <c r="S897" s="14" t="s">
        <v>105</v>
      </c>
      <c r="T897" s="14" t="s">
        <v>106</v>
      </c>
      <c r="U897" s="14" t="n">
        <v>2026</v>
      </c>
      <c r="V897" s="12" t="s">
        <v>198</v>
      </c>
      <c r="W897" s="14" t="s">
        <v>4952</v>
      </c>
      <c r="X897" s="15" t="n">
        <f aca="false">IF(OR($S897="%",$R897=""),"",$R897*INDEX(Cambi!$J$2:$J$5,MATCH($S897,Cambi!$I$2:$I$5,0))/IF($T897="EUR",1,INDEX(Cambi!$D:$D,MATCH($T897&amp;"|"&amp;$U897,Cambi!$C:$C,0))))</f>
        <v>3068</v>
      </c>
      <c r="Y897" s="12" t="s">
        <v>109</v>
      </c>
      <c r="Z897" s="12" t="s">
        <v>109</v>
      </c>
      <c r="AA897" s="12" t="s">
        <v>109</v>
      </c>
      <c r="AB897" s="16" t="s">
        <v>110</v>
      </c>
      <c r="AC897" s="16" t="s">
        <v>2665</v>
      </c>
      <c r="AD897" s="12" t="s">
        <v>112</v>
      </c>
      <c r="AE897" s="12" t="s">
        <v>282</v>
      </c>
      <c r="AF897" s="12" t="s">
        <v>4953</v>
      </c>
      <c r="AG897" s="12" t="s">
        <v>284</v>
      </c>
      <c r="AH897" s="12" t="s">
        <v>499</v>
      </c>
      <c r="AI897" s="12" t="s">
        <v>285</v>
      </c>
      <c r="AJ897" s="12" t="s">
        <v>4954</v>
      </c>
      <c r="AK897" s="12" t="s">
        <v>4</v>
      </c>
    </row>
    <row r="898" customFormat="false" ht="15" hidden="false" customHeight="false" outlineLevel="0" collapsed="false">
      <c r="A898" s="11" t="n">
        <v>897</v>
      </c>
      <c r="B898" s="12" t="s">
        <v>4955</v>
      </c>
      <c r="C898" s="12" t="s">
        <v>4941</v>
      </c>
      <c r="D898" s="12" t="s">
        <v>4942</v>
      </c>
      <c r="E898" s="12" t="s">
        <v>759</v>
      </c>
      <c r="F898" s="12" t="s">
        <v>4956</v>
      </c>
      <c r="G898" s="12" t="s">
        <v>1876</v>
      </c>
      <c r="H898" s="12" t="s">
        <v>4957</v>
      </c>
      <c r="I898" s="12" t="s">
        <v>583</v>
      </c>
      <c r="J898" s="13" t="s">
        <v>4958</v>
      </c>
      <c r="K898" s="12"/>
      <c r="L898" s="12" t="s">
        <v>4959</v>
      </c>
      <c r="M898" s="12" t="s">
        <v>4960</v>
      </c>
      <c r="N898" s="12" t="s">
        <v>352</v>
      </c>
      <c r="O898" s="12" t="s">
        <v>102</v>
      </c>
      <c r="P898" s="12" t="s">
        <v>103</v>
      </c>
      <c r="Q898" s="12" t="s">
        <v>104</v>
      </c>
      <c r="R898" s="14" t="n">
        <v>1700</v>
      </c>
      <c r="S898" s="14" t="s">
        <v>105</v>
      </c>
      <c r="T898" s="14" t="s">
        <v>106</v>
      </c>
      <c r="U898" s="14" t="n">
        <v>2021</v>
      </c>
      <c r="V898" s="12" t="s">
        <v>157</v>
      </c>
      <c r="W898" s="14" t="s">
        <v>4961</v>
      </c>
      <c r="X898" s="15" t="n">
        <f aca="false">IF(OR($S898="%",$R898=""),"",$R898*INDEX(Cambi!$J$2:$J$5,MATCH($S898,Cambi!$I$2:$I$5,0))/IF($T898="EUR",1,INDEX(Cambi!$D:$D,MATCH($T898&amp;"|"&amp;$U898,Cambi!$C:$C,0))))</f>
        <v>1700</v>
      </c>
      <c r="Y898" s="12" t="s">
        <v>109</v>
      </c>
      <c r="Z898" s="12" t="s">
        <v>109</v>
      </c>
      <c r="AA898" s="12" t="s">
        <v>4962</v>
      </c>
      <c r="AB898" s="12" t="s">
        <v>679</v>
      </c>
      <c r="AC898" s="12" t="s">
        <v>395</v>
      </c>
      <c r="AD898" s="12" t="s">
        <v>112</v>
      </c>
      <c r="AE898" s="12" t="s">
        <v>4963</v>
      </c>
      <c r="AF898" s="12" t="s">
        <v>4964</v>
      </c>
      <c r="AG898" s="12" t="s">
        <v>284</v>
      </c>
      <c r="AH898" s="12" t="s">
        <v>838</v>
      </c>
      <c r="AI898" s="12" t="s">
        <v>117</v>
      </c>
      <c r="AJ898" s="12" t="s">
        <v>4965</v>
      </c>
      <c r="AK898" s="12" t="s">
        <v>4</v>
      </c>
    </row>
    <row r="899" customFormat="false" ht="15" hidden="false" customHeight="false" outlineLevel="0" collapsed="false">
      <c r="A899" s="11" t="n">
        <v>898</v>
      </c>
      <c r="B899" s="12" t="s">
        <v>4955</v>
      </c>
      <c r="C899" s="12" t="s">
        <v>4941</v>
      </c>
      <c r="D899" s="12" t="s">
        <v>4942</v>
      </c>
      <c r="E899" s="12" t="s">
        <v>759</v>
      </c>
      <c r="F899" s="12" t="s">
        <v>4956</v>
      </c>
      <c r="G899" s="12" t="s">
        <v>1876</v>
      </c>
      <c r="H899" s="12" t="s">
        <v>4957</v>
      </c>
      <c r="I899" s="12" t="s">
        <v>583</v>
      </c>
      <c r="J899" s="13" t="s">
        <v>4958</v>
      </c>
      <c r="K899" s="12"/>
      <c r="L899" s="12" t="s">
        <v>4966</v>
      </c>
      <c r="M899" s="12" t="s">
        <v>4967</v>
      </c>
      <c r="N899" s="12" t="s">
        <v>352</v>
      </c>
      <c r="O899" s="12" t="s">
        <v>196</v>
      </c>
      <c r="P899" s="12" t="s">
        <v>155</v>
      </c>
      <c r="Q899" s="12" t="s">
        <v>4968</v>
      </c>
      <c r="R899" s="14" t="n">
        <v>72</v>
      </c>
      <c r="S899" s="14" t="s">
        <v>197</v>
      </c>
      <c r="T899" s="14"/>
      <c r="U899" s="14" t="n">
        <v>2022</v>
      </c>
      <c r="V899" s="12" t="s">
        <v>157</v>
      </c>
      <c r="W899" s="14"/>
      <c r="X899" s="15" t="str">
        <f aca="false">IF(OR($S899="%",$R899=""),"",$R899*INDEX(Cambi!$J$2:$J$5,MATCH($S899,Cambi!$I$2:$I$5,0))/IF($T899="EUR",1,INDEX(Cambi!$D:$D,MATCH($T899&amp;"|"&amp;$U899,Cambi!$C:$C,0))))</f>
        <v/>
      </c>
      <c r="Y899" s="12" t="s">
        <v>109</v>
      </c>
      <c r="Z899" s="12" t="s">
        <v>109</v>
      </c>
      <c r="AA899" s="12" t="s">
        <v>4962</v>
      </c>
      <c r="AB899" s="12" t="s">
        <v>679</v>
      </c>
      <c r="AC899" s="12" t="s">
        <v>395</v>
      </c>
      <c r="AD899" s="12" t="s">
        <v>112</v>
      </c>
      <c r="AE899" s="12" t="s">
        <v>4963</v>
      </c>
      <c r="AF899" s="12" t="s">
        <v>4969</v>
      </c>
      <c r="AG899" s="12" t="s">
        <v>284</v>
      </c>
      <c r="AH899" s="12" t="s">
        <v>838</v>
      </c>
      <c r="AI899" s="12" t="s">
        <v>117</v>
      </c>
      <c r="AJ899" s="12" t="s">
        <v>4970</v>
      </c>
      <c r="AK899" s="12" t="s">
        <v>4</v>
      </c>
    </row>
    <row r="900" customFormat="false" ht="15" hidden="false" customHeight="false" outlineLevel="0" collapsed="false">
      <c r="A900" s="11" t="n">
        <v>899</v>
      </c>
      <c r="B900" s="12" t="s">
        <v>4955</v>
      </c>
      <c r="C900" s="12" t="s">
        <v>4941</v>
      </c>
      <c r="D900" s="12" t="s">
        <v>4942</v>
      </c>
      <c r="E900" s="12" t="s">
        <v>759</v>
      </c>
      <c r="F900" s="12" t="s">
        <v>4956</v>
      </c>
      <c r="G900" s="12" t="s">
        <v>1876</v>
      </c>
      <c r="H900" s="12" t="s">
        <v>4957</v>
      </c>
      <c r="I900" s="12" t="s">
        <v>583</v>
      </c>
      <c r="J900" s="13" t="s">
        <v>4958</v>
      </c>
      <c r="K900" s="12"/>
      <c r="L900" s="12" t="s">
        <v>4971</v>
      </c>
      <c r="M900" s="12" t="s">
        <v>4972</v>
      </c>
      <c r="N900" s="12" t="s">
        <v>352</v>
      </c>
      <c r="O900" s="12" t="s">
        <v>102</v>
      </c>
      <c r="P900" s="12" t="s">
        <v>103</v>
      </c>
      <c r="Q900" s="12" t="s">
        <v>104</v>
      </c>
      <c r="R900" s="14" t="n">
        <v>1950</v>
      </c>
      <c r="S900" s="14" t="s">
        <v>105</v>
      </c>
      <c r="T900" s="14" t="s">
        <v>106</v>
      </c>
      <c r="U900" s="14" t="n">
        <v>2022</v>
      </c>
      <c r="V900" s="12" t="s">
        <v>157</v>
      </c>
      <c r="W900" s="14" t="s">
        <v>4973</v>
      </c>
      <c r="X900" s="15" t="n">
        <f aca="false">IF(OR($S900="%",$R900=""),"",$R900*INDEX(Cambi!$J$2:$J$5,MATCH($S900,Cambi!$I$2:$I$5,0))/IF($T900="EUR",1,INDEX(Cambi!$D:$D,MATCH($T900&amp;"|"&amp;$U900,Cambi!$C:$C,0))))</f>
        <v>1950</v>
      </c>
      <c r="Y900" s="12" t="s">
        <v>109</v>
      </c>
      <c r="Z900" s="12" t="s">
        <v>109</v>
      </c>
      <c r="AA900" s="12" t="s">
        <v>4962</v>
      </c>
      <c r="AB900" s="12" t="s">
        <v>679</v>
      </c>
      <c r="AC900" s="12" t="s">
        <v>395</v>
      </c>
      <c r="AD900" s="12" t="s">
        <v>112</v>
      </c>
      <c r="AE900" s="12" t="s">
        <v>4963</v>
      </c>
      <c r="AF900" s="12" t="s">
        <v>4974</v>
      </c>
      <c r="AG900" s="12" t="s">
        <v>284</v>
      </c>
      <c r="AH900" s="12" t="s">
        <v>838</v>
      </c>
      <c r="AI900" s="12" t="s">
        <v>117</v>
      </c>
      <c r="AJ900" s="12" t="s">
        <v>4975</v>
      </c>
      <c r="AK900" s="12" t="s">
        <v>4</v>
      </c>
    </row>
    <row r="901" customFormat="false" ht="15" hidden="false" customHeight="false" outlineLevel="0" collapsed="false">
      <c r="A901" s="11" t="n">
        <v>900</v>
      </c>
      <c r="B901" s="12" t="s">
        <v>4976</v>
      </c>
      <c r="C901" s="12" t="s">
        <v>4941</v>
      </c>
      <c r="D901" s="12" t="s">
        <v>4942</v>
      </c>
      <c r="E901" s="12" t="s">
        <v>759</v>
      </c>
      <c r="F901" s="12" t="s">
        <v>4956</v>
      </c>
      <c r="G901" s="12" t="s">
        <v>1876</v>
      </c>
      <c r="H901" s="12" t="s">
        <v>4977</v>
      </c>
      <c r="I901" s="12" t="s">
        <v>181</v>
      </c>
      <c r="J901" s="13" t="s">
        <v>4978</v>
      </c>
      <c r="K901" s="12"/>
      <c r="L901" s="12" t="s">
        <v>4979</v>
      </c>
      <c r="M901" s="12" t="s">
        <v>4980</v>
      </c>
      <c r="N901" s="12" t="s">
        <v>352</v>
      </c>
      <c r="O901" s="12" t="s">
        <v>213</v>
      </c>
      <c r="P901" s="12" t="s">
        <v>103</v>
      </c>
      <c r="Q901" s="12" t="s">
        <v>104</v>
      </c>
      <c r="R901" s="14" t="n">
        <v>13.8</v>
      </c>
      <c r="S901" s="14" t="s">
        <v>197</v>
      </c>
      <c r="T901" s="14"/>
      <c r="U901" s="14" t="n">
        <v>2023</v>
      </c>
      <c r="V901" s="12" t="s">
        <v>157</v>
      </c>
      <c r="W901" s="14" t="s">
        <v>4981</v>
      </c>
      <c r="X901" s="15" t="str">
        <f aca="false">IF(OR($S901="%",$R901=""),"",$R901*INDEX(Cambi!$J$2:$J$5,MATCH($S901,Cambi!$I$2:$I$5,0))/IF($T901="EUR",1,INDEX(Cambi!$D:$D,MATCH($T901&amp;"|"&amp;$U901,Cambi!$C:$C,0))))</f>
        <v/>
      </c>
      <c r="Y901" s="12" t="s">
        <v>109</v>
      </c>
      <c r="Z901" s="12" t="s">
        <v>109</v>
      </c>
      <c r="AA901" s="12" t="s">
        <v>4962</v>
      </c>
      <c r="AB901" s="12" t="s">
        <v>679</v>
      </c>
      <c r="AC901" s="12" t="s">
        <v>395</v>
      </c>
      <c r="AD901" s="12" t="s">
        <v>112</v>
      </c>
      <c r="AE901" s="12" t="s">
        <v>4963</v>
      </c>
      <c r="AF901" s="12" t="s">
        <v>4982</v>
      </c>
      <c r="AG901" s="12" t="s">
        <v>284</v>
      </c>
      <c r="AH901" s="12" t="s">
        <v>838</v>
      </c>
      <c r="AI901" s="12" t="s">
        <v>117</v>
      </c>
      <c r="AJ901" s="12" t="s">
        <v>266</v>
      </c>
      <c r="AK901" s="12" t="s">
        <v>4</v>
      </c>
    </row>
    <row r="902" customFormat="false" ht="15" hidden="false" customHeight="false" outlineLevel="0" collapsed="false">
      <c r="A902" s="11" t="n">
        <v>901</v>
      </c>
      <c r="B902" s="12" t="s">
        <v>4976</v>
      </c>
      <c r="C902" s="12" t="s">
        <v>4941</v>
      </c>
      <c r="D902" s="12" t="s">
        <v>4942</v>
      </c>
      <c r="E902" s="12" t="s">
        <v>759</v>
      </c>
      <c r="F902" s="12" t="s">
        <v>4956</v>
      </c>
      <c r="G902" s="12" t="s">
        <v>1876</v>
      </c>
      <c r="H902" s="12" t="s">
        <v>4977</v>
      </c>
      <c r="I902" s="12" t="s">
        <v>181</v>
      </c>
      <c r="J902" s="13" t="s">
        <v>4978</v>
      </c>
      <c r="K902" s="12"/>
      <c r="L902" s="12" t="s">
        <v>4959</v>
      </c>
      <c r="M902" s="12" t="s">
        <v>4983</v>
      </c>
      <c r="N902" s="12" t="s">
        <v>352</v>
      </c>
      <c r="O902" s="12" t="s">
        <v>102</v>
      </c>
      <c r="P902" s="12" t="s">
        <v>103</v>
      </c>
      <c r="Q902" s="12" t="s">
        <v>104</v>
      </c>
      <c r="R902" s="14" t="n">
        <v>2190</v>
      </c>
      <c r="S902" s="14" t="s">
        <v>105</v>
      </c>
      <c r="T902" s="14" t="s">
        <v>106</v>
      </c>
      <c r="U902" s="14" t="n">
        <v>2023</v>
      </c>
      <c r="V902" s="12" t="s">
        <v>157</v>
      </c>
      <c r="W902" s="14" t="s">
        <v>4984</v>
      </c>
      <c r="X902" s="15" t="n">
        <f aca="false">IF(OR($S902="%",$R902=""),"",$R902*INDEX(Cambi!$J$2:$J$5,MATCH($S902,Cambi!$I$2:$I$5,0))/IF($T902="EUR",1,INDEX(Cambi!$D:$D,MATCH($T902&amp;"|"&amp;$U902,Cambi!$C:$C,0))))</f>
        <v>2190</v>
      </c>
      <c r="Y902" s="12" t="s">
        <v>109</v>
      </c>
      <c r="Z902" s="12" t="s">
        <v>109</v>
      </c>
      <c r="AA902" s="12" t="s">
        <v>4962</v>
      </c>
      <c r="AB902" s="12" t="s">
        <v>679</v>
      </c>
      <c r="AC902" s="12" t="s">
        <v>395</v>
      </c>
      <c r="AD902" s="12" t="s">
        <v>112</v>
      </c>
      <c r="AE902" s="12" t="s">
        <v>4963</v>
      </c>
      <c r="AF902" s="12" t="s">
        <v>4985</v>
      </c>
      <c r="AG902" s="12" t="s">
        <v>284</v>
      </c>
      <c r="AH902" s="12" t="s">
        <v>838</v>
      </c>
      <c r="AI902" s="12" t="s">
        <v>117</v>
      </c>
      <c r="AJ902" s="12" t="s">
        <v>4986</v>
      </c>
      <c r="AK902" s="12" t="s">
        <v>4</v>
      </c>
    </row>
    <row r="903" customFormat="false" ht="15" hidden="false" customHeight="false" outlineLevel="0" collapsed="false">
      <c r="A903" s="11" t="n">
        <v>902</v>
      </c>
      <c r="B903" s="12" t="s">
        <v>4976</v>
      </c>
      <c r="C903" s="12" t="s">
        <v>4941</v>
      </c>
      <c r="D903" s="12" t="s">
        <v>4942</v>
      </c>
      <c r="E903" s="12" t="s">
        <v>759</v>
      </c>
      <c r="F903" s="12" t="s">
        <v>4956</v>
      </c>
      <c r="G903" s="12" t="s">
        <v>1876</v>
      </c>
      <c r="H903" s="12" t="s">
        <v>4977</v>
      </c>
      <c r="I903" s="12" t="s">
        <v>181</v>
      </c>
      <c r="J903" s="13" t="s">
        <v>4978</v>
      </c>
      <c r="K903" s="12"/>
      <c r="L903" s="12" t="s">
        <v>4987</v>
      </c>
      <c r="M903" s="12" t="s">
        <v>4988</v>
      </c>
      <c r="N903" s="12" t="s">
        <v>352</v>
      </c>
      <c r="O903" s="12" t="s">
        <v>213</v>
      </c>
      <c r="P903" s="12" t="s">
        <v>103</v>
      </c>
      <c r="Q903" s="12" t="s">
        <v>104</v>
      </c>
      <c r="R903" s="14" t="n">
        <v>14.2</v>
      </c>
      <c r="S903" s="14" t="s">
        <v>197</v>
      </c>
      <c r="T903" s="14"/>
      <c r="U903" s="14" t="n">
        <v>2024</v>
      </c>
      <c r="V903" s="12" t="s">
        <v>157</v>
      </c>
      <c r="W903" s="14" t="s">
        <v>4989</v>
      </c>
      <c r="X903" s="15" t="str">
        <f aca="false">IF(OR($S903="%",$R903=""),"",$R903*INDEX(Cambi!$J$2:$J$5,MATCH($S903,Cambi!$I$2:$I$5,0))/IF($T903="EUR",1,INDEX(Cambi!$D:$D,MATCH($T903&amp;"|"&amp;$U903,Cambi!$C:$C,0))))</f>
        <v/>
      </c>
      <c r="Y903" s="12" t="s">
        <v>109</v>
      </c>
      <c r="Z903" s="12" t="s">
        <v>109</v>
      </c>
      <c r="AA903" s="12" t="s">
        <v>4962</v>
      </c>
      <c r="AB903" s="12" t="s">
        <v>679</v>
      </c>
      <c r="AC903" s="12" t="s">
        <v>395</v>
      </c>
      <c r="AD903" s="12" t="s">
        <v>112</v>
      </c>
      <c r="AE903" s="12" t="s">
        <v>4963</v>
      </c>
      <c r="AF903" s="12" t="s">
        <v>4990</v>
      </c>
      <c r="AG903" s="12" t="s">
        <v>284</v>
      </c>
      <c r="AH903" s="12" t="s">
        <v>838</v>
      </c>
      <c r="AI903" s="12" t="s">
        <v>117</v>
      </c>
      <c r="AJ903" s="12" t="s">
        <v>266</v>
      </c>
      <c r="AK903" s="12" t="s">
        <v>4</v>
      </c>
    </row>
    <row r="904" customFormat="false" ht="15" hidden="false" customHeight="false" outlineLevel="0" collapsed="false">
      <c r="A904" s="11" t="n">
        <v>903</v>
      </c>
      <c r="B904" s="12" t="s">
        <v>4976</v>
      </c>
      <c r="C904" s="12" t="s">
        <v>4941</v>
      </c>
      <c r="D904" s="12" t="s">
        <v>4942</v>
      </c>
      <c r="E904" s="12" t="s">
        <v>759</v>
      </c>
      <c r="F904" s="12" t="s">
        <v>4956</v>
      </c>
      <c r="G904" s="12" t="s">
        <v>1876</v>
      </c>
      <c r="H904" s="12" t="s">
        <v>4977</v>
      </c>
      <c r="I904" s="12" t="s">
        <v>181</v>
      </c>
      <c r="J904" s="13" t="s">
        <v>4978</v>
      </c>
      <c r="K904" s="12"/>
      <c r="L904" s="12" t="s">
        <v>4991</v>
      </c>
      <c r="M904" s="12" t="s">
        <v>4992</v>
      </c>
      <c r="N904" s="12" t="s">
        <v>352</v>
      </c>
      <c r="O904" s="12" t="s">
        <v>102</v>
      </c>
      <c r="P904" s="12" t="s">
        <v>103</v>
      </c>
      <c r="Q904" s="12" t="s">
        <v>104</v>
      </c>
      <c r="R904" s="14" t="n">
        <v>2500</v>
      </c>
      <c r="S904" s="14" t="s">
        <v>105</v>
      </c>
      <c r="T904" s="14" t="s">
        <v>106</v>
      </c>
      <c r="U904" s="14" t="n">
        <v>2024</v>
      </c>
      <c r="V904" s="12" t="s">
        <v>157</v>
      </c>
      <c r="W904" s="14" t="s">
        <v>4993</v>
      </c>
      <c r="X904" s="15" t="n">
        <f aca="false">IF(OR($S904="%",$R904=""),"",$R904*INDEX(Cambi!$J$2:$J$5,MATCH($S904,Cambi!$I$2:$I$5,0))/IF($T904="EUR",1,INDEX(Cambi!$D:$D,MATCH($T904&amp;"|"&amp;$U904,Cambi!$C:$C,0))))</f>
        <v>2500</v>
      </c>
      <c r="Y904" s="12" t="s">
        <v>109</v>
      </c>
      <c r="Z904" s="12" t="s">
        <v>109</v>
      </c>
      <c r="AA904" s="12" t="s">
        <v>4962</v>
      </c>
      <c r="AB904" s="12" t="s">
        <v>679</v>
      </c>
      <c r="AC904" s="12" t="s">
        <v>395</v>
      </c>
      <c r="AD904" s="12" t="s">
        <v>112</v>
      </c>
      <c r="AE904" s="12" t="s">
        <v>4963</v>
      </c>
      <c r="AF904" s="12" t="s">
        <v>4994</v>
      </c>
      <c r="AG904" s="12" t="s">
        <v>284</v>
      </c>
      <c r="AH904" s="12" t="s">
        <v>838</v>
      </c>
      <c r="AI904" s="12" t="s">
        <v>117</v>
      </c>
      <c r="AJ904" s="12" t="s">
        <v>4995</v>
      </c>
      <c r="AK904" s="12" t="s">
        <v>4</v>
      </c>
    </row>
    <row r="905" customFormat="false" ht="15" hidden="false" customHeight="false" outlineLevel="0" collapsed="false">
      <c r="A905" s="11" t="n">
        <v>904</v>
      </c>
      <c r="B905" s="12" t="s">
        <v>4976</v>
      </c>
      <c r="C905" s="12" t="s">
        <v>4941</v>
      </c>
      <c r="D905" s="12" t="s">
        <v>4942</v>
      </c>
      <c r="E905" s="12" t="s">
        <v>759</v>
      </c>
      <c r="F905" s="12" t="s">
        <v>4956</v>
      </c>
      <c r="G905" s="12" t="s">
        <v>1876</v>
      </c>
      <c r="H905" s="12" t="s">
        <v>4977</v>
      </c>
      <c r="I905" s="12" t="s">
        <v>181</v>
      </c>
      <c r="J905" s="13" t="s">
        <v>4978</v>
      </c>
      <c r="K905" s="12"/>
      <c r="L905" s="12" t="s">
        <v>4996</v>
      </c>
      <c r="M905" s="12" t="s">
        <v>4997</v>
      </c>
      <c r="N905" s="12" t="s">
        <v>352</v>
      </c>
      <c r="O905" s="12" t="s">
        <v>213</v>
      </c>
      <c r="P905" s="12" t="s">
        <v>103</v>
      </c>
      <c r="Q905" s="12" t="s">
        <v>104</v>
      </c>
      <c r="R905" s="14" t="n">
        <v>14</v>
      </c>
      <c r="S905" s="14" t="s">
        <v>197</v>
      </c>
      <c r="T905" s="14"/>
      <c r="U905" s="14" t="n">
        <v>2025</v>
      </c>
      <c r="V905" s="12" t="s">
        <v>198</v>
      </c>
      <c r="W905" s="14" t="s">
        <v>4998</v>
      </c>
      <c r="X905" s="15" t="str">
        <f aca="false">IF(OR($S905="%",$R905=""),"",$R905*INDEX(Cambi!$J$2:$J$5,MATCH($S905,Cambi!$I$2:$I$5,0))/IF($T905="EUR",1,INDEX(Cambi!$D:$D,MATCH($T905&amp;"|"&amp;$U905,Cambi!$C:$C,0))))</f>
        <v/>
      </c>
      <c r="Y905" s="12" t="s">
        <v>109</v>
      </c>
      <c r="Z905" s="12" t="s">
        <v>109</v>
      </c>
      <c r="AA905" s="12" t="s">
        <v>4962</v>
      </c>
      <c r="AB905" s="12" t="s">
        <v>679</v>
      </c>
      <c r="AC905" s="12" t="s">
        <v>395</v>
      </c>
      <c r="AD905" s="12" t="s">
        <v>112</v>
      </c>
      <c r="AE905" s="12" t="s">
        <v>4963</v>
      </c>
      <c r="AF905" s="12" t="s">
        <v>4999</v>
      </c>
      <c r="AG905" s="12" t="s">
        <v>284</v>
      </c>
      <c r="AH905" s="12" t="s">
        <v>838</v>
      </c>
      <c r="AI905" s="12" t="s">
        <v>117</v>
      </c>
      <c r="AJ905" s="12" t="s">
        <v>266</v>
      </c>
      <c r="AK905" s="12" t="s">
        <v>4</v>
      </c>
    </row>
    <row r="906" customFormat="false" ht="15" hidden="false" customHeight="false" outlineLevel="0" collapsed="false">
      <c r="A906" s="11" t="n">
        <v>905</v>
      </c>
      <c r="B906" s="12" t="s">
        <v>4976</v>
      </c>
      <c r="C906" s="12" t="s">
        <v>4941</v>
      </c>
      <c r="D906" s="12" t="s">
        <v>4942</v>
      </c>
      <c r="E906" s="12" t="s">
        <v>759</v>
      </c>
      <c r="F906" s="12" t="s">
        <v>4956</v>
      </c>
      <c r="G906" s="12" t="s">
        <v>1876</v>
      </c>
      <c r="H906" s="12" t="s">
        <v>4977</v>
      </c>
      <c r="I906" s="12" t="s">
        <v>181</v>
      </c>
      <c r="J906" s="13" t="s">
        <v>4978</v>
      </c>
      <c r="K906" s="12"/>
      <c r="L906" s="12" t="s">
        <v>5000</v>
      </c>
      <c r="M906" s="12" t="s">
        <v>5001</v>
      </c>
      <c r="N906" s="12" t="s">
        <v>352</v>
      </c>
      <c r="O906" s="12" t="s">
        <v>102</v>
      </c>
      <c r="P906" s="12" t="s">
        <v>103</v>
      </c>
      <c r="Q906" s="12" t="s">
        <v>104</v>
      </c>
      <c r="R906" s="14" t="n">
        <v>3000</v>
      </c>
      <c r="S906" s="14" t="s">
        <v>105</v>
      </c>
      <c r="T906" s="14" t="s">
        <v>106</v>
      </c>
      <c r="U906" s="14" t="n">
        <v>2026</v>
      </c>
      <c r="V906" s="12" t="s">
        <v>107</v>
      </c>
      <c r="W906" s="14" t="s">
        <v>5002</v>
      </c>
      <c r="X906" s="15" t="n">
        <f aca="false">IF(OR($S906="%",$R906=""),"",$R906*INDEX(Cambi!$J$2:$J$5,MATCH($S906,Cambi!$I$2:$I$5,0))/IF($T906="EUR",1,INDEX(Cambi!$D:$D,MATCH($T906&amp;"|"&amp;$U906,Cambi!$C:$C,0))))</f>
        <v>3000</v>
      </c>
      <c r="Y906" s="12" t="s">
        <v>109</v>
      </c>
      <c r="Z906" s="12" t="s">
        <v>109</v>
      </c>
      <c r="AA906" s="12" t="s">
        <v>4962</v>
      </c>
      <c r="AB906" s="12" t="s">
        <v>679</v>
      </c>
      <c r="AC906" s="12" t="s">
        <v>395</v>
      </c>
      <c r="AD906" s="12" t="s">
        <v>112</v>
      </c>
      <c r="AE906" s="12" t="s">
        <v>4963</v>
      </c>
      <c r="AF906" s="12" t="s">
        <v>5003</v>
      </c>
      <c r="AG906" s="12" t="s">
        <v>284</v>
      </c>
      <c r="AH906" s="12" t="s">
        <v>838</v>
      </c>
      <c r="AI906" s="12" t="s">
        <v>117</v>
      </c>
      <c r="AJ906" s="12" t="s">
        <v>5004</v>
      </c>
      <c r="AK906" s="12" t="s">
        <v>4</v>
      </c>
    </row>
    <row r="907" customFormat="false" ht="15" hidden="false" customHeight="false" outlineLevel="0" collapsed="false">
      <c r="A907" s="11" t="n">
        <v>906</v>
      </c>
      <c r="B907" s="12" t="s">
        <v>5005</v>
      </c>
      <c r="C907" s="12" t="s">
        <v>4941</v>
      </c>
      <c r="D907" s="12" t="s">
        <v>4942</v>
      </c>
      <c r="E907" s="12" t="s">
        <v>759</v>
      </c>
      <c r="F907" s="12" t="s">
        <v>5006</v>
      </c>
      <c r="G907" s="12" t="s">
        <v>581</v>
      </c>
      <c r="H907" s="12" t="s">
        <v>5007</v>
      </c>
      <c r="I907" s="12" t="s">
        <v>583</v>
      </c>
      <c r="J907" s="13" t="s">
        <v>5008</v>
      </c>
      <c r="K907" s="12"/>
      <c r="L907" s="12" t="s">
        <v>5009</v>
      </c>
      <c r="M907" s="12" t="s">
        <v>5010</v>
      </c>
      <c r="N907" s="12" t="s">
        <v>212</v>
      </c>
      <c r="O907" s="12" t="s">
        <v>196</v>
      </c>
      <c r="P907" s="12" t="s">
        <v>155</v>
      </c>
      <c r="Q907" s="12" t="s">
        <v>5011</v>
      </c>
      <c r="R907" s="14" t="n">
        <v>73</v>
      </c>
      <c r="S907" s="14" t="s">
        <v>197</v>
      </c>
      <c r="T907" s="14"/>
      <c r="U907" s="14" t="n">
        <v>2023</v>
      </c>
      <c r="V907" s="12" t="s">
        <v>157</v>
      </c>
      <c r="W907" s="14"/>
      <c r="X907" s="15" t="str">
        <f aca="false">IF(OR($S907="%",$R907=""),"",$R907*INDEX(Cambi!$J$2:$J$5,MATCH($S907,Cambi!$I$2:$I$5,0))/IF($T907="EUR",1,INDEX(Cambi!$D:$D,MATCH($T907&amp;"|"&amp;$U907,Cambi!$C:$C,0))))</f>
        <v/>
      </c>
      <c r="Y907" s="12" t="s">
        <v>239</v>
      </c>
      <c r="Z907" s="12" t="s">
        <v>285</v>
      </c>
      <c r="AA907" s="12" t="s">
        <v>109</v>
      </c>
      <c r="AB907" s="12" t="s">
        <v>394</v>
      </c>
      <c r="AC907" s="12" t="s">
        <v>395</v>
      </c>
      <c r="AD907" s="12" t="s">
        <v>112</v>
      </c>
      <c r="AE907" s="12" t="s">
        <v>5012</v>
      </c>
      <c r="AF907" s="12" t="s">
        <v>5013</v>
      </c>
      <c r="AG907" s="12" t="s">
        <v>284</v>
      </c>
      <c r="AH907" s="12" t="s">
        <v>116</v>
      </c>
      <c r="AI907" s="12" t="s">
        <v>117</v>
      </c>
      <c r="AJ907" s="12" t="s">
        <v>266</v>
      </c>
      <c r="AK907" s="12" t="s">
        <v>4</v>
      </c>
    </row>
    <row r="908" customFormat="false" ht="15" hidden="false" customHeight="false" outlineLevel="0" collapsed="false">
      <c r="A908" s="11" t="n">
        <v>907</v>
      </c>
      <c r="B908" s="12" t="s">
        <v>5005</v>
      </c>
      <c r="C908" s="12" t="s">
        <v>4941</v>
      </c>
      <c r="D908" s="12" t="s">
        <v>4942</v>
      </c>
      <c r="E908" s="12" t="s">
        <v>759</v>
      </c>
      <c r="F908" s="12" t="s">
        <v>5006</v>
      </c>
      <c r="G908" s="12" t="s">
        <v>581</v>
      </c>
      <c r="H908" s="12" t="s">
        <v>5007</v>
      </c>
      <c r="I908" s="12" t="s">
        <v>583</v>
      </c>
      <c r="J908" s="13" t="s">
        <v>5008</v>
      </c>
      <c r="K908" s="12"/>
      <c r="L908" s="12" t="s">
        <v>5014</v>
      </c>
      <c r="M908" s="12" t="s">
        <v>5015</v>
      </c>
      <c r="N908" s="12" t="s">
        <v>212</v>
      </c>
      <c r="O908" s="12" t="s">
        <v>196</v>
      </c>
      <c r="P908" s="12" t="s">
        <v>155</v>
      </c>
      <c r="Q908" s="12" t="s">
        <v>5016</v>
      </c>
      <c r="R908" s="14" t="n">
        <v>27</v>
      </c>
      <c r="S908" s="14" t="s">
        <v>197</v>
      </c>
      <c r="T908" s="14"/>
      <c r="U908" s="14" t="n">
        <v>2023</v>
      </c>
      <c r="V908" s="12" t="s">
        <v>157</v>
      </c>
      <c r="W908" s="14"/>
      <c r="X908" s="15" t="str">
        <f aca="false">IF(OR($S908="%",$R908=""),"",$R908*INDEX(Cambi!$J$2:$J$5,MATCH($S908,Cambi!$I$2:$I$5,0))/IF($T908="EUR",1,INDEX(Cambi!$D:$D,MATCH($T908&amp;"|"&amp;$U908,Cambi!$C:$C,0))))</f>
        <v/>
      </c>
      <c r="Y908" s="12" t="s">
        <v>239</v>
      </c>
      <c r="Z908" s="12" t="s">
        <v>285</v>
      </c>
      <c r="AA908" s="12" t="s">
        <v>109</v>
      </c>
      <c r="AB908" s="12" t="s">
        <v>394</v>
      </c>
      <c r="AC908" s="12" t="s">
        <v>395</v>
      </c>
      <c r="AD908" s="12" t="s">
        <v>112</v>
      </c>
      <c r="AE908" s="12" t="s">
        <v>5012</v>
      </c>
      <c r="AF908" s="12" t="s">
        <v>5013</v>
      </c>
      <c r="AG908" s="12" t="s">
        <v>284</v>
      </c>
      <c r="AH908" s="12" t="s">
        <v>116</v>
      </c>
      <c r="AI908" s="12" t="s">
        <v>117</v>
      </c>
      <c r="AJ908" s="12" t="s">
        <v>266</v>
      </c>
      <c r="AK908" s="12" t="s">
        <v>4</v>
      </c>
    </row>
    <row r="909" customFormat="false" ht="15" hidden="false" customHeight="false" outlineLevel="0" collapsed="false">
      <c r="A909" s="11" t="n">
        <v>908</v>
      </c>
      <c r="B909" s="12" t="s">
        <v>5005</v>
      </c>
      <c r="C909" s="12" t="s">
        <v>4941</v>
      </c>
      <c r="D909" s="12" t="s">
        <v>4942</v>
      </c>
      <c r="E909" s="12" t="s">
        <v>759</v>
      </c>
      <c r="F909" s="12" t="s">
        <v>5006</v>
      </c>
      <c r="G909" s="12" t="s">
        <v>581</v>
      </c>
      <c r="H909" s="12" t="s">
        <v>5007</v>
      </c>
      <c r="I909" s="12" t="s">
        <v>583</v>
      </c>
      <c r="J909" s="13" t="s">
        <v>5008</v>
      </c>
      <c r="K909" s="12"/>
      <c r="L909" s="12" t="s">
        <v>5017</v>
      </c>
      <c r="M909" s="12" t="s">
        <v>5018</v>
      </c>
      <c r="N909" s="12" t="s">
        <v>195</v>
      </c>
      <c r="O909" s="12" t="s">
        <v>196</v>
      </c>
      <c r="P909" s="12" t="s">
        <v>103</v>
      </c>
      <c r="Q909" s="12" t="s">
        <v>104</v>
      </c>
      <c r="R909" s="14" t="n">
        <v>8.5</v>
      </c>
      <c r="S909" s="14" t="s">
        <v>197</v>
      </c>
      <c r="T909" s="14"/>
      <c r="U909" s="14" t="n">
        <v>2023</v>
      </c>
      <c r="V909" s="12" t="s">
        <v>157</v>
      </c>
      <c r="W909" s="14"/>
      <c r="X909" s="15" t="str">
        <f aca="false">IF(OR($S909="%",$R909=""),"",$R909*INDEX(Cambi!$J$2:$J$5,MATCH($S909,Cambi!$I$2:$I$5,0))/IF($T909="EUR",1,INDEX(Cambi!$D:$D,MATCH($T909&amp;"|"&amp;$U909,Cambi!$C:$C,0))))</f>
        <v/>
      </c>
      <c r="Y909" s="12" t="s">
        <v>239</v>
      </c>
      <c r="Z909" s="12" t="s">
        <v>285</v>
      </c>
      <c r="AA909" s="12" t="s">
        <v>109</v>
      </c>
      <c r="AB909" s="12" t="s">
        <v>394</v>
      </c>
      <c r="AC909" s="12" t="s">
        <v>395</v>
      </c>
      <c r="AD909" s="12" t="s">
        <v>112</v>
      </c>
      <c r="AE909" s="12" t="s">
        <v>5012</v>
      </c>
      <c r="AF909" s="12" t="s">
        <v>5019</v>
      </c>
      <c r="AG909" s="12" t="s">
        <v>284</v>
      </c>
      <c r="AH909" s="12" t="s">
        <v>116</v>
      </c>
      <c r="AI909" s="12" t="s">
        <v>117</v>
      </c>
      <c r="AJ909" s="12" t="s">
        <v>5020</v>
      </c>
      <c r="AK909" s="12" t="s">
        <v>4</v>
      </c>
    </row>
    <row r="910" customFormat="false" ht="15" hidden="false" customHeight="false" outlineLevel="0" collapsed="false">
      <c r="A910" s="11" t="n">
        <v>909</v>
      </c>
      <c r="B910" s="12" t="s">
        <v>5021</v>
      </c>
      <c r="C910" s="12" t="s">
        <v>4941</v>
      </c>
      <c r="D910" s="12" t="s">
        <v>4942</v>
      </c>
      <c r="E910" s="12" t="s">
        <v>759</v>
      </c>
      <c r="F910" s="12" t="s">
        <v>5022</v>
      </c>
      <c r="G910" s="12" t="s">
        <v>771</v>
      </c>
      <c r="H910" s="12" t="s">
        <v>5023</v>
      </c>
      <c r="I910" s="12" t="s">
        <v>5024</v>
      </c>
      <c r="J910" s="13" t="s">
        <v>5025</v>
      </c>
      <c r="K910" s="12"/>
      <c r="L910" s="12" t="s">
        <v>5026</v>
      </c>
      <c r="M910" s="12" t="s">
        <v>5027</v>
      </c>
      <c r="N910" s="12" t="s">
        <v>101</v>
      </c>
      <c r="O910" s="12" t="s">
        <v>102</v>
      </c>
      <c r="P910" s="12" t="s">
        <v>103</v>
      </c>
      <c r="Q910" s="12" t="s">
        <v>104</v>
      </c>
      <c r="R910" s="14" t="n">
        <v>1000</v>
      </c>
      <c r="S910" s="14" t="s">
        <v>105</v>
      </c>
      <c r="T910" s="14" t="s">
        <v>106</v>
      </c>
      <c r="U910" s="14" t="n">
        <v>2024</v>
      </c>
      <c r="V910" s="12" t="s">
        <v>107</v>
      </c>
      <c r="W910" s="14"/>
      <c r="X910" s="15" t="n">
        <f aca="false">IF(OR($S910="%",$R910=""),"",$R910*INDEX(Cambi!$J$2:$J$5,MATCH($S910,Cambi!$I$2:$I$5,0))/IF($T910="EUR",1,INDEX(Cambi!$D:$D,MATCH($T910&amp;"|"&amp;$U910,Cambi!$C:$C,0))))</f>
        <v>1000</v>
      </c>
      <c r="Y910" s="12" t="s">
        <v>130</v>
      </c>
      <c r="Z910" s="12" t="s">
        <v>109</v>
      </c>
      <c r="AA910" s="12" t="s">
        <v>109</v>
      </c>
      <c r="AB910" s="16" t="s">
        <v>394</v>
      </c>
      <c r="AC910" s="16" t="s">
        <v>5028</v>
      </c>
      <c r="AD910" s="12" t="s">
        <v>112</v>
      </c>
      <c r="AE910" s="12" t="s">
        <v>5029</v>
      </c>
      <c r="AF910" s="12" t="s">
        <v>5030</v>
      </c>
      <c r="AG910" s="12" t="s">
        <v>115</v>
      </c>
      <c r="AH910" s="12" t="s">
        <v>116</v>
      </c>
      <c r="AI910" s="12" t="s">
        <v>117</v>
      </c>
      <c r="AJ910" s="12" t="s">
        <v>5031</v>
      </c>
      <c r="AK910" s="12" t="s">
        <v>4</v>
      </c>
    </row>
    <row r="911" customFormat="false" ht="15" hidden="false" customHeight="false" outlineLevel="0" collapsed="false">
      <c r="A911" s="11" t="n">
        <v>910</v>
      </c>
      <c r="B911" s="12" t="s">
        <v>5032</v>
      </c>
      <c r="C911" s="12" t="s">
        <v>4941</v>
      </c>
      <c r="D911" s="12" t="s">
        <v>4942</v>
      </c>
      <c r="E911" s="12" t="s">
        <v>759</v>
      </c>
      <c r="F911" s="12" t="s">
        <v>5033</v>
      </c>
      <c r="G911" s="12" t="s">
        <v>1055</v>
      </c>
      <c r="H911" s="12" t="s">
        <v>5034</v>
      </c>
      <c r="I911" s="12" t="s">
        <v>5035</v>
      </c>
      <c r="J911" s="13" t="s">
        <v>5036</v>
      </c>
      <c r="K911" s="12" t="s">
        <v>5037</v>
      </c>
      <c r="L911" s="12" t="s">
        <v>5038</v>
      </c>
      <c r="M911" s="12" t="s">
        <v>5039</v>
      </c>
      <c r="N911" s="12" t="s">
        <v>195</v>
      </c>
      <c r="O911" s="12" t="s">
        <v>196</v>
      </c>
      <c r="P911" s="12" t="s">
        <v>856</v>
      </c>
      <c r="Q911" s="12" t="s">
        <v>5040</v>
      </c>
      <c r="R911" s="14" t="n">
        <v>4</v>
      </c>
      <c r="S911" s="14" t="s">
        <v>197</v>
      </c>
      <c r="T911" s="14"/>
      <c r="U911" s="14" t="n">
        <v>2025</v>
      </c>
      <c r="V911" s="12" t="s">
        <v>198</v>
      </c>
      <c r="W911" s="14"/>
      <c r="X911" s="15" t="str">
        <f aca="false">IF(OR($S911="%",$R911=""),"",$R911*INDEX(Cambi!$J$2:$J$5,MATCH($S911,Cambi!$I$2:$I$5,0))/IF($T911="EUR",1,INDEX(Cambi!$D:$D,MATCH($T911&amp;"|"&amp;$U911,Cambi!$C:$C,0))))</f>
        <v/>
      </c>
      <c r="Y911" s="12" t="s">
        <v>239</v>
      </c>
      <c r="Z911" s="12" t="s">
        <v>109</v>
      </c>
      <c r="AA911" s="12" t="s">
        <v>109</v>
      </c>
      <c r="AB911" s="16" t="s">
        <v>394</v>
      </c>
      <c r="AC911" s="16" t="s">
        <v>5041</v>
      </c>
      <c r="AD911" s="12" t="s">
        <v>112</v>
      </c>
      <c r="AE911" s="12" t="s">
        <v>3263</v>
      </c>
      <c r="AF911" s="12" t="s">
        <v>5042</v>
      </c>
      <c r="AG911" s="12" t="s">
        <v>284</v>
      </c>
      <c r="AH911" s="12" t="s">
        <v>499</v>
      </c>
      <c r="AI911" s="12" t="s">
        <v>285</v>
      </c>
      <c r="AJ911" s="12" t="s">
        <v>5043</v>
      </c>
      <c r="AK911" s="12" t="s">
        <v>4</v>
      </c>
    </row>
    <row r="912" customFormat="false" ht="15" hidden="false" customHeight="false" outlineLevel="0" collapsed="false">
      <c r="A912" s="11" t="n">
        <v>911</v>
      </c>
      <c r="B912" s="12" t="s">
        <v>5044</v>
      </c>
      <c r="C912" s="12" t="s">
        <v>4941</v>
      </c>
      <c r="D912" s="12" t="s">
        <v>4942</v>
      </c>
      <c r="E912" s="12" t="s">
        <v>759</v>
      </c>
      <c r="F912" s="12" t="s">
        <v>5045</v>
      </c>
      <c r="G912" s="12" t="s">
        <v>771</v>
      </c>
      <c r="H912" s="12" t="s">
        <v>5046</v>
      </c>
      <c r="I912" s="12" t="s">
        <v>1239</v>
      </c>
      <c r="J912" s="13" t="s">
        <v>5047</v>
      </c>
      <c r="K912" s="12"/>
      <c r="L912" s="12" t="s">
        <v>5048</v>
      </c>
      <c r="M912" s="12" t="s">
        <v>5049</v>
      </c>
      <c r="N912" s="12" t="s">
        <v>101</v>
      </c>
      <c r="O912" s="12" t="s">
        <v>102</v>
      </c>
      <c r="P912" s="12" t="s">
        <v>103</v>
      </c>
      <c r="Q912" s="12" t="s">
        <v>104</v>
      </c>
      <c r="R912" s="14" t="n">
        <v>524</v>
      </c>
      <c r="S912" s="14" t="s">
        <v>105</v>
      </c>
      <c r="T912" s="14" t="s">
        <v>106</v>
      </c>
      <c r="U912" s="14" t="n">
        <v>2023</v>
      </c>
      <c r="V912" s="12" t="s">
        <v>107</v>
      </c>
      <c r="W912" s="14"/>
      <c r="X912" s="15" t="n">
        <f aca="false">IF(OR($S912="%",$R912=""),"",$R912*INDEX(Cambi!$J$2:$J$5,MATCH($S912,Cambi!$I$2:$I$5,0))/IF($T912="EUR",1,INDEX(Cambi!$D:$D,MATCH($T912&amp;"|"&amp;$U912,Cambi!$C:$C,0))))</f>
        <v>524</v>
      </c>
      <c r="Y912" s="12" t="s">
        <v>109</v>
      </c>
      <c r="Z912" s="12" t="s">
        <v>109</v>
      </c>
      <c r="AA912" s="12" t="s">
        <v>109</v>
      </c>
      <c r="AB912" s="16" t="s">
        <v>394</v>
      </c>
      <c r="AC912" s="16" t="s">
        <v>5050</v>
      </c>
      <c r="AD912" s="12" t="s">
        <v>112</v>
      </c>
      <c r="AE912" s="12" t="s">
        <v>5051</v>
      </c>
      <c r="AF912" s="12" t="s">
        <v>5052</v>
      </c>
      <c r="AG912" s="12" t="s">
        <v>115</v>
      </c>
      <c r="AH912" s="12" t="s">
        <v>116</v>
      </c>
      <c r="AI912" s="12" t="s">
        <v>117</v>
      </c>
      <c r="AJ912" s="12" t="s">
        <v>5053</v>
      </c>
      <c r="AK912" s="12" t="s">
        <v>4</v>
      </c>
    </row>
    <row r="913" customFormat="false" ht="15" hidden="false" customHeight="false" outlineLevel="0" collapsed="false">
      <c r="A913" s="11" t="n">
        <v>912</v>
      </c>
      <c r="B913" s="12" t="s">
        <v>5044</v>
      </c>
      <c r="C913" s="12" t="s">
        <v>4941</v>
      </c>
      <c r="D913" s="12" t="s">
        <v>4942</v>
      </c>
      <c r="E913" s="12" t="s">
        <v>759</v>
      </c>
      <c r="F913" s="12" t="s">
        <v>5045</v>
      </c>
      <c r="G913" s="12" t="s">
        <v>771</v>
      </c>
      <c r="H913" s="12" t="s">
        <v>5046</v>
      </c>
      <c r="I913" s="12" t="s">
        <v>1239</v>
      </c>
      <c r="J913" s="13" t="s">
        <v>5047</v>
      </c>
      <c r="K913" s="12"/>
      <c r="L913" s="12" t="s">
        <v>5054</v>
      </c>
      <c r="M913" s="12" t="s">
        <v>5055</v>
      </c>
      <c r="N913" s="12" t="s">
        <v>101</v>
      </c>
      <c r="O913" s="12" t="s">
        <v>102</v>
      </c>
      <c r="P913" s="12" t="s">
        <v>366</v>
      </c>
      <c r="Q913" s="12" t="s">
        <v>5056</v>
      </c>
      <c r="R913" s="14" t="n">
        <v>98</v>
      </c>
      <c r="S913" s="14" t="s">
        <v>105</v>
      </c>
      <c r="T913" s="14" t="s">
        <v>106</v>
      </c>
      <c r="U913" s="14" t="n">
        <v>2023</v>
      </c>
      <c r="V913" s="12" t="s">
        <v>107</v>
      </c>
      <c r="W913" s="14"/>
      <c r="X913" s="15" t="n">
        <f aca="false">IF(OR($S913="%",$R913=""),"",$R913*INDEX(Cambi!$J$2:$J$5,MATCH($S913,Cambi!$I$2:$I$5,0))/IF($T913="EUR",1,INDEX(Cambi!$D:$D,MATCH($T913&amp;"|"&amp;$U913,Cambi!$C:$C,0))))</f>
        <v>98</v>
      </c>
      <c r="Y913" s="12" t="s">
        <v>5057</v>
      </c>
      <c r="Z913" s="12" t="s">
        <v>109</v>
      </c>
      <c r="AA913" s="12" t="s">
        <v>109</v>
      </c>
      <c r="AB913" s="16" t="s">
        <v>394</v>
      </c>
      <c r="AC913" s="16" t="s">
        <v>5050</v>
      </c>
      <c r="AD913" s="12" t="s">
        <v>112</v>
      </c>
      <c r="AE913" s="12" t="s">
        <v>5051</v>
      </c>
      <c r="AF913" s="12" t="s">
        <v>5058</v>
      </c>
      <c r="AG913" s="12" t="s">
        <v>115</v>
      </c>
      <c r="AH913" s="12" t="s">
        <v>116</v>
      </c>
      <c r="AI913" s="12" t="s">
        <v>117</v>
      </c>
      <c r="AJ913" s="12" t="s">
        <v>5053</v>
      </c>
      <c r="AK913" s="12" t="s">
        <v>4</v>
      </c>
    </row>
    <row r="914" customFormat="false" ht="15" hidden="false" customHeight="false" outlineLevel="0" collapsed="false">
      <c r="A914" s="11" t="n">
        <v>913</v>
      </c>
      <c r="B914" s="12" t="s">
        <v>5044</v>
      </c>
      <c r="C914" s="12" t="s">
        <v>4941</v>
      </c>
      <c r="D914" s="12" t="s">
        <v>4942</v>
      </c>
      <c r="E914" s="12" t="s">
        <v>759</v>
      </c>
      <c r="F914" s="12" t="s">
        <v>5045</v>
      </c>
      <c r="G914" s="12" t="s">
        <v>771</v>
      </c>
      <c r="H914" s="12" t="s">
        <v>5046</v>
      </c>
      <c r="I914" s="12" t="s">
        <v>1239</v>
      </c>
      <c r="J914" s="13" t="s">
        <v>5047</v>
      </c>
      <c r="K914" s="12"/>
      <c r="L914" s="12" t="s">
        <v>5059</v>
      </c>
      <c r="M914" s="12" t="s">
        <v>5060</v>
      </c>
      <c r="N914" s="12" t="s">
        <v>101</v>
      </c>
      <c r="O914" s="12" t="s">
        <v>102</v>
      </c>
      <c r="P914" s="12" t="s">
        <v>366</v>
      </c>
      <c r="Q914" s="12" t="s">
        <v>5061</v>
      </c>
      <c r="R914" s="14" t="n">
        <v>418</v>
      </c>
      <c r="S914" s="14" t="s">
        <v>105</v>
      </c>
      <c r="T914" s="14" t="s">
        <v>106</v>
      </c>
      <c r="U914" s="14" t="n">
        <v>2023</v>
      </c>
      <c r="V914" s="12" t="s">
        <v>107</v>
      </c>
      <c r="W914" s="14"/>
      <c r="X914" s="15" t="n">
        <f aca="false">IF(OR($S914="%",$R914=""),"",$R914*INDEX(Cambi!$J$2:$J$5,MATCH($S914,Cambi!$I$2:$I$5,0))/IF($T914="EUR",1,INDEX(Cambi!$D:$D,MATCH($T914&amp;"|"&amp;$U914,Cambi!$C:$C,0))))</f>
        <v>418</v>
      </c>
      <c r="Y914" s="12" t="s">
        <v>239</v>
      </c>
      <c r="Z914" s="12" t="s">
        <v>109</v>
      </c>
      <c r="AA914" s="12" t="s">
        <v>109</v>
      </c>
      <c r="AB914" s="16" t="s">
        <v>394</v>
      </c>
      <c r="AC914" s="16" t="s">
        <v>5050</v>
      </c>
      <c r="AD914" s="12" t="s">
        <v>112</v>
      </c>
      <c r="AE914" s="12" t="s">
        <v>5051</v>
      </c>
      <c r="AF914" s="12" t="s">
        <v>5062</v>
      </c>
      <c r="AG914" s="12" t="s">
        <v>115</v>
      </c>
      <c r="AH914" s="12" t="s">
        <v>116</v>
      </c>
      <c r="AI914" s="12" t="s">
        <v>117</v>
      </c>
      <c r="AJ914" s="12" t="s">
        <v>5063</v>
      </c>
      <c r="AK914" s="12" t="s">
        <v>4</v>
      </c>
    </row>
    <row r="915" customFormat="false" ht="15" hidden="false" customHeight="false" outlineLevel="0" collapsed="false">
      <c r="A915" s="11" t="n">
        <v>914</v>
      </c>
      <c r="B915" s="12" t="s">
        <v>5044</v>
      </c>
      <c r="C915" s="12" t="s">
        <v>4941</v>
      </c>
      <c r="D915" s="12" t="s">
        <v>4942</v>
      </c>
      <c r="E915" s="12" t="s">
        <v>759</v>
      </c>
      <c r="F915" s="12" t="s">
        <v>5045</v>
      </c>
      <c r="G915" s="12" t="s">
        <v>771</v>
      </c>
      <c r="H915" s="12" t="s">
        <v>5046</v>
      </c>
      <c r="I915" s="12" t="s">
        <v>1239</v>
      </c>
      <c r="J915" s="13" t="s">
        <v>5047</v>
      </c>
      <c r="K915" s="12"/>
      <c r="L915" s="12" t="s">
        <v>5064</v>
      </c>
      <c r="M915" s="12" t="s">
        <v>5065</v>
      </c>
      <c r="N915" s="12" t="s">
        <v>101</v>
      </c>
      <c r="O915" s="12" t="s">
        <v>196</v>
      </c>
      <c r="P915" s="12" t="s">
        <v>103</v>
      </c>
      <c r="Q915" s="12" t="s">
        <v>104</v>
      </c>
      <c r="R915" s="14" t="n">
        <v>13.1</v>
      </c>
      <c r="S915" s="14" t="s">
        <v>197</v>
      </c>
      <c r="T915" s="14"/>
      <c r="U915" s="14" t="n">
        <v>2023</v>
      </c>
      <c r="V915" s="12" t="s">
        <v>107</v>
      </c>
      <c r="W915" s="14"/>
      <c r="X915" s="15" t="str">
        <f aca="false">IF(OR($S915="%",$R915=""),"",$R915*INDEX(Cambi!$J$2:$J$5,MATCH($S915,Cambi!$I$2:$I$5,0))/IF($T915="EUR",1,INDEX(Cambi!$D:$D,MATCH($T915&amp;"|"&amp;$U915,Cambi!$C:$C,0))))</f>
        <v/>
      </c>
      <c r="Y915" s="12" t="s">
        <v>109</v>
      </c>
      <c r="Z915" s="12" t="s">
        <v>109</v>
      </c>
      <c r="AA915" s="12" t="s">
        <v>109</v>
      </c>
      <c r="AB915" s="16" t="s">
        <v>394</v>
      </c>
      <c r="AC915" s="16" t="s">
        <v>5050</v>
      </c>
      <c r="AD915" s="12" t="s">
        <v>112</v>
      </c>
      <c r="AE915" s="12" t="s">
        <v>5051</v>
      </c>
      <c r="AF915" s="12" t="s">
        <v>5066</v>
      </c>
      <c r="AG915" s="12" t="s">
        <v>115</v>
      </c>
      <c r="AH915" s="12" t="s">
        <v>116</v>
      </c>
      <c r="AI915" s="12" t="s">
        <v>117</v>
      </c>
      <c r="AJ915" s="12" t="s">
        <v>5067</v>
      </c>
      <c r="AK915" s="12" t="s">
        <v>4</v>
      </c>
    </row>
    <row r="916" customFormat="false" ht="15" hidden="false" customHeight="false" outlineLevel="0" collapsed="false">
      <c r="A916" s="11" t="n">
        <v>915</v>
      </c>
      <c r="B916" s="12" t="s">
        <v>5068</v>
      </c>
      <c r="C916" s="12" t="s">
        <v>4941</v>
      </c>
      <c r="D916" s="12" t="s">
        <v>4942</v>
      </c>
      <c r="E916" s="12" t="s">
        <v>759</v>
      </c>
      <c r="F916" s="12" t="s">
        <v>5069</v>
      </c>
      <c r="G916" s="12" t="s">
        <v>1876</v>
      </c>
      <c r="H916" s="12" t="s">
        <v>5070</v>
      </c>
      <c r="I916" s="12" t="s">
        <v>3964</v>
      </c>
      <c r="J916" s="13" t="s">
        <v>5071</v>
      </c>
      <c r="K916" s="12"/>
      <c r="L916" s="12" t="s">
        <v>5072</v>
      </c>
      <c r="M916" s="12" t="s">
        <v>5073</v>
      </c>
      <c r="N916" s="12" t="s">
        <v>352</v>
      </c>
      <c r="O916" s="12" t="s">
        <v>102</v>
      </c>
      <c r="P916" s="12" t="s">
        <v>103</v>
      </c>
      <c r="Q916" s="12" t="s">
        <v>104</v>
      </c>
      <c r="R916" s="14" t="n">
        <v>2318.98</v>
      </c>
      <c r="S916" s="14" t="s">
        <v>105</v>
      </c>
      <c r="T916" s="14" t="s">
        <v>106</v>
      </c>
      <c r="U916" s="14" t="n">
        <v>2023</v>
      </c>
      <c r="V916" s="12" t="s">
        <v>198</v>
      </c>
      <c r="W916" s="14" t="s">
        <v>5074</v>
      </c>
      <c r="X916" s="15" t="n">
        <f aca="false">IF(OR($S916="%",$R916=""),"",$R916*INDEX(Cambi!$J$2:$J$5,MATCH($S916,Cambi!$I$2:$I$5,0))/IF($T916="EUR",1,INDEX(Cambi!$D:$D,MATCH($T916&amp;"|"&amp;$U916,Cambi!$C:$C,0))))</f>
        <v>2318.98</v>
      </c>
      <c r="Y916" s="12" t="s">
        <v>109</v>
      </c>
      <c r="Z916" s="12" t="s">
        <v>109</v>
      </c>
      <c r="AA916" s="12" t="s">
        <v>109</v>
      </c>
      <c r="AB916" s="16" t="s">
        <v>110</v>
      </c>
      <c r="AC916" s="16" t="s">
        <v>2665</v>
      </c>
      <c r="AD916" s="12" t="s">
        <v>112</v>
      </c>
      <c r="AE916" s="12" t="s">
        <v>282</v>
      </c>
      <c r="AF916" s="12" t="s">
        <v>5075</v>
      </c>
      <c r="AG916" s="12" t="s">
        <v>284</v>
      </c>
      <c r="AH916" s="12" t="s">
        <v>116</v>
      </c>
      <c r="AI916" s="12" t="s">
        <v>117</v>
      </c>
      <c r="AJ916" s="12" t="s">
        <v>5076</v>
      </c>
      <c r="AK916" s="12" t="s">
        <v>4</v>
      </c>
    </row>
    <row r="917" customFormat="false" ht="15" hidden="false" customHeight="false" outlineLevel="0" collapsed="false">
      <c r="A917" s="11" t="n">
        <v>916</v>
      </c>
      <c r="B917" s="12" t="s">
        <v>5068</v>
      </c>
      <c r="C917" s="12" t="s">
        <v>4941</v>
      </c>
      <c r="D917" s="12" t="s">
        <v>4942</v>
      </c>
      <c r="E917" s="12" t="s">
        <v>759</v>
      </c>
      <c r="F917" s="12" t="s">
        <v>5069</v>
      </c>
      <c r="G917" s="12" t="s">
        <v>1876</v>
      </c>
      <c r="H917" s="12" t="s">
        <v>5070</v>
      </c>
      <c r="I917" s="12" t="s">
        <v>3964</v>
      </c>
      <c r="J917" s="13" t="s">
        <v>5071</v>
      </c>
      <c r="K917" s="12"/>
      <c r="L917" s="12" t="s">
        <v>5077</v>
      </c>
      <c r="M917" s="12" t="s">
        <v>5078</v>
      </c>
      <c r="N917" s="12" t="s">
        <v>352</v>
      </c>
      <c r="O917" s="12" t="s">
        <v>102</v>
      </c>
      <c r="P917" s="12" t="s">
        <v>103</v>
      </c>
      <c r="Q917" s="12" t="s">
        <v>104</v>
      </c>
      <c r="R917" s="14" t="n">
        <v>3210</v>
      </c>
      <c r="S917" s="14" t="s">
        <v>105</v>
      </c>
      <c r="T917" s="14" t="s">
        <v>106</v>
      </c>
      <c r="U917" s="14" t="n">
        <v>2026</v>
      </c>
      <c r="V917" s="12" t="s">
        <v>107</v>
      </c>
      <c r="W917" s="14" t="s">
        <v>5079</v>
      </c>
      <c r="X917" s="15" t="n">
        <f aca="false">IF(OR($S917="%",$R917=""),"",$R917*INDEX(Cambi!$J$2:$J$5,MATCH($S917,Cambi!$I$2:$I$5,0))/IF($T917="EUR",1,INDEX(Cambi!$D:$D,MATCH($T917&amp;"|"&amp;$U917,Cambi!$C:$C,0))))</f>
        <v>3210</v>
      </c>
      <c r="Y917" s="12" t="s">
        <v>109</v>
      </c>
      <c r="Z917" s="12" t="s">
        <v>109</v>
      </c>
      <c r="AA917" s="12" t="s">
        <v>109</v>
      </c>
      <c r="AB917" s="16" t="s">
        <v>110</v>
      </c>
      <c r="AC917" s="16" t="s">
        <v>2665</v>
      </c>
      <c r="AD917" s="12" t="s">
        <v>112</v>
      </c>
      <c r="AE917" s="12" t="s">
        <v>282</v>
      </c>
      <c r="AF917" s="12" t="s">
        <v>5080</v>
      </c>
      <c r="AG917" s="12" t="s">
        <v>284</v>
      </c>
      <c r="AH917" s="12" t="s">
        <v>116</v>
      </c>
      <c r="AI917" s="12" t="s">
        <v>117</v>
      </c>
      <c r="AJ917" s="12" t="s">
        <v>5081</v>
      </c>
      <c r="AK917" s="12" t="s">
        <v>4</v>
      </c>
    </row>
    <row r="918" customFormat="false" ht="15" hidden="false" customHeight="false" outlineLevel="0" collapsed="false">
      <c r="A918" s="11" t="n">
        <v>917</v>
      </c>
      <c r="B918" s="12" t="s">
        <v>5082</v>
      </c>
      <c r="C918" s="12" t="s">
        <v>4941</v>
      </c>
      <c r="D918" s="12" t="s">
        <v>4942</v>
      </c>
      <c r="E918" s="12" t="s">
        <v>759</v>
      </c>
      <c r="F918" s="12" t="s">
        <v>2500</v>
      </c>
      <c r="G918" s="12" t="s">
        <v>830</v>
      </c>
      <c r="H918" s="12" t="s">
        <v>5083</v>
      </c>
      <c r="I918" s="12" t="s">
        <v>847</v>
      </c>
      <c r="J918" s="13" t="s">
        <v>5084</v>
      </c>
      <c r="K918" s="12"/>
      <c r="L918" s="12" t="s">
        <v>5085</v>
      </c>
      <c r="M918" s="12" t="s">
        <v>5086</v>
      </c>
      <c r="N918" s="12" t="s">
        <v>352</v>
      </c>
      <c r="O918" s="12" t="s">
        <v>102</v>
      </c>
      <c r="P918" s="12" t="s">
        <v>103</v>
      </c>
      <c r="Q918" s="12" t="s">
        <v>104</v>
      </c>
      <c r="R918" s="14" t="n">
        <v>5.3</v>
      </c>
      <c r="S918" s="14" t="s">
        <v>129</v>
      </c>
      <c r="T918" s="14" t="s">
        <v>653</v>
      </c>
      <c r="U918" s="14" t="n">
        <v>2025</v>
      </c>
      <c r="V918" s="12" t="s">
        <v>157</v>
      </c>
      <c r="W918" s="14"/>
      <c r="X918" s="15" t="n">
        <f aca="false">IF(OR($S918="%",$R918=""),"",$R918*INDEX(Cambi!$J$2:$J$5,MATCH($S918,Cambi!$I$2:$I$5,0))/IF($T918="EUR",1,INDEX(Cambi!$D:$D,MATCH($T918&amp;"|"&amp;$U918,Cambi!$C:$C,0))))</f>
        <v>4690.26548672566</v>
      </c>
      <c r="Y918" s="12" t="s">
        <v>109</v>
      </c>
      <c r="Z918" s="12" t="s">
        <v>109</v>
      </c>
      <c r="AA918" s="12" t="s">
        <v>109</v>
      </c>
      <c r="AB918" s="16" t="s">
        <v>110</v>
      </c>
      <c r="AC918" s="16" t="s">
        <v>2665</v>
      </c>
      <c r="AD918" s="12" t="s">
        <v>112</v>
      </c>
      <c r="AE918" s="12" t="s">
        <v>282</v>
      </c>
      <c r="AF918" s="12" t="s">
        <v>5087</v>
      </c>
      <c r="AG918" s="12" t="s">
        <v>284</v>
      </c>
      <c r="AH918" s="12" t="s">
        <v>838</v>
      </c>
      <c r="AI918" s="12" t="s">
        <v>117</v>
      </c>
      <c r="AJ918" s="12" t="s">
        <v>1904</v>
      </c>
      <c r="AK918" s="12" t="s">
        <v>4</v>
      </c>
    </row>
    <row r="919" customFormat="false" ht="15" hidden="false" customHeight="false" outlineLevel="0" collapsed="false">
      <c r="A919" s="11" t="n">
        <v>918</v>
      </c>
      <c r="B919" s="12" t="s">
        <v>5082</v>
      </c>
      <c r="C919" s="12" t="s">
        <v>4941</v>
      </c>
      <c r="D919" s="12" t="s">
        <v>4942</v>
      </c>
      <c r="E919" s="12" t="s">
        <v>759</v>
      </c>
      <c r="F919" s="12" t="s">
        <v>2500</v>
      </c>
      <c r="G919" s="12" t="s">
        <v>830</v>
      </c>
      <c r="H919" s="12" t="s">
        <v>5083</v>
      </c>
      <c r="I919" s="12" t="s">
        <v>847</v>
      </c>
      <c r="J919" s="13" t="s">
        <v>5084</v>
      </c>
      <c r="K919" s="12"/>
      <c r="L919" s="12" t="s">
        <v>5088</v>
      </c>
      <c r="M919" s="12" t="s">
        <v>5089</v>
      </c>
      <c r="N919" s="12" t="s">
        <v>352</v>
      </c>
      <c r="O919" s="12" t="s">
        <v>102</v>
      </c>
      <c r="P919" s="12" t="s">
        <v>103</v>
      </c>
      <c r="Q919" s="12" t="s">
        <v>104</v>
      </c>
      <c r="R919" s="14" t="n">
        <v>11.3</v>
      </c>
      <c r="S919" s="14" t="s">
        <v>129</v>
      </c>
      <c r="T919" s="14" t="s">
        <v>653</v>
      </c>
      <c r="U919" s="14" t="n">
        <v>2034</v>
      </c>
      <c r="V919" s="12" t="s">
        <v>107</v>
      </c>
      <c r="W919" s="14" t="s">
        <v>5090</v>
      </c>
      <c r="X919" s="15" t="n">
        <f aca="false">IF(OR($S919="%",$R919=""),"",$R919*INDEX(Cambi!$J$2:$J$5,MATCH($S919,Cambi!$I$2:$I$5,0))/IF($T919="EUR",1,INDEX(Cambi!$D:$D,MATCH($T919&amp;"|"&amp;$U919,Cambi!$C:$C,0))))</f>
        <v>10000</v>
      </c>
      <c r="Y919" s="12" t="s">
        <v>109</v>
      </c>
      <c r="Z919" s="12" t="s">
        <v>109</v>
      </c>
      <c r="AA919" s="12" t="s">
        <v>109</v>
      </c>
      <c r="AB919" s="16" t="s">
        <v>110</v>
      </c>
      <c r="AC919" s="16" t="s">
        <v>2665</v>
      </c>
      <c r="AD919" s="12" t="s">
        <v>112</v>
      </c>
      <c r="AE919" s="12" t="s">
        <v>282</v>
      </c>
      <c r="AF919" s="12" t="s">
        <v>5091</v>
      </c>
      <c r="AG919" s="12" t="s">
        <v>284</v>
      </c>
      <c r="AH919" s="12" t="s">
        <v>838</v>
      </c>
      <c r="AI919" s="12" t="s">
        <v>117</v>
      </c>
      <c r="AJ919" s="12" t="s">
        <v>266</v>
      </c>
      <c r="AK919" s="12" t="s">
        <v>4</v>
      </c>
    </row>
    <row r="920" customFormat="false" ht="15" hidden="false" customHeight="false" outlineLevel="0" collapsed="false">
      <c r="A920" s="11" t="n">
        <v>919</v>
      </c>
      <c r="B920" s="12" t="s">
        <v>3275</v>
      </c>
      <c r="C920" s="12" t="s">
        <v>4941</v>
      </c>
      <c r="D920" s="12" t="s">
        <v>4942</v>
      </c>
      <c r="E920" s="12" t="s">
        <v>759</v>
      </c>
      <c r="F920" s="12" t="s">
        <v>2500</v>
      </c>
      <c r="G920" s="12" t="s">
        <v>830</v>
      </c>
      <c r="H920" s="12" t="s">
        <v>3276</v>
      </c>
      <c r="I920" s="12" t="s">
        <v>847</v>
      </c>
      <c r="J920" s="13" t="s">
        <v>3277</v>
      </c>
      <c r="K920" s="12"/>
      <c r="L920" s="12" t="s">
        <v>5092</v>
      </c>
      <c r="M920" s="12" t="s">
        <v>5093</v>
      </c>
      <c r="N920" s="12" t="s">
        <v>352</v>
      </c>
      <c r="O920" s="12" t="s">
        <v>196</v>
      </c>
      <c r="P920" s="12" t="s">
        <v>103</v>
      </c>
      <c r="Q920" s="12" t="s">
        <v>104</v>
      </c>
      <c r="R920" s="14" t="n">
        <v>11.8</v>
      </c>
      <c r="S920" s="14" t="s">
        <v>197</v>
      </c>
      <c r="T920" s="14"/>
      <c r="U920" s="14" t="n">
        <v>2025</v>
      </c>
      <c r="V920" s="12" t="s">
        <v>157</v>
      </c>
      <c r="W920" s="14"/>
      <c r="X920" s="15" t="str">
        <f aca="false">IF(OR($S920="%",$R920=""),"",$R920*INDEX(Cambi!$J$2:$J$5,MATCH($S920,Cambi!$I$2:$I$5,0))/IF($T920="EUR",1,INDEX(Cambi!$D:$D,MATCH($T920&amp;"|"&amp;$U920,Cambi!$C:$C,0))))</f>
        <v/>
      </c>
      <c r="Y920" s="12" t="s">
        <v>109</v>
      </c>
      <c r="Z920" s="12" t="s">
        <v>109</v>
      </c>
      <c r="AA920" s="12" t="s">
        <v>109</v>
      </c>
      <c r="AB920" s="16" t="s">
        <v>110</v>
      </c>
      <c r="AC920" s="16" t="s">
        <v>2665</v>
      </c>
      <c r="AD920" s="12" t="s">
        <v>112</v>
      </c>
      <c r="AE920" s="12" t="s">
        <v>282</v>
      </c>
      <c r="AF920" s="12" t="s">
        <v>5094</v>
      </c>
      <c r="AG920" s="12" t="s">
        <v>284</v>
      </c>
      <c r="AH920" s="12" t="s">
        <v>838</v>
      </c>
      <c r="AI920" s="12" t="s">
        <v>117</v>
      </c>
      <c r="AJ920" s="12" t="s">
        <v>5095</v>
      </c>
      <c r="AK920" s="12" t="s">
        <v>4</v>
      </c>
    </row>
    <row r="921" customFormat="false" ht="15" hidden="false" customHeight="false" outlineLevel="0" collapsed="false">
      <c r="A921" s="11" t="n">
        <v>920</v>
      </c>
      <c r="B921" s="12" t="s">
        <v>5096</v>
      </c>
      <c r="C921" s="12" t="s">
        <v>4941</v>
      </c>
      <c r="D921" s="12" t="s">
        <v>4942</v>
      </c>
      <c r="E921" s="12" t="s">
        <v>759</v>
      </c>
      <c r="F921" s="12" t="s">
        <v>5097</v>
      </c>
      <c r="G921" s="12" t="s">
        <v>771</v>
      </c>
      <c r="H921" s="12" t="s">
        <v>5098</v>
      </c>
      <c r="I921" s="12" t="s">
        <v>5099</v>
      </c>
      <c r="J921" s="13" t="s">
        <v>5100</v>
      </c>
      <c r="K921" s="12" t="s">
        <v>5101</v>
      </c>
      <c r="L921" s="12" t="s">
        <v>5102</v>
      </c>
      <c r="M921" s="12" t="s">
        <v>5103</v>
      </c>
      <c r="N921" s="12" t="s">
        <v>352</v>
      </c>
      <c r="O921" s="12" t="s">
        <v>102</v>
      </c>
      <c r="P921" s="12" t="s">
        <v>103</v>
      </c>
      <c r="Q921" s="12" t="s">
        <v>104</v>
      </c>
      <c r="R921" s="14" t="n">
        <v>1500</v>
      </c>
      <c r="S921" s="14" t="s">
        <v>105</v>
      </c>
      <c r="T921" s="14" t="s">
        <v>106</v>
      </c>
      <c r="U921" s="14" t="n">
        <v>2020</v>
      </c>
      <c r="V921" s="12" t="s">
        <v>157</v>
      </c>
      <c r="W921" s="14"/>
      <c r="X921" s="15" t="n">
        <f aca="false">IF(OR($S921="%",$R921=""),"",$R921*INDEX(Cambi!$J$2:$J$5,MATCH($S921,Cambi!$I$2:$I$5,0))/IF($T921="EUR",1,INDEX(Cambi!$D:$D,MATCH($T921&amp;"|"&amp;$U921,Cambi!$C:$C,0))))</f>
        <v>1500</v>
      </c>
      <c r="Y921" s="12" t="s">
        <v>109</v>
      </c>
      <c r="Z921" s="12" t="s">
        <v>109</v>
      </c>
      <c r="AA921" s="12" t="s">
        <v>109</v>
      </c>
      <c r="AB921" s="16" t="s">
        <v>110</v>
      </c>
      <c r="AC921" s="16" t="s">
        <v>2665</v>
      </c>
      <c r="AD921" s="12" t="s">
        <v>281</v>
      </c>
      <c r="AE921" s="12" t="s">
        <v>282</v>
      </c>
      <c r="AF921" s="12" t="s">
        <v>5104</v>
      </c>
      <c r="AG921" s="12" t="s">
        <v>284</v>
      </c>
      <c r="AH921" s="12" t="s">
        <v>499</v>
      </c>
      <c r="AI921" s="12" t="s">
        <v>285</v>
      </c>
      <c r="AJ921" s="12" t="s">
        <v>5105</v>
      </c>
      <c r="AK921" s="12" t="s">
        <v>4</v>
      </c>
    </row>
    <row r="922" customFormat="false" ht="15" hidden="false" customHeight="false" outlineLevel="0" collapsed="false">
      <c r="A922" s="11" t="n">
        <v>921</v>
      </c>
      <c r="B922" s="12" t="s">
        <v>5096</v>
      </c>
      <c r="C922" s="12" t="s">
        <v>4941</v>
      </c>
      <c r="D922" s="12" t="s">
        <v>4942</v>
      </c>
      <c r="E922" s="12" t="s">
        <v>759</v>
      </c>
      <c r="F922" s="12" t="s">
        <v>5097</v>
      </c>
      <c r="G922" s="12" t="s">
        <v>771</v>
      </c>
      <c r="H922" s="12" t="s">
        <v>5098</v>
      </c>
      <c r="I922" s="12" t="s">
        <v>5099</v>
      </c>
      <c r="J922" s="13" t="s">
        <v>5100</v>
      </c>
      <c r="K922" s="12" t="s">
        <v>5106</v>
      </c>
      <c r="L922" s="12" t="s">
        <v>5107</v>
      </c>
      <c r="M922" s="12" t="s">
        <v>5108</v>
      </c>
      <c r="N922" s="12" t="s">
        <v>352</v>
      </c>
      <c r="O922" s="12" t="s">
        <v>102</v>
      </c>
      <c r="P922" s="12" t="s">
        <v>103</v>
      </c>
      <c r="Q922" s="12" t="s">
        <v>104</v>
      </c>
      <c r="R922" s="14" t="n">
        <v>2000</v>
      </c>
      <c r="S922" s="14" t="s">
        <v>105</v>
      </c>
      <c r="T922" s="14" t="s">
        <v>106</v>
      </c>
      <c r="U922" s="14" t="n">
        <v>2024</v>
      </c>
      <c r="V922" s="12" t="s">
        <v>107</v>
      </c>
      <c r="W922" s="14" t="s">
        <v>5109</v>
      </c>
      <c r="X922" s="15" t="n">
        <f aca="false">IF(OR($S922="%",$R922=""),"",$R922*INDEX(Cambi!$J$2:$J$5,MATCH($S922,Cambi!$I$2:$I$5,0))/IF($T922="EUR",1,INDEX(Cambi!$D:$D,MATCH($T922&amp;"|"&amp;$U922,Cambi!$C:$C,0))))</f>
        <v>2000</v>
      </c>
      <c r="Y922" s="12" t="s">
        <v>109</v>
      </c>
      <c r="Z922" s="12" t="s">
        <v>109</v>
      </c>
      <c r="AA922" s="12" t="s">
        <v>109</v>
      </c>
      <c r="AB922" s="16" t="s">
        <v>110</v>
      </c>
      <c r="AC922" s="16" t="s">
        <v>2665</v>
      </c>
      <c r="AD922" s="12" t="s">
        <v>281</v>
      </c>
      <c r="AE922" s="12" t="s">
        <v>282</v>
      </c>
      <c r="AF922" s="12" t="s">
        <v>5110</v>
      </c>
      <c r="AG922" s="12" t="s">
        <v>284</v>
      </c>
      <c r="AH922" s="12" t="s">
        <v>499</v>
      </c>
      <c r="AI922" s="12" t="s">
        <v>285</v>
      </c>
      <c r="AJ922" s="12" t="s">
        <v>5111</v>
      </c>
      <c r="AK922" s="12" t="s">
        <v>4</v>
      </c>
    </row>
    <row r="923" customFormat="false" ht="15" hidden="false" customHeight="false" outlineLevel="0" collapsed="false">
      <c r="A923" s="11" t="n">
        <v>922</v>
      </c>
      <c r="B923" s="12" t="s">
        <v>5112</v>
      </c>
      <c r="C923" s="12" t="s">
        <v>4941</v>
      </c>
      <c r="D923" s="12" t="s">
        <v>4942</v>
      </c>
      <c r="E923" s="12" t="s">
        <v>759</v>
      </c>
      <c r="F923" s="12" t="s">
        <v>5113</v>
      </c>
      <c r="G923" s="12" t="s">
        <v>771</v>
      </c>
      <c r="H923" s="12" t="s">
        <v>5114</v>
      </c>
      <c r="I923" s="12" t="s">
        <v>5115</v>
      </c>
      <c r="J923" s="13" t="s">
        <v>5116</v>
      </c>
      <c r="K923" s="12"/>
      <c r="L923" s="12" t="s">
        <v>5117</v>
      </c>
      <c r="M923" s="12" t="s">
        <v>5118</v>
      </c>
      <c r="N923" s="12" t="s">
        <v>956</v>
      </c>
      <c r="O923" s="12" t="s">
        <v>196</v>
      </c>
      <c r="P923" s="12" t="s">
        <v>103</v>
      </c>
      <c r="Q923" s="12" t="s">
        <v>104</v>
      </c>
      <c r="R923" s="14" t="n">
        <v>12</v>
      </c>
      <c r="S923" s="14" t="s">
        <v>197</v>
      </c>
      <c r="T923" s="14"/>
      <c r="U923" s="14" t="n">
        <v>2024</v>
      </c>
      <c r="V923" s="12" t="s">
        <v>157</v>
      </c>
      <c r="W923" s="14"/>
      <c r="X923" s="15" t="str">
        <f aca="false">IF(OR($S923="%",$R923=""),"",$R923*INDEX(Cambi!$J$2:$J$5,MATCH($S923,Cambi!$I$2:$I$5,0))/IF($T923="EUR",1,INDEX(Cambi!$D:$D,MATCH($T923&amp;"|"&amp;$U923,Cambi!$C:$C,0))))</f>
        <v/>
      </c>
      <c r="Y923" s="12" t="s">
        <v>109</v>
      </c>
      <c r="Z923" s="12" t="s">
        <v>109</v>
      </c>
      <c r="AA923" s="12" t="s">
        <v>109</v>
      </c>
      <c r="AB923" s="12" t="s">
        <v>679</v>
      </c>
      <c r="AC923" s="12" t="s">
        <v>395</v>
      </c>
      <c r="AD923" s="12" t="s">
        <v>2399</v>
      </c>
      <c r="AE923" s="12" t="s">
        <v>5119</v>
      </c>
      <c r="AF923" s="12" t="s">
        <v>5120</v>
      </c>
      <c r="AG923" s="12" t="s">
        <v>115</v>
      </c>
      <c r="AH923" s="12" t="s">
        <v>116</v>
      </c>
      <c r="AI923" s="12" t="s">
        <v>117</v>
      </c>
      <c r="AJ923" s="12" t="s">
        <v>5121</v>
      </c>
      <c r="AK923" s="12" t="s">
        <v>4</v>
      </c>
    </row>
    <row r="924" customFormat="false" ht="15" hidden="false" customHeight="false" outlineLevel="0" collapsed="false">
      <c r="A924" s="11" t="n">
        <v>923</v>
      </c>
      <c r="B924" s="12" t="s">
        <v>5112</v>
      </c>
      <c r="C924" s="12" t="s">
        <v>4941</v>
      </c>
      <c r="D924" s="12" t="s">
        <v>4942</v>
      </c>
      <c r="E924" s="12" t="s">
        <v>759</v>
      </c>
      <c r="F924" s="12" t="s">
        <v>5113</v>
      </c>
      <c r="G924" s="12" t="s">
        <v>771</v>
      </c>
      <c r="H924" s="12" t="s">
        <v>5114</v>
      </c>
      <c r="I924" s="12" t="s">
        <v>5115</v>
      </c>
      <c r="J924" s="13" t="s">
        <v>5116</v>
      </c>
      <c r="K924" s="12"/>
      <c r="L924" s="12" t="s">
        <v>5122</v>
      </c>
      <c r="M924" s="12" t="s">
        <v>5123</v>
      </c>
      <c r="N924" s="12" t="s">
        <v>956</v>
      </c>
      <c r="O924" s="12" t="s">
        <v>102</v>
      </c>
      <c r="P924" s="12" t="s">
        <v>103</v>
      </c>
      <c r="Q924" s="12" t="s">
        <v>104</v>
      </c>
      <c r="R924" s="14" t="n">
        <v>6351</v>
      </c>
      <c r="S924" s="14" t="s">
        <v>105</v>
      </c>
      <c r="T924" s="14" t="s">
        <v>106</v>
      </c>
      <c r="U924" s="14" t="n">
        <v>2024</v>
      </c>
      <c r="V924" s="12" t="s">
        <v>157</v>
      </c>
      <c r="W924" s="14"/>
      <c r="X924" s="15" t="n">
        <f aca="false">IF(OR($S924="%",$R924=""),"",$R924*INDEX(Cambi!$J$2:$J$5,MATCH($S924,Cambi!$I$2:$I$5,0))/IF($T924="EUR",1,INDEX(Cambi!$D:$D,MATCH($T924&amp;"|"&amp;$U924,Cambi!$C:$C,0))))</f>
        <v>6351</v>
      </c>
      <c r="Y924" s="12" t="s">
        <v>109</v>
      </c>
      <c r="Z924" s="12" t="s">
        <v>109</v>
      </c>
      <c r="AA924" s="12" t="s">
        <v>109</v>
      </c>
      <c r="AB924" s="12" t="s">
        <v>679</v>
      </c>
      <c r="AC924" s="12" t="s">
        <v>395</v>
      </c>
      <c r="AD924" s="12" t="s">
        <v>2399</v>
      </c>
      <c r="AE924" s="12" t="s">
        <v>5119</v>
      </c>
      <c r="AF924" s="12" t="s">
        <v>5124</v>
      </c>
      <c r="AG924" s="12" t="s">
        <v>115</v>
      </c>
      <c r="AH924" s="12" t="s">
        <v>116</v>
      </c>
      <c r="AI924" s="12" t="s">
        <v>117</v>
      </c>
      <c r="AJ924" s="12" t="s">
        <v>5125</v>
      </c>
      <c r="AK924" s="12" t="s">
        <v>4</v>
      </c>
    </row>
    <row r="925" customFormat="false" ht="15" hidden="false" customHeight="false" outlineLevel="0" collapsed="false">
      <c r="A925" s="11" t="n">
        <v>924</v>
      </c>
      <c r="B925" s="12" t="s">
        <v>5112</v>
      </c>
      <c r="C925" s="12" t="s">
        <v>4941</v>
      </c>
      <c r="D925" s="12" t="s">
        <v>4942</v>
      </c>
      <c r="E925" s="12" t="s">
        <v>759</v>
      </c>
      <c r="F925" s="12" t="s">
        <v>5113</v>
      </c>
      <c r="G925" s="12" t="s">
        <v>771</v>
      </c>
      <c r="H925" s="12" t="s">
        <v>5114</v>
      </c>
      <c r="I925" s="12" t="s">
        <v>5115</v>
      </c>
      <c r="J925" s="13" t="s">
        <v>5116</v>
      </c>
      <c r="K925" s="12"/>
      <c r="L925" s="12" t="s">
        <v>5126</v>
      </c>
      <c r="M925" s="12" t="s">
        <v>5127</v>
      </c>
      <c r="N925" s="12" t="s">
        <v>956</v>
      </c>
      <c r="O925" s="12" t="s">
        <v>196</v>
      </c>
      <c r="P925" s="12" t="s">
        <v>103</v>
      </c>
      <c r="Q925" s="12" t="s">
        <v>104</v>
      </c>
      <c r="R925" s="14" t="n">
        <v>4.65</v>
      </c>
      <c r="S925" s="14" t="s">
        <v>197</v>
      </c>
      <c r="T925" s="14"/>
      <c r="U925" s="14" t="n">
        <v>2024</v>
      </c>
      <c r="V925" s="12" t="s">
        <v>157</v>
      </c>
      <c r="W925" s="14"/>
      <c r="X925" s="15" t="str">
        <f aca="false">IF(OR($S925="%",$R925=""),"",$R925*INDEX(Cambi!$J$2:$J$5,MATCH($S925,Cambi!$I$2:$I$5,0))/IF($T925="EUR",1,INDEX(Cambi!$D:$D,MATCH($T925&amp;"|"&amp;$U925,Cambi!$C:$C,0))))</f>
        <v/>
      </c>
      <c r="Y925" s="12" t="s">
        <v>109</v>
      </c>
      <c r="Z925" s="12" t="s">
        <v>109</v>
      </c>
      <c r="AA925" s="12" t="s">
        <v>109</v>
      </c>
      <c r="AB925" s="12" t="s">
        <v>679</v>
      </c>
      <c r="AC925" s="12" t="s">
        <v>395</v>
      </c>
      <c r="AD925" s="12" t="s">
        <v>2399</v>
      </c>
      <c r="AE925" s="12" t="s">
        <v>5119</v>
      </c>
      <c r="AF925" s="12" t="s">
        <v>5128</v>
      </c>
      <c r="AG925" s="12" t="s">
        <v>115</v>
      </c>
      <c r="AH925" s="12" t="s">
        <v>116</v>
      </c>
      <c r="AI925" s="12" t="s">
        <v>117</v>
      </c>
      <c r="AJ925" s="12" t="s">
        <v>266</v>
      </c>
      <c r="AK925" s="12" t="s">
        <v>4</v>
      </c>
    </row>
    <row r="926" customFormat="false" ht="15" hidden="false" customHeight="false" outlineLevel="0" collapsed="false">
      <c r="A926" s="11" t="n">
        <v>925</v>
      </c>
      <c r="B926" s="12" t="s">
        <v>5129</v>
      </c>
      <c r="C926" s="12" t="s">
        <v>4941</v>
      </c>
      <c r="D926" s="12" t="s">
        <v>4942</v>
      </c>
      <c r="E926" s="12" t="s">
        <v>759</v>
      </c>
      <c r="F926" s="12" t="s">
        <v>845</v>
      </c>
      <c r="G926" s="12" t="s">
        <v>830</v>
      </c>
      <c r="H926" s="12" t="s">
        <v>5130</v>
      </c>
      <c r="I926" s="12" t="s">
        <v>808</v>
      </c>
      <c r="J926" s="13" t="s">
        <v>5131</v>
      </c>
      <c r="K926" s="12"/>
      <c r="L926" s="12" t="s">
        <v>5132</v>
      </c>
      <c r="M926" s="12" t="s">
        <v>5133</v>
      </c>
      <c r="N926" s="12" t="s">
        <v>352</v>
      </c>
      <c r="O926" s="12" t="s">
        <v>102</v>
      </c>
      <c r="P926" s="12" t="s">
        <v>103</v>
      </c>
      <c r="Q926" s="12" t="s">
        <v>104</v>
      </c>
      <c r="R926" s="14" t="n">
        <v>2.27</v>
      </c>
      <c r="S926" s="14" t="s">
        <v>129</v>
      </c>
      <c r="T926" s="14" t="s">
        <v>653</v>
      </c>
      <c r="U926" s="14" t="n">
        <v>2024</v>
      </c>
      <c r="V926" s="12" t="s">
        <v>198</v>
      </c>
      <c r="W926" s="14"/>
      <c r="X926" s="15" t="n">
        <f aca="false">IF(OR($S926="%",$R926=""),"",$R926*INDEX(Cambi!$J$2:$J$5,MATCH($S926,Cambi!$I$2:$I$5,0))/IF($T926="EUR",1,INDEX(Cambi!$D:$D,MATCH($T926&amp;"|"&amp;$U926,Cambi!$C:$C,0))))</f>
        <v>2097.19142645972</v>
      </c>
      <c r="Y926" s="12" t="s">
        <v>109</v>
      </c>
      <c r="Z926" s="12" t="s">
        <v>109</v>
      </c>
      <c r="AA926" s="12" t="s">
        <v>109</v>
      </c>
      <c r="AB926" s="16" t="s">
        <v>110</v>
      </c>
      <c r="AC926" s="16" t="s">
        <v>2665</v>
      </c>
      <c r="AD926" s="12" t="s">
        <v>112</v>
      </c>
      <c r="AE926" s="12" t="s">
        <v>282</v>
      </c>
      <c r="AF926" s="12" t="s">
        <v>5134</v>
      </c>
      <c r="AG926" s="12" t="s">
        <v>284</v>
      </c>
      <c r="AH926" s="12" t="s">
        <v>838</v>
      </c>
      <c r="AI926" s="12" t="s">
        <v>117</v>
      </c>
      <c r="AJ926" s="12" t="s">
        <v>5135</v>
      </c>
      <c r="AK926" s="12" t="s">
        <v>4</v>
      </c>
    </row>
    <row r="927" customFormat="false" ht="15" hidden="false" customHeight="false" outlineLevel="0" collapsed="false">
      <c r="A927" s="11" t="n">
        <v>926</v>
      </c>
      <c r="B927" s="12" t="s">
        <v>5129</v>
      </c>
      <c r="C927" s="12" t="s">
        <v>4941</v>
      </c>
      <c r="D927" s="12" t="s">
        <v>4942</v>
      </c>
      <c r="E927" s="12" t="s">
        <v>759</v>
      </c>
      <c r="F927" s="12" t="s">
        <v>845</v>
      </c>
      <c r="G927" s="12" t="s">
        <v>830</v>
      </c>
      <c r="H927" s="12" t="s">
        <v>5130</v>
      </c>
      <c r="I927" s="12" t="s">
        <v>808</v>
      </c>
      <c r="J927" s="13" t="s">
        <v>5131</v>
      </c>
      <c r="K927" s="12"/>
      <c r="L927" s="12" t="s">
        <v>5132</v>
      </c>
      <c r="M927" s="12" t="s">
        <v>5136</v>
      </c>
      <c r="N927" s="12" t="s">
        <v>352</v>
      </c>
      <c r="O927" s="12" t="s">
        <v>102</v>
      </c>
      <c r="P927" s="12" t="s">
        <v>103</v>
      </c>
      <c r="Q927" s="12" t="s">
        <v>104</v>
      </c>
      <c r="R927" s="14" t="n">
        <v>3.21</v>
      </c>
      <c r="S927" s="14" t="s">
        <v>129</v>
      </c>
      <c r="T927" s="14" t="s">
        <v>653</v>
      </c>
      <c r="U927" s="14" t="n">
        <v>2029</v>
      </c>
      <c r="V927" s="12" t="s">
        <v>107</v>
      </c>
      <c r="W927" s="14" t="s">
        <v>5137</v>
      </c>
      <c r="X927" s="15" t="n">
        <f aca="false">IF(OR($S927="%",$R927=""),"",$R927*INDEX(Cambi!$J$2:$J$5,MATCH($S927,Cambi!$I$2:$I$5,0))/IF($T927="EUR",1,INDEX(Cambi!$D:$D,MATCH($T927&amp;"|"&amp;$U927,Cambi!$C:$C,0))))</f>
        <v>2840.70796460177</v>
      </c>
      <c r="Y927" s="12" t="s">
        <v>109</v>
      </c>
      <c r="Z927" s="12" t="s">
        <v>109</v>
      </c>
      <c r="AA927" s="12" t="s">
        <v>109</v>
      </c>
      <c r="AB927" s="16" t="s">
        <v>110</v>
      </c>
      <c r="AC927" s="16" t="s">
        <v>2665</v>
      </c>
      <c r="AD927" s="12" t="s">
        <v>112</v>
      </c>
      <c r="AE927" s="12" t="s">
        <v>282</v>
      </c>
      <c r="AF927" s="12" t="s">
        <v>5138</v>
      </c>
      <c r="AG927" s="12" t="s">
        <v>284</v>
      </c>
      <c r="AH927" s="12" t="s">
        <v>838</v>
      </c>
      <c r="AI927" s="12" t="s">
        <v>117</v>
      </c>
      <c r="AJ927" s="12" t="s">
        <v>5139</v>
      </c>
      <c r="AK927" s="12" t="s">
        <v>4</v>
      </c>
    </row>
    <row r="928" customFormat="false" ht="15" hidden="false" customHeight="false" outlineLevel="0" collapsed="false">
      <c r="A928" s="11" t="n">
        <v>927</v>
      </c>
      <c r="B928" s="12" t="s">
        <v>5140</v>
      </c>
      <c r="C928" s="12" t="s">
        <v>4941</v>
      </c>
      <c r="D928" s="12" t="s">
        <v>4942</v>
      </c>
      <c r="E928" s="12" t="s">
        <v>759</v>
      </c>
      <c r="F928" s="12" t="s">
        <v>845</v>
      </c>
      <c r="G928" s="12" t="s">
        <v>830</v>
      </c>
      <c r="H928" s="12" t="s">
        <v>5141</v>
      </c>
      <c r="I928" s="12" t="s">
        <v>847</v>
      </c>
      <c r="J928" s="13" t="s">
        <v>5142</v>
      </c>
      <c r="K928" s="12"/>
      <c r="L928" s="12" t="s">
        <v>5143</v>
      </c>
      <c r="M928" s="12" t="s">
        <v>5144</v>
      </c>
      <c r="N928" s="12" t="s">
        <v>352</v>
      </c>
      <c r="O928" s="12" t="s">
        <v>196</v>
      </c>
      <c r="P928" s="12" t="s">
        <v>155</v>
      </c>
      <c r="Q928" s="12" t="s">
        <v>1027</v>
      </c>
      <c r="R928" s="14" t="n">
        <v>68.38</v>
      </c>
      <c r="S928" s="14" t="s">
        <v>197</v>
      </c>
      <c r="T928" s="14"/>
      <c r="U928" s="14" t="n">
        <v>2025</v>
      </c>
      <c r="V928" s="12" t="s">
        <v>157</v>
      </c>
      <c r="W928" s="14"/>
      <c r="X928" s="15" t="str">
        <f aca="false">IF(OR($S928="%",$R928=""),"",$R928*INDEX(Cambi!$J$2:$J$5,MATCH($S928,Cambi!$I$2:$I$5,0))/IF($T928="EUR",1,INDEX(Cambi!$D:$D,MATCH($T928&amp;"|"&amp;$U928,Cambi!$C:$C,0))))</f>
        <v/>
      </c>
      <c r="Y928" s="12" t="s">
        <v>109</v>
      </c>
      <c r="Z928" s="12" t="s">
        <v>109</v>
      </c>
      <c r="AA928" s="12" t="s">
        <v>2677</v>
      </c>
      <c r="AB928" s="16" t="s">
        <v>110</v>
      </c>
      <c r="AC928" s="16" t="s">
        <v>2665</v>
      </c>
      <c r="AD928" s="12" t="s">
        <v>112</v>
      </c>
      <c r="AE928" s="12" t="s">
        <v>282</v>
      </c>
      <c r="AF928" s="12" t="s">
        <v>5145</v>
      </c>
      <c r="AG928" s="12" t="s">
        <v>284</v>
      </c>
      <c r="AH928" s="12" t="s">
        <v>838</v>
      </c>
      <c r="AI928" s="12" t="s">
        <v>117</v>
      </c>
      <c r="AJ928" s="12" t="s">
        <v>266</v>
      </c>
      <c r="AK928" s="12" t="s">
        <v>4</v>
      </c>
    </row>
    <row r="929" customFormat="false" ht="15" hidden="false" customHeight="false" outlineLevel="0" collapsed="false">
      <c r="A929" s="11" t="n">
        <v>928</v>
      </c>
      <c r="B929" s="12" t="s">
        <v>5140</v>
      </c>
      <c r="C929" s="12" t="s">
        <v>4941</v>
      </c>
      <c r="D929" s="12" t="s">
        <v>4942</v>
      </c>
      <c r="E929" s="12" t="s">
        <v>759</v>
      </c>
      <c r="F929" s="12" t="s">
        <v>845</v>
      </c>
      <c r="G929" s="12" t="s">
        <v>830</v>
      </c>
      <c r="H929" s="12" t="s">
        <v>5141</v>
      </c>
      <c r="I929" s="12" t="s">
        <v>847</v>
      </c>
      <c r="J929" s="13" t="s">
        <v>5142</v>
      </c>
      <c r="K929" s="12"/>
      <c r="L929" s="12" t="s">
        <v>5085</v>
      </c>
      <c r="M929" s="12" t="s">
        <v>5146</v>
      </c>
      <c r="N929" s="12" t="s">
        <v>352</v>
      </c>
      <c r="O929" s="12" t="s">
        <v>102</v>
      </c>
      <c r="P929" s="12" t="s">
        <v>103</v>
      </c>
      <c r="Q929" s="12" t="s">
        <v>104</v>
      </c>
      <c r="R929" s="14" t="n">
        <v>4.57</v>
      </c>
      <c r="S929" s="14" t="s">
        <v>129</v>
      </c>
      <c r="T929" s="14" t="s">
        <v>653</v>
      </c>
      <c r="U929" s="14" t="n">
        <v>2025</v>
      </c>
      <c r="V929" s="12" t="s">
        <v>157</v>
      </c>
      <c r="W929" s="14"/>
      <c r="X929" s="15" t="n">
        <f aca="false">IF(OR($S929="%",$R929=""),"",$R929*INDEX(Cambi!$J$2:$J$5,MATCH($S929,Cambi!$I$2:$I$5,0))/IF($T929="EUR",1,INDEX(Cambi!$D:$D,MATCH($T929&amp;"|"&amp;$U929,Cambi!$C:$C,0))))</f>
        <v>4044.24778761062</v>
      </c>
      <c r="Y929" s="12" t="s">
        <v>109</v>
      </c>
      <c r="Z929" s="12" t="s">
        <v>109</v>
      </c>
      <c r="AA929" s="12" t="s">
        <v>2677</v>
      </c>
      <c r="AB929" s="16" t="s">
        <v>110</v>
      </c>
      <c r="AC929" s="16" t="s">
        <v>2665</v>
      </c>
      <c r="AD929" s="12" t="s">
        <v>112</v>
      </c>
      <c r="AE929" s="12" t="s">
        <v>282</v>
      </c>
      <c r="AF929" s="12" t="s">
        <v>5147</v>
      </c>
      <c r="AG929" s="12" t="s">
        <v>284</v>
      </c>
      <c r="AH929" s="12" t="s">
        <v>838</v>
      </c>
      <c r="AI929" s="12" t="s">
        <v>117</v>
      </c>
      <c r="AJ929" s="12" t="s">
        <v>5148</v>
      </c>
      <c r="AK929" s="12" t="s">
        <v>4</v>
      </c>
    </row>
    <row r="930" customFormat="false" ht="15" hidden="false" customHeight="false" outlineLevel="0" collapsed="false">
      <c r="A930" s="11" t="n">
        <v>929</v>
      </c>
      <c r="B930" s="12" t="s">
        <v>5140</v>
      </c>
      <c r="C930" s="12" t="s">
        <v>4941</v>
      </c>
      <c r="D930" s="12" t="s">
        <v>4942</v>
      </c>
      <c r="E930" s="12" t="s">
        <v>759</v>
      </c>
      <c r="F930" s="12" t="s">
        <v>845</v>
      </c>
      <c r="G930" s="12" t="s">
        <v>830</v>
      </c>
      <c r="H930" s="12" t="s">
        <v>5141</v>
      </c>
      <c r="I930" s="12" t="s">
        <v>847</v>
      </c>
      <c r="J930" s="13" t="s">
        <v>5142</v>
      </c>
      <c r="K930" s="12"/>
      <c r="L930" s="12" t="s">
        <v>5085</v>
      </c>
      <c r="M930" s="12" t="s">
        <v>5149</v>
      </c>
      <c r="N930" s="12" t="s">
        <v>352</v>
      </c>
      <c r="O930" s="12" t="s">
        <v>102</v>
      </c>
      <c r="P930" s="12" t="s">
        <v>103</v>
      </c>
      <c r="Q930" s="12" t="s">
        <v>104</v>
      </c>
      <c r="R930" s="14" t="n">
        <v>5.01</v>
      </c>
      <c r="S930" s="14" t="s">
        <v>129</v>
      </c>
      <c r="T930" s="14" t="s">
        <v>653</v>
      </c>
      <c r="U930" s="14" t="n">
        <v>2026</v>
      </c>
      <c r="V930" s="12" t="s">
        <v>198</v>
      </c>
      <c r="W930" s="14"/>
      <c r="X930" s="15" t="n">
        <f aca="false">IF(OR($S930="%",$R930=""),"",$R930*INDEX(Cambi!$J$2:$J$5,MATCH($S930,Cambi!$I$2:$I$5,0))/IF($T930="EUR",1,INDEX(Cambi!$D:$D,MATCH($T930&amp;"|"&amp;$U930,Cambi!$C:$C,0))))</f>
        <v>4433.62831858407</v>
      </c>
      <c r="Y930" s="12" t="s">
        <v>109</v>
      </c>
      <c r="Z930" s="12" t="s">
        <v>109</v>
      </c>
      <c r="AA930" s="12" t="s">
        <v>2677</v>
      </c>
      <c r="AB930" s="16" t="s">
        <v>110</v>
      </c>
      <c r="AC930" s="16" t="s">
        <v>2665</v>
      </c>
      <c r="AD930" s="12" t="s">
        <v>112</v>
      </c>
      <c r="AE930" s="12" t="s">
        <v>282</v>
      </c>
      <c r="AF930" s="12" t="s">
        <v>5150</v>
      </c>
      <c r="AG930" s="12" t="s">
        <v>284</v>
      </c>
      <c r="AH930" s="12" t="s">
        <v>838</v>
      </c>
      <c r="AI930" s="12" t="s">
        <v>117</v>
      </c>
      <c r="AJ930" s="12" t="s">
        <v>266</v>
      </c>
      <c r="AK930" s="12" t="s">
        <v>4</v>
      </c>
    </row>
    <row r="931" customFormat="false" ht="15" hidden="false" customHeight="false" outlineLevel="0" collapsed="false">
      <c r="A931" s="11" t="n">
        <v>930</v>
      </c>
      <c r="B931" s="12" t="s">
        <v>5140</v>
      </c>
      <c r="C931" s="12" t="s">
        <v>4941</v>
      </c>
      <c r="D931" s="12" t="s">
        <v>4942</v>
      </c>
      <c r="E931" s="12" t="s">
        <v>759</v>
      </c>
      <c r="F931" s="12" t="s">
        <v>845</v>
      </c>
      <c r="G931" s="12" t="s">
        <v>830</v>
      </c>
      <c r="H931" s="12" t="s">
        <v>5141</v>
      </c>
      <c r="I931" s="12" t="s">
        <v>847</v>
      </c>
      <c r="J931" s="13" t="s">
        <v>5142</v>
      </c>
      <c r="K931" s="12"/>
      <c r="L931" s="12" t="s">
        <v>5085</v>
      </c>
      <c r="M931" s="12" t="s">
        <v>5151</v>
      </c>
      <c r="N931" s="12" t="s">
        <v>352</v>
      </c>
      <c r="O931" s="12" t="s">
        <v>102</v>
      </c>
      <c r="P931" s="12" t="s">
        <v>103</v>
      </c>
      <c r="Q931" s="12" t="s">
        <v>104</v>
      </c>
      <c r="R931" s="14" t="n">
        <v>7.91</v>
      </c>
      <c r="S931" s="14" t="s">
        <v>129</v>
      </c>
      <c r="T931" s="14" t="s">
        <v>653</v>
      </c>
      <c r="U931" s="14" t="n">
        <v>2031</v>
      </c>
      <c r="V931" s="12" t="s">
        <v>107</v>
      </c>
      <c r="W931" s="14" t="s">
        <v>5152</v>
      </c>
      <c r="X931" s="15" t="n">
        <f aca="false">IF(OR($S931="%",$R931=""),"",$R931*INDEX(Cambi!$J$2:$J$5,MATCH($S931,Cambi!$I$2:$I$5,0))/IF($T931="EUR",1,INDEX(Cambi!$D:$D,MATCH($T931&amp;"|"&amp;$U931,Cambi!$C:$C,0))))</f>
        <v>7000</v>
      </c>
      <c r="Y931" s="12" t="s">
        <v>109</v>
      </c>
      <c r="Z931" s="12" t="s">
        <v>109</v>
      </c>
      <c r="AA931" s="12" t="s">
        <v>2677</v>
      </c>
      <c r="AB931" s="16" t="s">
        <v>110</v>
      </c>
      <c r="AC931" s="16" t="s">
        <v>2665</v>
      </c>
      <c r="AD931" s="12" t="s">
        <v>112</v>
      </c>
      <c r="AE931" s="12" t="s">
        <v>282</v>
      </c>
      <c r="AF931" s="12" t="s">
        <v>5153</v>
      </c>
      <c r="AG931" s="12" t="s">
        <v>284</v>
      </c>
      <c r="AH931" s="12" t="s">
        <v>838</v>
      </c>
      <c r="AI931" s="12" t="s">
        <v>117</v>
      </c>
      <c r="AJ931" s="12" t="s">
        <v>266</v>
      </c>
      <c r="AK931" s="12" t="s">
        <v>4</v>
      </c>
    </row>
    <row r="932" customFormat="false" ht="15" hidden="false" customHeight="false" outlineLevel="0" collapsed="false">
      <c r="A932" s="11" t="n">
        <v>931</v>
      </c>
      <c r="B932" s="12" t="s">
        <v>625</v>
      </c>
      <c r="C932" s="12" t="s">
        <v>4941</v>
      </c>
      <c r="D932" s="12" t="s">
        <v>4942</v>
      </c>
      <c r="E932" s="12" t="s">
        <v>759</v>
      </c>
      <c r="F932" s="12" t="s">
        <v>626</v>
      </c>
      <c r="G932" s="12" t="s">
        <v>95</v>
      </c>
      <c r="H932" s="12" t="s">
        <v>627</v>
      </c>
      <c r="I932" s="12" t="s">
        <v>628</v>
      </c>
      <c r="J932" s="13" t="s">
        <v>629</v>
      </c>
      <c r="K932" s="12" t="s">
        <v>630</v>
      </c>
      <c r="L932" s="12" t="s">
        <v>1110</v>
      </c>
      <c r="M932" s="12" t="s">
        <v>1111</v>
      </c>
      <c r="N932" s="12" t="s">
        <v>101</v>
      </c>
      <c r="O932" s="12" t="s">
        <v>102</v>
      </c>
      <c r="P932" s="12" t="s">
        <v>103</v>
      </c>
      <c r="Q932" s="12" t="s">
        <v>104</v>
      </c>
      <c r="R932" s="14" t="n">
        <v>1681</v>
      </c>
      <c r="S932" s="14" t="s">
        <v>105</v>
      </c>
      <c r="T932" s="14" t="s">
        <v>106</v>
      </c>
      <c r="U932" s="14" t="n">
        <v>2026</v>
      </c>
      <c r="V932" s="12" t="s">
        <v>107</v>
      </c>
      <c r="W932" s="14"/>
      <c r="X932" s="15" t="n">
        <f aca="false">IF(OR($S932="%",$R932=""),"",$R932*INDEX(Cambi!$J$2:$J$5,MATCH($S932,Cambi!$I$2:$I$5,0))/IF($T932="EUR",1,INDEX(Cambi!$D:$D,MATCH($T932&amp;"|"&amp;$U932,Cambi!$C:$C,0))))</f>
        <v>1681</v>
      </c>
      <c r="Y932" s="12" t="s">
        <v>130</v>
      </c>
      <c r="Z932" s="12" t="s">
        <v>109</v>
      </c>
      <c r="AA932" s="12" t="s">
        <v>633</v>
      </c>
      <c r="AB932" s="16" t="s">
        <v>110</v>
      </c>
      <c r="AC932" s="16" t="s">
        <v>634</v>
      </c>
      <c r="AD932" s="12" t="s">
        <v>281</v>
      </c>
      <c r="AE932" s="12" t="s">
        <v>635</v>
      </c>
      <c r="AF932" s="12" t="s">
        <v>5154</v>
      </c>
      <c r="AG932" s="12" t="s">
        <v>115</v>
      </c>
      <c r="AH932" s="12" t="s">
        <v>116</v>
      </c>
      <c r="AI932" s="12" t="s">
        <v>285</v>
      </c>
      <c r="AJ932" s="12" t="s">
        <v>1113</v>
      </c>
      <c r="AK932" s="12" t="s">
        <v>4</v>
      </c>
    </row>
    <row r="933" customFormat="false" ht="15" hidden="false" customHeight="false" outlineLevel="0" collapsed="false">
      <c r="A933" s="11" t="n">
        <v>932</v>
      </c>
      <c r="B933" s="12" t="s">
        <v>3601</v>
      </c>
      <c r="C933" s="12" t="s">
        <v>4941</v>
      </c>
      <c r="D933" s="12" t="s">
        <v>4942</v>
      </c>
      <c r="E933" s="12" t="s">
        <v>759</v>
      </c>
      <c r="F933" s="12" t="s">
        <v>3602</v>
      </c>
      <c r="G933" s="12" t="s">
        <v>830</v>
      </c>
      <c r="H933" s="12" t="s">
        <v>5155</v>
      </c>
      <c r="I933" s="12" t="s">
        <v>3604</v>
      </c>
      <c r="J933" s="13" t="s">
        <v>5156</v>
      </c>
      <c r="K933" s="12"/>
      <c r="L933" s="12" t="s">
        <v>5157</v>
      </c>
      <c r="M933" s="12" t="s">
        <v>5158</v>
      </c>
      <c r="N933" s="12" t="s">
        <v>352</v>
      </c>
      <c r="O933" s="12" t="s">
        <v>102</v>
      </c>
      <c r="P933" s="12" t="s">
        <v>103</v>
      </c>
      <c r="Q933" s="12" t="s">
        <v>104</v>
      </c>
      <c r="R933" s="14" t="n">
        <v>4</v>
      </c>
      <c r="S933" s="14" t="s">
        <v>129</v>
      </c>
      <c r="T933" s="14" t="s">
        <v>106</v>
      </c>
      <c r="U933" s="14" t="n">
        <v>2029</v>
      </c>
      <c r="V933" s="12" t="s">
        <v>107</v>
      </c>
      <c r="W933" s="14"/>
      <c r="X933" s="15" t="n">
        <f aca="false">IF(OR($S933="%",$R933=""),"",$R933*INDEX(Cambi!$J$2:$J$5,MATCH($S933,Cambi!$I$2:$I$5,0))/IF($T933="EUR",1,INDEX(Cambi!$D:$D,MATCH($T933&amp;"|"&amp;$U933,Cambi!$C:$C,0))))</f>
        <v>4000</v>
      </c>
      <c r="Y933" s="12" t="s">
        <v>654</v>
      </c>
      <c r="Z933" s="12" t="s">
        <v>109</v>
      </c>
      <c r="AA933" s="12" t="s">
        <v>1301</v>
      </c>
      <c r="AB933" s="12" t="s">
        <v>679</v>
      </c>
      <c r="AC933" s="12" t="s">
        <v>395</v>
      </c>
      <c r="AD933" s="12" t="s">
        <v>201</v>
      </c>
      <c r="AE933" s="12" t="s">
        <v>3608</v>
      </c>
      <c r="AF933" s="12" t="s">
        <v>5159</v>
      </c>
      <c r="AG933" s="12" t="s">
        <v>498</v>
      </c>
      <c r="AH933" s="12" t="s">
        <v>838</v>
      </c>
      <c r="AI933" s="12" t="s">
        <v>117</v>
      </c>
      <c r="AJ933" s="12" t="s">
        <v>5160</v>
      </c>
      <c r="AK933" s="12" t="s">
        <v>4</v>
      </c>
    </row>
    <row r="934" customFormat="false" ht="15" hidden="false" customHeight="false" outlineLevel="0" collapsed="false">
      <c r="A934" s="11" t="n">
        <v>933</v>
      </c>
      <c r="B934" s="12" t="s">
        <v>1793</v>
      </c>
      <c r="C934" s="12" t="s">
        <v>5161</v>
      </c>
      <c r="D934" s="12" t="s">
        <v>5162</v>
      </c>
      <c r="E934" s="12" t="s">
        <v>759</v>
      </c>
      <c r="F934" s="12" t="s">
        <v>1794</v>
      </c>
      <c r="G934" s="12" t="s">
        <v>771</v>
      </c>
      <c r="H934" s="12" t="s">
        <v>1795</v>
      </c>
      <c r="I934" s="12" t="s">
        <v>1796</v>
      </c>
      <c r="J934" s="13" t="s">
        <v>1797</v>
      </c>
      <c r="K934" s="12" t="s">
        <v>1798</v>
      </c>
      <c r="L934" s="12" t="s">
        <v>1799</v>
      </c>
      <c r="M934" s="12" t="s">
        <v>1800</v>
      </c>
      <c r="N934" s="12" t="s">
        <v>352</v>
      </c>
      <c r="O934" s="12" t="s">
        <v>102</v>
      </c>
      <c r="P934" s="12" t="s">
        <v>103</v>
      </c>
      <c r="Q934" s="12" t="s">
        <v>104</v>
      </c>
      <c r="R934" s="14" t="n">
        <v>1.32</v>
      </c>
      <c r="S934" s="14" t="s">
        <v>129</v>
      </c>
      <c r="T934" s="14" t="s">
        <v>106</v>
      </c>
      <c r="U934" s="14" t="n">
        <v>2025</v>
      </c>
      <c r="V934" s="12" t="s">
        <v>157</v>
      </c>
      <c r="W934" s="14" t="s">
        <v>5163</v>
      </c>
      <c r="X934" s="15" t="n">
        <f aca="false">IF(OR($S934="%",$R934=""),"",$R934*INDEX(Cambi!$J$2:$J$5,MATCH($S934,Cambi!$I$2:$I$5,0))/IF($T934="EUR",1,INDEX(Cambi!$D:$D,MATCH($T934&amp;"|"&amp;$U934,Cambi!$C:$C,0))))</f>
        <v>1320</v>
      </c>
      <c r="Y934" s="12" t="s">
        <v>109</v>
      </c>
      <c r="Z934" s="12" t="s">
        <v>285</v>
      </c>
      <c r="AA934" s="12" t="s">
        <v>109</v>
      </c>
      <c r="AB934" s="16" t="s">
        <v>679</v>
      </c>
      <c r="AC934" s="16" t="s">
        <v>1802</v>
      </c>
      <c r="AD934" s="12" t="s">
        <v>281</v>
      </c>
      <c r="AE934" s="12" t="s">
        <v>1803</v>
      </c>
      <c r="AF934" s="12" t="s">
        <v>5164</v>
      </c>
      <c r="AG934" s="12" t="s">
        <v>284</v>
      </c>
      <c r="AH934" s="12" t="s">
        <v>116</v>
      </c>
      <c r="AI934" s="12" t="s">
        <v>285</v>
      </c>
      <c r="AJ934" s="12" t="s">
        <v>5165</v>
      </c>
      <c r="AK934" s="12" t="s">
        <v>4</v>
      </c>
    </row>
    <row r="935" customFormat="false" ht="15" hidden="false" customHeight="false" outlineLevel="0" collapsed="false">
      <c r="A935" s="11" t="n">
        <v>934</v>
      </c>
      <c r="B935" s="12" t="s">
        <v>5166</v>
      </c>
      <c r="C935" s="12" t="s">
        <v>5161</v>
      </c>
      <c r="D935" s="12" t="s">
        <v>5162</v>
      </c>
      <c r="E935" s="12" t="s">
        <v>759</v>
      </c>
      <c r="F935" s="12" t="s">
        <v>5167</v>
      </c>
      <c r="G935" s="12" t="s">
        <v>581</v>
      </c>
      <c r="H935" s="12" t="s">
        <v>5168</v>
      </c>
      <c r="I935" s="12" t="s">
        <v>583</v>
      </c>
      <c r="J935" s="13" t="s">
        <v>5169</v>
      </c>
      <c r="K935" s="12" t="s">
        <v>5170</v>
      </c>
      <c r="L935" s="12" t="s">
        <v>5171</v>
      </c>
      <c r="M935" s="12" t="s">
        <v>5172</v>
      </c>
      <c r="N935" s="12" t="s">
        <v>195</v>
      </c>
      <c r="O935" s="12" t="s">
        <v>196</v>
      </c>
      <c r="P935" s="12" t="s">
        <v>103</v>
      </c>
      <c r="Q935" s="12" t="s">
        <v>104</v>
      </c>
      <c r="R935" s="14" t="n">
        <v>5.8</v>
      </c>
      <c r="S935" s="14" t="s">
        <v>197</v>
      </c>
      <c r="T935" s="14"/>
      <c r="U935" s="14" t="n">
        <v>2023</v>
      </c>
      <c r="V935" s="12" t="s">
        <v>157</v>
      </c>
      <c r="W935" s="14"/>
      <c r="X935" s="15" t="str">
        <f aca="false">IF(OR($S935="%",$R935=""),"",$R935*INDEX(Cambi!$J$2:$J$5,MATCH($S935,Cambi!$I$2:$I$5,0))/IF($T935="EUR",1,INDEX(Cambi!$D:$D,MATCH($T935&amp;"|"&amp;$U935,Cambi!$C:$C,0))))</f>
        <v/>
      </c>
      <c r="Y935" s="12" t="s">
        <v>109</v>
      </c>
      <c r="Z935" s="12" t="s">
        <v>109</v>
      </c>
      <c r="AA935" s="12" t="s">
        <v>109</v>
      </c>
      <c r="AB935" s="16" t="s">
        <v>394</v>
      </c>
      <c r="AC935" s="16" t="s">
        <v>5173</v>
      </c>
      <c r="AD935" s="12" t="s">
        <v>281</v>
      </c>
      <c r="AE935" s="12" t="s">
        <v>282</v>
      </c>
      <c r="AF935" s="12" t="s">
        <v>5174</v>
      </c>
      <c r="AG935" s="12" t="s">
        <v>284</v>
      </c>
      <c r="AH935" s="12" t="s">
        <v>499</v>
      </c>
      <c r="AI935" s="12" t="s">
        <v>285</v>
      </c>
      <c r="AJ935" s="12" t="s">
        <v>5175</v>
      </c>
      <c r="AK935" s="12" t="s">
        <v>4</v>
      </c>
    </row>
    <row r="936" customFormat="false" ht="15" hidden="false" customHeight="false" outlineLevel="0" collapsed="false">
      <c r="A936" s="11" t="n">
        <v>935</v>
      </c>
      <c r="B936" s="12" t="s">
        <v>5166</v>
      </c>
      <c r="C936" s="12" t="s">
        <v>5161</v>
      </c>
      <c r="D936" s="12" t="s">
        <v>5162</v>
      </c>
      <c r="E936" s="12" t="s">
        <v>759</v>
      </c>
      <c r="F936" s="12" t="s">
        <v>5167</v>
      </c>
      <c r="G936" s="12" t="s">
        <v>581</v>
      </c>
      <c r="H936" s="12" t="s">
        <v>5168</v>
      </c>
      <c r="I936" s="12" t="s">
        <v>583</v>
      </c>
      <c r="J936" s="13" t="s">
        <v>5169</v>
      </c>
      <c r="K936" s="12" t="s">
        <v>5170</v>
      </c>
      <c r="L936" s="12" t="s">
        <v>5176</v>
      </c>
      <c r="M936" s="12" t="s">
        <v>5177</v>
      </c>
      <c r="N936" s="12" t="s">
        <v>212</v>
      </c>
      <c r="O936" s="12" t="s">
        <v>102</v>
      </c>
      <c r="P936" s="12" t="s">
        <v>103</v>
      </c>
      <c r="Q936" s="12" t="s">
        <v>104</v>
      </c>
      <c r="R936" s="14" t="n">
        <v>13.4</v>
      </c>
      <c r="S936" s="14" t="s">
        <v>129</v>
      </c>
      <c r="T936" s="14" t="s">
        <v>5178</v>
      </c>
      <c r="U936" s="14" t="n">
        <v>2023</v>
      </c>
      <c r="V936" s="12" t="s">
        <v>157</v>
      </c>
      <c r="W936" s="14"/>
      <c r="X936" s="15" t="n">
        <f aca="false">IF(OR($S936="%",$R936=""),"",$R936*INDEX(Cambi!$J$2:$J$5,MATCH($S936,Cambi!$I$2:$I$5,0))/IF($T936="EUR",1,INDEX(Cambi!$D:$D,MATCH($T936&amp;"|"&amp;$U936,Cambi!$C:$C,0))))</f>
        <v>1167.36941143674</v>
      </c>
      <c r="Y936" s="12" t="s">
        <v>109</v>
      </c>
      <c r="Z936" s="12" t="s">
        <v>109</v>
      </c>
      <c r="AA936" s="12" t="s">
        <v>109</v>
      </c>
      <c r="AB936" s="16" t="s">
        <v>394</v>
      </c>
      <c r="AC936" s="16" t="s">
        <v>5173</v>
      </c>
      <c r="AD936" s="12" t="s">
        <v>281</v>
      </c>
      <c r="AE936" s="12" t="s">
        <v>282</v>
      </c>
      <c r="AF936" s="12" t="s">
        <v>5179</v>
      </c>
      <c r="AG936" s="12" t="s">
        <v>284</v>
      </c>
      <c r="AH936" s="12" t="s">
        <v>499</v>
      </c>
      <c r="AI936" s="12" t="s">
        <v>285</v>
      </c>
      <c r="AJ936" s="12" t="s">
        <v>5180</v>
      </c>
      <c r="AK936" s="12" t="s">
        <v>4</v>
      </c>
    </row>
    <row r="937" customFormat="false" ht="15" hidden="false" customHeight="false" outlineLevel="0" collapsed="false">
      <c r="A937" s="11" t="n">
        <v>936</v>
      </c>
      <c r="B937" s="12" t="s">
        <v>5181</v>
      </c>
      <c r="C937" s="12" t="s">
        <v>5161</v>
      </c>
      <c r="D937" s="12" t="s">
        <v>5162</v>
      </c>
      <c r="E937" s="12" t="s">
        <v>759</v>
      </c>
      <c r="F937" s="12" t="s">
        <v>5182</v>
      </c>
      <c r="G937" s="12" t="s">
        <v>771</v>
      </c>
      <c r="H937" s="12" t="s">
        <v>5183</v>
      </c>
      <c r="I937" s="12" t="s">
        <v>181</v>
      </c>
      <c r="J937" s="13" t="s">
        <v>5184</v>
      </c>
      <c r="K937" s="12" t="s">
        <v>5185</v>
      </c>
      <c r="L937" s="12" t="s">
        <v>5186</v>
      </c>
      <c r="M937" s="12" t="s">
        <v>5187</v>
      </c>
      <c r="N937" s="12" t="s">
        <v>352</v>
      </c>
      <c r="O937" s="12" t="s">
        <v>102</v>
      </c>
      <c r="P937" s="12" t="s">
        <v>103</v>
      </c>
      <c r="Q937" s="12" t="s">
        <v>104</v>
      </c>
      <c r="R937" s="14" t="n">
        <v>1380.5</v>
      </c>
      <c r="S937" s="14" t="s">
        <v>105</v>
      </c>
      <c r="T937" s="14" t="s">
        <v>106</v>
      </c>
      <c r="U937" s="14" t="n">
        <v>2023</v>
      </c>
      <c r="V937" s="12" t="s">
        <v>157</v>
      </c>
      <c r="W937" s="14" t="s">
        <v>5188</v>
      </c>
      <c r="X937" s="15" t="n">
        <f aca="false">IF(OR($S937="%",$R937=""),"",$R937*INDEX(Cambi!$J$2:$J$5,MATCH($S937,Cambi!$I$2:$I$5,0))/IF($T937="EUR",1,INDEX(Cambi!$D:$D,MATCH($T937&amp;"|"&amp;$U937,Cambi!$C:$C,0))))</f>
        <v>1380.5</v>
      </c>
      <c r="Y937" s="12" t="s">
        <v>109</v>
      </c>
      <c r="Z937" s="12" t="s">
        <v>109</v>
      </c>
      <c r="AA937" s="12" t="s">
        <v>109</v>
      </c>
      <c r="AB937" s="16" t="s">
        <v>110</v>
      </c>
      <c r="AC937" s="16" t="s">
        <v>5189</v>
      </c>
      <c r="AD937" s="12" t="s">
        <v>281</v>
      </c>
      <c r="AE937" s="12" t="s">
        <v>282</v>
      </c>
      <c r="AF937" s="12" t="s">
        <v>5190</v>
      </c>
      <c r="AG937" s="12" t="s">
        <v>284</v>
      </c>
      <c r="AH937" s="12" t="s">
        <v>116</v>
      </c>
      <c r="AI937" s="12" t="s">
        <v>285</v>
      </c>
      <c r="AJ937" s="12" t="s">
        <v>5191</v>
      </c>
      <c r="AK937" s="12" t="s">
        <v>4</v>
      </c>
    </row>
    <row r="938" customFormat="false" ht="15" hidden="false" customHeight="false" outlineLevel="0" collapsed="false">
      <c r="A938" s="11" t="n">
        <v>937</v>
      </c>
      <c r="B938" s="12" t="s">
        <v>5181</v>
      </c>
      <c r="C938" s="12" t="s">
        <v>5161</v>
      </c>
      <c r="D938" s="12" t="s">
        <v>5162</v>
      </c>
      <c r="E938" s="12" t="s">
        <v>759</v>
      </c>
      <c r="F938" s="12" t="s">
        <v>5182</v>
      </c>
      <c r="G938" s="12" t="s">
        <v>771</v>
      </c>
      <c r="H938" s="12" t="s">
        <v>5183</v>
      </c>
      <c r="I938" s="12" t="s">
        <v>181</v>
      </c>
      <c r="J938" s="13" t="s">
        <v>5184</v>
      </c>
      <c r="K938" s="12" t="s">
        <v>5185</v>
      </c>
      <c r="L938" s="12" t="s">
        <v>5186</v>
      </c>
      <c r="M938" s="12" t="s">
        <v>5187</v>
      </c>
      <c r="N938" s="12" t="s">
        <v>352</v>
      </c>
      <c r="O938" s="12" t="s">
        <v>102</v>
      </c>
      <c r="P938" s="12" t="s">
        <v>103</v>
      </c>
      <c r="Q938" s="12" t="s">
        <v>104</v>
      </c>
      <c r="R938" s="14" t="n">
        <v>2300</v>
      </c>
      <c r="S938" s="14" t="s">
        <v>105</v>
      </c>
      <c r="T938" s="14" t="s">
        <v>106</v>
      </c>
      <c r="U938" s="14" t="n">
        <v>2029</v>
      </c>
      <c r="V938" s="12" t="s">
        <v>107</v>
      </c>
      <c r="W938" s="14" t="s">
        <v>5188</v>
      </c>
      <c r="X938" s="15" t="n">
        <f aca="false">IF(OR($S938="%",$R938=""),"",$R938*INDEX(Cambi!$J$2:$J$5,MATCH($S938,Cambi!$I$2:$I$5,0))/IF($T938="EUR",1,INDEX(Cambi!$D:$D,MATCH($T938&amp;"|"&amp;$U938,Cambi!$C:$C,0))))</f>
        <v>2300</v>
      </c>
      <c r="Y938" s="12" t="s">
        <v>109</v>
      </c>
      <c r="Z938" s="12" t="s">
        <v>109</v>
      </c>
      <c r="AA938" s="12" t="s">
        <v>109</v>
      </c>
      <c r="AB938" s="16" t="s">
        <v>110</v>
      </c>
      <c r="AC938" s="16" t="s">
        <v>5189</v>
      </c>
      <c r="AD938" s="12" t="s">
        <v>281</v>
      </c>
      <c r="AE938" s="12" t="s">
        <v>282</v>
      </c>
      <c r="AF938" s="12" t="s">
        <v>5192</v>
      </c>
      <c r="AG938" s="12" t="s">
        <v>284</v>
      </c>
      <c r="AH938" s="12" t="s">
        <v>116</v>
      </c>
      <c r="AI938" s="12" t="s">
        <v>285</v>
      </c>
      <c r="AJ938" s="12" t="s">
        <v>5193</v>
      </c>
      <c r="AK938" s="12" t="s">
        <v>4</v>
      </c>
    </row>
    <row r="939" customFormat="false" ht="15" hidden="false" customHeight="false" outlineLevel="0" collapsed="false">
      <c r="A939" s="11" t="n">
        <v>938</v>
      </c>
      <c r="B939" s="12" t="s">
        <v>5181</v>
      </c>
      <c r="C939" s="12" t="s">
        <v>5161</v>
      </c>
      <c r="D939" s="12" t="s">
        <v>5162</v>
      </c>
      <c r="E939" s="12" t="s">
        <v>759</v>
      </c>
      <c r="F939" s="12" t="s">
        <v>5182</v>
      </c>
      <c r="G939" s="12" t="s">
        <v>771</v>
      </c>
      <c r="H939" s="12" t="s">
        <v>5183</v>
      </c>
      <c r="I939" s="12" t="s">
        <v>181</v>
      </c>
      <c r="J939" s="13" t="s">
        <v>5184</v>
      </c>
      <c r="K939" s="12" t="s">
        <v>5185</v>
      </c>
      <c r="L939" s="12" t="s">
        <v>5186</v>
      </c>
      <c r="M939" s="12" t="s">
        <v>5187</v>
      </c>
      <c r="N939" s="12" t="s">
        <v>352</v>
      </c>
      <c r="O939" s="12" t="s">
        <v>102</v>
      </c>
      <c r="P939" s="12" t="s">
        <v>103</v>
      </c>
      <c r="Q939" s="12" t="s">
        <v>104</v>
      </c>
      <c r="R939" s="14" t="n">
        <v>2900</v>
      </c>
      <c r="S939" s="14" t="s">
        <v>105</v>
      </c>
      <c r="T939" s="14" t="s">
        <v>106</v>
      </c>
      <c r="U939" s="14" t="n">
        <v>2032</v>
      </c>
      <c r="V939" s="12" t="s">
        <v>107</v>
      </c>
      <c r="W939" s="14" t="s">
        <v>5188</v>
      </c>
      <c r="X939" s="15" t="n">
        <f aca="false">IF(OR($S939="%",$R939=""),"",$R939*INDEX(Cambi!$J$2:$J$5,MATCH($S939,Cambi!$I$2:$I$5,0))/IF($T939="EUR",1,INDEX(Cambi!$D:$D,MATCH($T939&amp;"|"&amp;$U939,Cambi!$C:$C,0))))</f>
        <v>2900</v>
      </c>
      <c r="Y939" s="12" t="s">
        <v>109</v>
      </c>
      <c r="Z939" s="12" t="s">
        <v>109</v>
      </c>
      <c r="AA939" s="12" t="s">
        <v>109</v>
      </c>
      <c r="AB939" s="16" t="s">
        <v>110</v>
      </c>
      <c r="AC939" s="16" t="s">
        <v>5189</v>
      </c>
      <c r="AD939" s="12" t="s">
        <v>281</v>
      </c>
      <c r="AE939" s="12" t="s">
        <v>282</v>
      </c>
      <c r="AF939" s="12" t="s">
        <v>5192</v>
      </c>
      <c r="AG939" s="12" t="s">
        <v>284</v>
      </c>
      <c r="AH939" s="12" t="s">
        <v>116</v>
      </c>
      <c r="AI939" s="12" t="s">
        <v>285</v>
      </c>
      <c r="AJ939" s="12" t="s">
        <v>5193</v>
      </c>
      <c r="AK939" s="12" t="s">
        <v>4</v>
      </c>
    </row>
    <row r="940" customFormat="false" ht="15" hidden="false" customHeight="false" outlineLevel="0" collapsed="false">
      <c r="A940" s="11" t="n">
        <v>939</v>
      </c>
      <c r="B940" s="12" t="s">
        <v>5194</v>
      </c>
      <c r="C940" s="12" t="s">
        <v>5161</v>
      </c>
      <c r="D940" s="12" t="s">
        <v>5162</v>
      </c>
      <c r="E940" s="12" t="s">
        <v>759</v>
      </c>
      <c r="F940" s="12" t="s">
        <v>5195</v>
      </c>
      <c r="G940" s="12" t="s">
        <v>771</v>
      </c>
      <c r="H940" s="12" t="s">
        <v>5196</v>
      </c>
      <c r="I940" s="12" t="s">
        <v>5197</v>
      </c>
      <c r="J940" s="13" t="s">
        <v>5198</v>
      </c>
      <c r="K940" s="12" t="s">
        <v>5199</v>
      </c>
      <c r="L940" s="12" t="s">
        <v>5200</v>
      </c>
      <c r="M940" s="12" t="s">
        <v>5201</v>
      </c>
      <c r="N940" s="12" t="s">
        <v>352</v>
      </c>
      <c r="O940" s="12" t="s">
        <v>196</v>
      </c>
      <c r="P940" s="12" t="s">
        <v>214</v>
      </c>
      <c r="Q940" s="12" t="s">
        <v>5202</v>
      </c>
      <c r="R940" s="14" t="n">
        <v>30</v>
      </c>
      <c r="S940" s="14" t="s">
        <v>197</v>
      </c>
      <c r="T940" s="14"/>
      <c r="U940" s="14" t="n">
        <v>2024</v>
      </c>
      <c r="V940" s="12" t="s">
        <v>157</v>
      </c>
      <c r="W940" s="14"/>
      <c r="X940" s="15" t="str">
        <f aca="false">IF(OR($S940="%",$R940=""),"",$R940*INDEX(Cambi!$J$2:$J$5,MATCH($S940,Cambi!$I$2:$I$5,0))/IF($T940="EUR",1,INDEX(Cambi!$D:$D,MATCH($T940&amp;"|"&amp;$U940,Cambi!$C:$C,0))))</f>
        <v/>
      </c>
      <c r="Y940" s="12" t="s">
        <v>109</v>
      </c>
      <c r="Z940" s="12" t="s">
        <v>109</v>
      </c>
      <c r="AA940" s="12" t="s">
        <v>109</v>
      </c>
      <c r="AB940" s="16" t="s">
        <v>110</v>
      </c>
      <c r="AC940" s="16" t="s">
        <v>5203</v>
      </c>
      <c r="AD940" s="12" t="s">
        <v>281</v>
      </c>
      <c r="AE940" s="12" t="s">
        <v>282</v>
      </c>
      <c r="AF940" s="12" t="s">
        <v>5204</v>
      </c>
      <c r="AG940" s="12" t="s">
        <v>284</v>
      </c>
      <c r="AH940" s="12" t="s">
        <v>499</v>
      </c>
      <c r="AI940" s="12" t="s">
        <v>285</v>
      </c>
      <c r="AJ940" s="12" t="s">
        <v>5205</v>
      </c>
      <c r="AK940" s="12" t="s">
        <v>4</v>
      </c>
    </row>
    <row r="941" customFormat="false" ht="15" hidden="false" customHeight="false" outlineLevel="0" collapsed="false">
      <c r="A941" s="11" t="n">
        <v>940</v>
      </c>
      <c r="B941" s="12" t="s">
        <v>5194</v>
      </c>
      <c r="C941" s="12" t="s">
        <v>5161</v>
      </c>
      <c r="D941" s="12" t="s">
        <v>5162</v>
      </c>
      <c r="E941" s="12" t="s">
        <v>759</v>
      </c>
      <c r="F941" s="12" t="s">
        <v>5195</v>
      </c>
      <c r="G941" s="12" t="s">
        <v>771</v>
      </c>
      <c r="H941" s="12" t="s">
        <v>5196</v>
      </c>
      <c r="I941" s="12" t="s">
        <v>5197</v>
      </c>
      <c r="J941" s="13" t="s">
        <v>5198</v>
      </c>
      <c r="K941" s="12" t="s">
        <v>5199</v>
      </c>
      <c r="L941" s="12" t="s">
        <v>5200</v>
      </c>
      <c r="M941" s="12" t="s">
        <v>5201</v>
      </c>
      <c r="N941" s="12" t="s">
        <v>352</v>
      </c>
      <c r="O941" s="12" t="s">
        <v>196</v>
      </c>
      <c r="P941" s="12" t="s">
        <v>214</v>
      </c>
      <c r="Q941" s="12" t="s">
        <v>5206</v>
      </c>
      <c r="R941" s="14" t="n">
        <v>20</v>
      </c>
      <c r="S941" s="14" t="s">
        <v>197</v>
      </c>
      <c r="T941" s="14"/>
      <c r="U941" s="14" t="n">
        <v>2024</v>
      </c>
      <c r="V941" s="12" t="s">
        <v>157</v>
      </c>
      <c r="W941" s="14"/>
      <c r="X941" s="15" t="str">
        <f aca="false">IF(OR($S941="%",$R941=""),"",$R941*INDEX(Cambi!$J$2:$J$5,MATCH($S941,Cambi!$I$2:$I$5,0))/IF($T941="EUR",1,INDEX(Cambi!$D:$D,MATCH($T941&amp;"|"&amp;$U941,Cambi!$C:$C,0))))</f>
        <v/>
      </c>
      <c r="Y941" s="12" t="s">
        <v>109</v>
      </c>
      <c r="Z941" s="12" t="s">
        <v>109</v>
      </c>
      <c r="AA941" s="12" t="s">
        <v>109</v>
      </c>
      <c r="AB941" s="16" t="s">
        <v>110</v>
      </c>
      <c r="AC941" s="16" t="s">
        <v>5203</v>
      </c>
      <c r="AD941" s="12" t="s">
        <v>281</v>
      </c>
      <c r="AE941" s="12" t="s">
        <v>282</v>
      </c>
      <c r="AF941" s="12" t="s">
        <v>5207</v>
      </c>
      <c r="AG941" s="12" t="s">
        <v>284</v>
      </c>
      <c r="AH941" s="12" t="s">
        <v>499</v>
      </c>
      <c r="AI941" s="12" t="s">
        <v>285</v>
      </c>
      <c r="AJ941" s="12" t="s">
        <v>5205</v>
      </c>
      <c r="AK941" s="12" t="s">
        <v>4</v>
      </c>
    </row>
    <row r="942" customFormat="false" ht="15" hidden="false" customHeight="false" outlineLevel="0" collapsed="false">
      <c r="A942" s="11" t="n">
        <v>941</v>
      </c>
      <c r="B942" s="12" t="s">
        <v>5194</v>
      </c>
      <c r="C942" s="12" t="s">
        <v>5161</v>
      </c>
      <c r="D942" s="12" t="s">
        <v>5162</v>
      </c>
      <c r="E942" s="12" t="s">
        <v>759</v>
      </c>
      <c r="F942" s="12" t="s">
        <v>5195</v>
      </c>
      <c r="G942" s="12" t="s">
        <v>771</v>
      </c>
      <c r="H942" s="12" t="s">
        <v>5196</v>
      </c>
      <c r="I942" s="12" t="s">
        <v>5197</v>
      </c>
      <c r="J942" s="13" t="s">
        <v>5198</v>
      </c>
      <c r="K942" s="12" t="s">
        <v>5199</v>
      </c>
      <c r="L942" s="12" t="s">
        <v>5200</v>
      </c>
      <c r="M942" s="12" t="s">
        <v>5201</v>
      </c>
      <c r="N942" s="12" t="s">
        <v>352</v>
      </c>
      <c r="O942" s="12" t="s">
        <v>196</v>
      </c>
      <c r="P942" s="12" t="s">
        <v>214</v>
      </c>
      <c r="Q942" s="12" t="s">
        <v>5208</v>
      </c>
      <c r="R942" s="14" t="n">
        <v>16</v>
      </c>
      <c r="S942" s="14" t="s">
        <v>197</v>
      </c>
      <c r="T942" s="14"/>
      <c r="U942" s="14" t="n">
        <v>2024</v>
      </c>
      <c r="V942" s="12" t="s">
        <v>157</v>
      </c>
      <c r="W942" s="14"/>
      <c r="X942" s="15" t="str">
        <f aca="false">IF(OR($S942="%",$R942=""),"",$R942*INDEX(Cambi!$J$2:$J$5,MATCH($S942,Cambi!$I$2:$I$5,0))/IF($T942="EUR",1,INDEX(Cambi!$D:$D,MATCH($T942&amp;"|"&amp;$U942,Cambi!$C:$C,0))))</f>
        <v/>
      </c>
      <c r="Y942" s="12" t="s">
        <v>109</v>
      </c>
      <c r="Z942" s="12" t="s">
        <v>109</v>
      </c>
      <c r="AA942" s="12" t="s">
        <v>109</v>
      </c>
      <c r="AB942" s="16" t="s">
        <v>110</v>
      </c>
      <c r="AC942" s="16" t="s">
        <v>5203</v>
      </c>
      <c r="AD942" s="12" t="s">
        <v>281</v>
      </c>
      <c r="AE942" s="12" t="s">
        <v>282</v>
      </c>
      <c r="AF942" s="12" t="s">
        <v>5209</v>
      </c>
      <c r="AG942" s="12" t="s">
        <v>284</v>
      </c>
      <c r="AH942" s="12" t="s">
        <v>499</v>
      </c>
      <c r="AI942" s="12" t="s">
        <v>285</v>
      </c>
      <c r="AJ942" s="12" t="s">
        <v>5205</v>
      </c>
      <c r="AK942" s="12" t="s">
        <v>4</v>
      </c>
    </row>
    <row r="943" customFormat="false" ht="15" hidden="false" customHeight="false" outlineLevel="0" collapsed="false">
      <c r="A943" s="11" t="n">
        <v>942</v>
      </c>
      <c r="B943" s="12" t="s">
        <v>5210</v>
      </c>
      <c r="C943" s="12" t="s">
        <v>5161</v>
      </c>
      <c r="D943" s="12" t="s">
        <v>5162</v>
      </c>
      <c r="E943" s="12" t="s">
        <v>759</v>
      </c>
      <c r="F943" s="12" t="s">
        <v>845</v>
      </c>
      <c r="G943" s="12" t="s">
        <v>830</v>
      </c>
      <c r="H943" s="12" t="s">
        <v>5211</v>
      </c>
      <c r="I943" s="12" t="s">
        <v>847</v>
      </c>
      <c r="J943" s="13" t="s">
        <v>5212</v>
      </c>
      <c r="K943" s="12"/>
      <c r="L943" s="12" t="s">
        <v>5213</v>
      </c>
      <c r="M943" s="12" t="s">
        <v>5214</v>
      </c>
      <c r="N943" s="12" t="s">
        <v>352</v>
      </c>
      <c r="O943" s="12" t="s">
        <v>196</v>
      </c>
      <c r="P943" s="12" t="s">
        <v>103</v>
      </c>
      <c r="Q943" s="12" t="s">
        <v>104</v>
      </c>
      <c r="R943" s="14" t="n">
        <v>38.65</v>
      </c>
      <c r="S943" s="14" t="s">
        <v>197</v>
      </c>
      <c r="T943" s="14"/>
      <c r="U943" s="14" t="n">
        <v>2025</v>
      </c>
      <c r="V943" s="12" t="s">
        <v>157</v>
      </c>
      <c r="W943" s="14"/>
      <c r="X943" s="15" t="str">
        <f aca="false">IF(OR($S943="%",$R943=""),"",$R943*INDEX(Cambi!$J$2:$J$5,MATCH($S943,Cambi!$I$2:$I$5,0))/IF($T943="EUR",1,INDEX(Cambi!$D:$D,MATCH($T943&amp;"|"&amp;$U943,Cambi!$C:$C,0))))</f>
        <v/>
      </c>
      <c r="Y943" s="12" t="s">
        <v>109</v>
      </c>
      <c r="Z943" s="12" t="s">
        <v>109</v>
      </c>
      <c r="AA943" s="12" t="s">
        <v>109</v>
      </c>
      <c r="AB943" s="16" t="s">
        <v>110</v>
      </c>
      <c r="AC943" s="16" t="s">
        <v>836</v>
      </c>
      <c r="AD943" s="12" t="s">
        <v>112</v>
      </c>
      <c r="AE943" s="12" t="s">
        <v>282</v>
      </c>
      <c r="AF943" s="12" t="s">
        <v>5215</v>
      </c>
      <c r="AG943" s="12" t="s">
        <v>284</v>
      </c>
      <c r="AH943" s="12" t="s">
        <v>838</v>
      </c>
      <c r="AI943" s="12" t="s">
        <v>117</v>
      </c>
      <c r="AJ943" s="12" t="s">
        <v>5216</v>
      </c>
      <c r="AK943" s="12" t="s">
        <v>4</v>
      </c>
    </row>
    <row r="944" customFormat="false" ht="15" hidden="false" customHeight="false" outlineLevel="0" collapsed="false">
      <c r="A944" s="11" t="n">
        <v>943</v>
      </c>
      <c r="B944" s="12" t="s">
        <v>5217</v>
      </c>
      <c r="C944" s="12" t="s">
        <v>5161</v>
      </c>
      <c r="D944" s="12" t="s">
        <v>5162</v>
      </c>
      <c r="E944" s="12" t="s">
        <v>759</v>
      </c>
      <c r="F944" s="12" t="s">
        <v>845</v>
      </c>
      <c r="G944" s="12" t="s">
        <v>830</v>
      </c>
      <c r="H944" s="12" t="s">
        <v>5218</v>
      </c>
      <c r="I944" s="12" t="s">
        <v>5219</v>
      </c>
      <c r="J944" s="13" t="s">
        <v>5220</v>
      </c>
      <c r="K944" s="12"/>
      <c r="L944" s="12" t="s">
        <v>5221</v>
      </c>
      <c r="M944" s="12" t="s">
        <v>5222</v>
      </c>
      <c r="N944" s="12" t="s">
        <v>352</v>
      </c>
      <c r="O944" s="12" t="s">
        <v>102</v>
      </c>
      <c r="P944" s="12" t="s">
        <v>103</v>
      </c>
      <c r="Q944" s="12" t="s">
        <v>104</v>
      </c>
      <c r="R944" s="14" t="n">
        <v>1.4</v>
      </c>
      <c r="S944" s="14" t="s">
        <v>129</v>
      </c>
      <c r="T944" s="14" t="s">
        <v>653</v>
      </c>
      <c r="U944" s="14" t="n">
        <v>2024</v>
      </c>
      <c r="V944" s="12" t="s">
        <v>157</v>
      </c>
      <c r="W944" s="14" t="s">
        <v>5223</v>
      </c>
      <c r="X944" s="15" t="n">
        <f aca="false">IF(OR($S944="%",$R944=""),"",$R944*INDEX(Cambi!$J$2:$J$5,MATCH($S944,Cambi!$I$2:$I$5,0))/IF($T944="EUR",1,INDEX(Cambi!$D:$D,MATCH($T944&amp;"|"&amp;$U944,Cambi!$C:$C,0))))</f>
        <v>1293.42202512934</v>
      </c>
      <c r="Y944" s="12" t="s">
        <v>109</v>
      </c>
      <c r="Z944" s="12" t="s">
        <v>109</v>
      </c>
      <c r="AA944" s="12" t="s">
        <v>109</v>
      </c>
      <c r="AB944" s="16" t="s">
        <v>110</v>
      </c>
      <c r="AC944" s="16" t="s">
        <v>836</v>
      </c>
      <c r="AD944" s="12" t="s">
        <v>112</v>
      </c>
      <c r="AE944" s="12" t="s">
        <v>282</v>
      </c>
      <c r="AF944" s="12" t="s">
        <v>5224</v>
      </c>
      <c r="AG944" s="12" t="s">
        <v>284</v>
      </c>
      <c r="AH944" s="12" t="s">
        <v>838</v>
      </c>
      <c r="AI944" s="12" t="s">
        <v>117</v>
      </c>
      <c r="AJ944" s="12" t="s">
        <v>5225</v>
      </c>
      <c r="AK944" s="12" t="s">
        <v>4</v>
      </c>
    </row>
    <row r="945" customFormat="false" ht="15" hidden="false" customHeight="false" outlineLevel="0" collapsed="false">
      <c r="A945" s="11" t="n">
        <v>944</v>
      </c>
      <c r="B945" s="12" t="s">
        <v>5217</v>
      </c>
      <c r="C945" s="12" t="s">
        <v>5161</v>
      </c>
      <c r="D945" s="12" t="s">
        <v>5162</v>
      </c>
      <c r="E945" s="12" t="s">
        <v>759</v>
      </c>
      <c r="F945" s="12" t="s">
        <v>845</v>
      </c>
      <c r="G945" s="12" t="s">
        <v>830</v>
      </c>
      <c r="H945" s="12" t="s">
        <v>5218</v>
      </c>
      <c r="I945" s="12" t="s">
        <v>5219</v>
      </c>
      <c r="J945" s="13" t="s">
        <v>5220</v>
      </c>
      <c r="K945" s="12"/>
      <c r="L945" s="12" t="s">
        <v>5221</v>
      </c>
      <c r="M945" s="12" t="s">
        <v>5222</v>
      </c>
      <c r="N945" s="12" t="s">
        <v>352</v>
      </c>
      <c r="O945" s="12" t="s">
        <v>102</v>
      </c>
      <c r="P945" s="12" t="s">
        <v>103</v>
      </c>
      <c r="Q945" s="12" t="s">
        <v>104</v>
      </c>
      <c r="R945" s="14" t="n">
        <v>1.53</v>
      </c>
      <c r="S945" s="14" t="s">
        <v>129</v>
      </c>
      <c r="T945" s="14" t="s">
        <v>653</v>
      </c>
      <c r="U945" s="14" t="n">
        <v>2025</v>
      </c>
      <c r="V945" s="12" t="s">
        <v>107</v>
      </c>
      <c r="W945" s="14" t="s">
        <v>5223</v>
      </c>
      <c r="X945" s="15" t="n">
        <f aca="false">IF(OR($S945="%",$R945=""),"",$R945*INDEX(Cambi!$J$2:$J$5,MATCH($S945,Cambi!$I$2:$I$5,0))/IF($T945="EUR",1,INDEX(Cambi!$D:$D,MATCH($T945&amp;"|"&amp;$U945,Cambi!$C:$C,0))))</f>
        <v>1353.98230088496</v>
      </c>
      <c r="Y945" s="12" t="s">
        <v>109</v>
      </c>
      <c r="Z945" s="12" t="s">
        <v>109</v>
      </c>
      <c r="AA945" s="12" t="s">
        <v>109</v>
      </c>
      <c r="AB945" s="16" t="s">
        <v>110</v>
      </c>
      <c r="AC945" s="16" t="s">
        <v>836</v>
      </c>
      <c r="AD945" s="12" t="s">
        <v>112</v>
      </c>
      <c r="AE945" s="12" t="s">
        <v>282</v>
      </c>
      <c r="AF945" s="12" t="s">
        <v>5226</v>
      </c>
      <c r="AG945" s="12" t="s">
        <v>284</v>
      </c>
      <c r="AH945" s="12" t="s">
        <v>838</v>
      </c>
      <c r="AI945" s="12" t="s">
        <v>117</v>
      </c>
      <c r="AJ945" s="12" t="s">
        <v>5227</v>
      </c>
      <c r="AK945" s="12" t="s">
        <v>4</v>
      </c>
    </row>
    <row r="946" customFormat="false" ht="15" hidden="false" customHeight="false" outlineLevel="0" collapsed="false">
      <c r="A946" s="11" t="n">
        <v>945</v>
      </c>
      <c r="B946" s="12" t="s">
        <v>5217</v>
      </c>
      <c r="C946" s="12" t="s">
        <v>5161</v>
      </c>
      <c r="D946" s="12" t="s">
        <v>5162</v>
      </c>
      <c r="E946" s="12" t="s">
        <v>759</v>
      </c>
      <c r="F946" s="12" t="s">
        <v>845</v>
      </c>
      <c r="G946" s="12" t="s">
        <v>830</v>
      </c>
      <c r="H946" s="12" t="s">
        <v>5218</v>
      </c>
      <c r="I946" s="12" t="s">
        <v>5219</v>
      </c>
      <c r="J946" s="13" t="s">
        <v>5220</v>
      </c>
      <c r="K946" s="12"/>
      <c r="L946" s="12" t="s">
        <v>5221</v>
      </c>
      <c r="M946" s="12" t="s">
        <v>5222</v>
      </c>
      <c r="N946" s="12" t="s">
        <v>352</v>
      </c>
      <c r="O946" s="12" t="s">
        <v>102</v>
      </c>
      <c r="P946" s="12" t="s">
        <v>103</v>
      </c>
      <c r="Q946" s="12" t="s">
        <v>104</v>
      </c>
      <c r="R946" s="14" t="n">
        <v>2.44</v>
      </c>
      <c r="S946" s="14" t="s">
        <v>129</v>
      </c>
      <c r="T946" s="14" t="s">
        <v>653</v>
      </c>
      <c r="U946" s="14" t="n">
        <v>2030</v>
      </c>
      <c r="V946" s="12" t="s">
        <v>107</v>
      </c>
      <c r="W946" s="14" t="s">
        <v>5223</v>
      </c>
      <c r="X946" s="15" t="n">
        <f aca="false">IF(OR($S946="%",$R946=""),"",$R946*INDEX(Cambi!$J$2:$J$5,MATCH($S946,Cambi!$I$2:$I$5,0))/IF($T946="EUR",1,INDEX(Cambi!$D:$D,MATCH($T946&amp;"|"&amp;$U946,Cambi!$C:$C,0))))</f>
        <v>2159.29203539823</v>
      </c>
      <c r="Y946" s="12" t="s">
        <v>109</v>
      </c>
      <c r="Z946" s="12" t="s">
        <v>109</v>
      </c>
      <c r="AA946" s="12" t="s">
        <v>109</v>
      </c>
      <c r="AB946" s="16" t="s">
        <v>110</v>
      </c>
      <c r="AC946" s="16" t="s">
        <v>836</v>
      </c>
      <c r="AD946" s="12" t="s">
        <v>112</v>
      </c>
      <c r="AE946" s="12" t="s">
        <v>282</v>
      </c>
      <c r="AF946" s="12" t="s">
        <v>5228</v>
      </c>
      <c r="AG946" s="12" t="s">
        <v>284</v>
      </c>
      <c r="AH946" s="12" t="s">
        <v>838</v>
      </c>
      <c r="AI946" s="12" t="s">
        <v>117</v>
      </c>
      <c r="AJ946" s="12" t="s">
        <v>5229</v>
      </c>
      <c r="AK946" s="12" t="s">
        <v>4</v>
      </c>
    </row>
    <row r="947" customFormat="false" ht="15" hidden="false" customHeight="false" outlineLevel="0" collapsed="false">
      <c r="A947" s="11" t="n">
        <v>946</v>
      </c>
      <c r="B947" s="12" t="s">
        <v>5230</v>
      </c>
      <c r="C947" s="12" t="s">
        <v>5161</v>
      </c>
      <c r="D947" s="12" t="s">
        <v>5162</v>
      </c>
      <c r="E947" s="12" t="s">
        <v>759</v>
      </c>
      <c r="F947" s="12" t="s">
        <v>845</v>
      </c>
      <c r="G947" s="12" t="s">
        <v>830</v>
      </c>
      <c r="H947" s="12" t="s">
        <v>5231</v>
      </c>
      <c r="I947" s="12" t="s">
        <v>847</v>
      </c>
      <c r="J947" s="13" t="s">
        <v>5232</v>
      </c>
      <c r="K947" s="12"/>
      <c r="L947" s="12" t="s">
        <v>5233</v>
      </c>
      <c r="M947" s="12" t="s">
        <v>5234</v>
      </c>
      <c r="N947" s="12" t="s">
        <v>352</v>
      </c>
      <c r="O947" s="12" t="s">
        <v>102</v>
      </c>
      <c r="P947" s="12" t="s">
        <v>103</v>
      </c>
      <c r="Q947" s="12" t="s">
        <v>104</v>
      </c>
      <c r="R947" s="14" t="n">
        <v>1.86</v>
      </c>
      <c r="S947" s="14" t="s">
        <v>129</v>
      </c>
      <c r="T947" s="14" t="s">
        <v>653</v>
      </c>
      <c r="U947" s="14" t="n">
        <v>2025</v>
      </c>
      <c r="V947" s="12" t="s">
        <v>157</v>
      </c>
      <c r="W947" s="14" t="s">
        <v>5235</v>
      </c>
      <c r="X947" s="15" t="n">
        <f aca="false">IF(OR($S947="%",$R947=""),"",$R947*INDEX(Cambi!$J$2:$J$5,MATCH($S947,Cambi!$I$2:$I$5,0))/IF($T947="EUR",1,INDEX(Cambi!$D:$D,MATCH($T947&amp;"|"&amp;$U947,Cambi!$C:$C,0))))</f>
        <v>1646.01769911504</v>
      </c>
      <c r="Y947" s="12" t="s">
        <v>109</v>
      </c>
      <c r="Z947" s="12" t="s">
        <v>109</v>
      </c>
      <c r="AA947" s="12" t="s">
        <v>109</v>
      </c>
      <c r="AB947" s="16" t="s">
        <v>110</v>
      </c>
      <c r="AC947" s="16" t="s">
        <v>836</v>
      </c>
      <c r="AD947" s="12" t="s">
        <v>112</v>
      </c>
      <c r="AE947" s="12" t="s">
        <v>282</v>
      </c>
      <c r="AF947" s="12" t="s">
        <v>5236</v>
      </c>
      <c r="AG947" s="12" t="s">
        <v>284</v>
      </c>
      <c r="AH947" s="12" t="s">
        <v>838</v>
      </c>
      <c r="AI947" s="12" t="s">
        <v>117</v>
      </c>
      <c r="AJ947" s="12" t="s">
        <v>5237</v>
      </c>
      <c r="AK947" s="12" t="s">
        <v>4</v>
      </c>
    </row>
    <row r="948" customFormat="false" ht="15" hidden="false" customHeight="false" outlineLevel="0" collapsed="false">
      <c r="A948" s="11" t="n">
        <v>947</v>
      </c>
      <c r="B948" s="12" t="s">
        <v>5230</v>
      </c>
      <c r="C948" s="12" t="s">
        <v>5161</v>
      </c>
      <c r="D948" s="12" t="s">
        <v>5162</v>
      </c>
      <c r="E948" s="12" t="s">
        <v>759</v>
      </c>
      <c r="F948" s="12" t="s">
        <v>845</v>
      </c>
      <c r="G948" s="12" t="s">
        <v>830</v>
      </c>
      <c r="H948" s="12" t="s">
        <v>5231</v>
      </c>
      <c r="I948" s="12" t="s">
        <v>847</v>
      </c>
      <c r="J948" s="13" t="s">
        <v>5232</v>
      </c>
      <c r="K948" s="12"/>
      <c r="L948" s="12" t="s">
        <v>5233</v>
      </c>
      <c r="M948" s="12" t="s">
        <v>5234</v>
      </c>
      <c r="N948" s="12" t="s">
        <v>352</v>
      </c>
      <c r="O948" s="12" t="s">
        <v>102</v>
      </c>
      <c r="P948" s="12" t="s">
        <v>103</v>
      </c>
      <c r="Q948" s="12" t="s">
        <v>104</v>
      </c>
      <c r="R948" s="14" t="n">
        <v>2.02</v>
      </c>
      <c r="S948" s="14" t="s">
        <v>129</v>
      </c>
      <c r="T948" s="14" t="s">
        <v>653</v>
      </c>
      <c r="U948" s="14" t="n">
        <v>2026</v>
      </c>
      <c r="V948" s="12" t="s">
        <v>198</v>
      </c>
      <c r="W948" s="14" t="s">
        <v>5235</v>
      </c>
      <c r="X948" s="15" t="n">
        <f aca="false">IF(OR($S948="%",$R948=""),"",$R948*INDEX(Cambi!$J$2:$J$5,MATCH($S948,Cambi!$I$2:$I$5,0))/IF($T948="EUR",1,INDEX(Cambi!$D:$D,MATCH($T948&amp;"|"&amp;$U948,Cambi!$C:$C,0))))</f>
        <v>1787.61061946903</v>
      </c>
      <c r="Y948" s="12" t="s">
        <v>109</v>
      </c>
      <c r="Z948" s="12" t="s">
        <v>109</v>
      </c>
      <c r="AA948" s="12" t="s">
        <v>109</v>
      </c>
      <c r="AB948" s="16" t="s">
        <v>110</v>
      </c>
      <c r="AC948" s="16" t="s">
        <v>836</v>
      </c>
      <c r="AD948" s="12" t="s">
        <v>112</v>
      </c>
      <c r="AE948" s="12" t="s">
        <v>282</v>
      </c>
      <c r="AF948" s="12" t="s">
        <v>5238</v>
      </c>
      <c r="AG948" s="12" t="s">
        <v>284</v>
      </c>
      <c r="AH948" s="12" t="s">
        <v>838</v>
      </c>
      <c r="AI948" s="12" t="s">
        <v>117</v>
      </c>
      <c r="AJ948" s="12" t="s">
        <v>5239</v>
      </c>
      <c r="AK948" s="12" t="s">
        <v>4</v>
      </c>
    </row>
    <row r="949" customFormat="false" ht="15" hidden="false" customHeight="false" outlineLevel="0" collapsed="false">
      <c r="A949" s="11" t="n">
        <v>948</v>
      </c>
      <c r="B949" s="12" t="s">
        <v>5230</v>
      </c>
      <c r="C949" s="12" t="s">
        <v>5161</v>
      </c>
      <c r="D949" s="12" t="s">
        <v>5162</v>
      </c>
      <c r="E949" s="12" t="s">
        <v>759</v>
      </c>
      <c r="F949" s="12" t="s">
        <v>845</v>
      </c>
      <c r="G949" s="12" t="s">
        <v>830</v>
      </c>
      <c r="H949" s="12" t="s">
        <v>5231</v>
      </c>
      <c r="I949" s="12" t="s">
        <v>847</v>
      </c>
      <c r="J949" s="13" t="s">
        <v>5232</v>
      </c>
      <c r="K949" s="12"/>
      <c r="L949" s="12" t="s">
        <v>5233</v>
      </c>
      <c r="M949" s="12" t="s">
        <v>5234</v>
      </c>
      <c r="N949" s="12" t="s">
        <v>352</v>
      </c>
      <c r="O949" s="12" t="s">
        <v>102</v>
      </c>
      <c r="P949" s="12" t="s">
        <v>103</v>
      </c>
      <c r="Q949" s="12" t="s">
        <v>104</v>
      </c>
      <c r="R949" s="14" t="n">
        <v>3.09</v>
      </c>
      <c r="S949" s="14" t="s">
        <v>129</v>
      </c>
      <c r="T949" s="14" t="s">
        <v>653</v>
      </c>
      <c r="U949" s="14" t="n">
        <v>2031</v>
      </c>
      <c r="V949" s="12" t="s">
        <v>107</v>
      </c>
      <c r="W949" s="14" t="s">
        <v>5235</v>
      </c>
      <c r="X949" s="15" t="n">
        <f aca="false">IF(OR($S949="%",$R949=""),"",$R949*INDEX(Cambi!$J$2:$J$5,MATCH($S949,Cambi!$I$2:$I$5,0))/IF($T949="EUR",1,INDEX(Cambi!$D:$D,MATCH($T949&amp;"|"&amp;$U949,Cambi!$C:$C,0))))</f>
        <v>2734.51327433628</v>
      </c>
      <c r="Y949" s="12" t="s">
        <v>109</v>
      </c>
      <c r="Z949" s="12" t="s">
        <v>109</v>
      </c>
      <c r="AA949" s="12" t="s">
        <v>109</v>
      </c>
      <c r="AB949" s="16" t="s">
        <v>110</v>
      </c>
      <c r="AC949" s="16" t="s">
        <v>836</v>
      </c>
      <c r="AD949" s="12" t="s">
        <v>112</v>
      </c>
      <c r="AE949" s="12" t="s">
        <v>282</v>
      </c>
      <c r="AF949" s="12" t="s">
        <v>5240</v>
      </c>
      <c r="AG949" s="12" t="s">
        <v>284</v>
      </c>
      <c r="AH949" s="12" t="s">
        <v>838</v>
      </c>
      <c r="AI949" s="12" t="s">
        <v>117</v>
      </c>
      <c r="AJ949" s="12" t="s">
        <v>5239</v>
      </c>
      <c r="AK949" s="12" t="s">
        <v>4</v>
      </c>
    </row>
    <row r="950" customFormat="false" ht="15" hidden="false" customHeight="false" outlineLevel="0" collapsed="false">
      <c r="A950" s="11" t="n">
        <v>949</v>
      </c>
      <c r="B950" s="12" t="s">
        <v>5241</v>
      </c>
      <c r="C950" s="12" t="s">
        <v>5161</v>
      </c>
      <c r="D950" s="12" t="s">
        <v>5162</v>
      </c>
      <c r="E950" s="12" t="s">
        <v>759</v>
      </c>
      <c r="F950" s="12" t="s">
        <v>5242</v>
      </c>
      <c r="G950" s="12" t="s">
        <v>581</v>
      </c>
      <c r="H950" s="12" t="s">
        <v>5243</v>
      </c>
      <c r="I950" s="12" t="s">
        <v>5244</v>
      </c>
      <c r="J950" s="13" t="s">
        <v>5245</v>
      </c>
      <c r="K950" s="12" t="s">
        <v>5246</v>
      </c>
      <c r="L950" s="12" t="s">
        <v>5247</v>
      </c>
      <c r="M950" s="12" t="s">
        <v>5248</v>
      </c>
      <c r="N950" s="12" t="s">
        <v>195</v>
      </c>
      <c r="O950" s="12" t="s">
        <v>196</v>
      </c>
      <c r="P950" s="12" t="s">
        <v>103</v>
      </c>
      <c r="Q950" s="12" t="s">
        <v>104</v>
      </c>
      <c r="R950" s="14" t="n">
        <v>7.3</v>
      </c>
      <c r="S950" s="14" t="s">
        <v>197</v>
      </c>
      <c r="T950" s="14"/>
      <c r="U950" s="14" t="n">
        <v>2023</v>
      </c>
      <c r="V950" s="12" t="s">
        <v>157</v>
      </c>
      <c r="W950" s="14"/>
      <c r="X950" s="15" t="str">
        <f aca="false">IF(OR($S950="%",$R950=""),"",$R950*INDEX(Cambi!$J$2:$J$5,MATCH($S950,Cambi!$I$2:$I$5,0))/IF($T950="EUR",1,INDEX(Cambi!$D:$D,MATCH($T950&amp;"|"&amp;$U950,Cambi!$C:$C,0))))</f>
        <v/>
      </c>
      <c r="Y950" s="12" t="s">
        <v>109</v>
      </c>
      <c r="Z950" s="12" t="s">
        <v>109</v>
      </c>
      <c r="AA950" s="12" t="s">
        <v>5249</v>
      </c>
      <c r="AB950" s="16" t="s">
        <v>394</v>
      </c>
      <c r="AC950" s="16" t="s">
        <v>5250</v>
      </c>
      <c r="AD950" s="12" t="s">
        <v>281</v>
      </c>
      <c r="AE950" s="12" t="s">
        <v>282</v>
      </c>
      <c r="AF950" s="12" t="s">
        <v>5251</v>
      </c>
      <c r="AG950" s="12" t="s">
        <v>284</v>
      </c>
      <c r="AH950" s="12" t="s">
        <v>499</v>
      </c>
      <c r="AI950" s="12" t="s">
        <v>285</v>
      </c>
      <c r="AJ950" s="12" t="s">
        <v>5252</v>
      </c>
      <c r="AK950" s="12" t="s">
        <v>4</v>
      </c>
    </row>
    <row r="951" customFormat="false" ht="15" hidden="false" customHeight="false" outlineLevel="0" collapsed="false">
      <c r="A951" s="11" t="n">
        <v>950</v>
      </c>
      <c r="B951" s="12" t="s">
        <v>5241</v>
      </c>
      <c r="C951" s="12" t="s">
        <v>5161</v>
      </c>
      <c r="D951" s="12" t="s">
        <v>5162</v>
      </c>
      <c r="E951" s="12" t="s">
        <v>759</v>
      </c>
      <c r="F951" s="12" t="s">
        <v>5242</v>
      </c>
      <c r="G951" s="12" t="s">
        <v>581</v>
      </c>
      <c r="H951" s="12" t="s">
        <v>5243</v>
      </c>
      <c r="I951" s="12" t="s">
        <v>5244</v>
      </c>
      <c r="J951" s="13" t="s">
        <v>5245</v>
      </c>
      <c r="K951" s="12" t="s">
        <v>5246</v>
      </c>
      <c r="L951" s="12" t="s">
        <v>5247</v>
      </c>
      <c r="M951" s="12" t="s">
        <v>5253</v>
      </c>
      <c r="N951" s="12" t="s">
        <v>195</v>
      </c>
      <c r="O951" s="12" t="s">
        <v>196</v>
      </c>
      <c r="P951" s="12" t="s">
        <v>103</v>
      </c>
      <c r="Q951" s="12" t="s">
        <v>104</v>
      </c>
      <c r="R951" s="14" t="n">
        <v>8.1</v>
      </c>
      <c r="S951" s="14" t="s">
        <v>197</v>
      </c>
      <c r="T951" s="14"/>
      <c r="U951" s="14" t="n">
        <v>2024</v>
      </c>
      <c r="V951" s="12" t="s">
        <v>107</v>
      </c>
      <c r="W951" s="14"/>
      <c r="X951" s="15" t="str">
        <f aca="false">IF(OR($S951="%",$R951=""),"",$R951*INDEX(Cambi!$J$2:$J$5,MATCH($S951,Cambi!$I$2:$I$5,0))/IF($T951="EUR",1,INDEX(Cambi!$D:$D,MATCH($T951&amp;"|"&amp;$U951,Cambi!$C:$C,0))))</f>
        <v/>
      </c>
      <c r="Y951" s="12" t="s">
        <v>109</v>
      </c>
      <c r="Z951" s="12" t="s">
        <v>109</v>
      </c>
      <c r="AA951" s="12" t="s">
        <v>5249</v>
      </c>
      <c r="AB951" s="16" t="s">
        <v>394</v>
      </c>
      <c r="AC951" s="16" t="s">
        <v>5250</v>
      </c>
      <c r="AD951" s="12" t="s">
        <v>281</v>
      </c>
      <c r="AE951" s="12" t="s">
        <v>282</v>
      </c>
      <c r="AF951" s="12" t="s">
        <v>5254</v>
      </c>
      <c r="AG951" s="12" t="s">
        <v>284</v>
      </c>
      <c r="AH951" s="12" t="s">
        <v>499</v>
      </c>
      <c r="AI951" s="12" t="s">
        <v>285</v>
      </c>
      <c r="AJ951" s="12" t="s">
        <v>5255</v>
      </c>
      <c r="AK951" s="12" t="s">
        <v>4</v>
      </c>
    </row>
    <row r="952" customFormat="false" ht="15" hidden="false" customHeight="false" outlineLevel="0" collapsed="false">
      <c r="A952" s="11" t="n">
        <v>951</v>
      </c>
      <c r="B952" s="12" t="s">
        <v>5241</v>
      </c>
      <c r="C952" s="12" t="s">
        <v>5161</v>
      </c>
      <c r="D952" s="12" t="s">
        <v>5162</v>
      </c>
      <c r="E952" s="12" t="s">
        <v>759</v>
      </c>
      <c r="F952" s="12" t="s">
        <v>5242</v>
      </c>
      <c r="G952" s="12" t="s">
        <v>581</v>
      </c>
      <c r="H952" s="12" t="s">
        <v>5243</v>
      </c>
      <c r="I952" s="12" t="s">
        <v>5244</v>
      </c>
      <c r="J952" s="13" t="s">
        <v>5245</v>
      </c>
      <c r="K952" s="12" t="s">
        <v>5246</v>
      </c>
      <c r="L952" s="12" t="s">
        <v>5256</v>
      </c>
      <c r="M952" s="12" t="s">
        <v>5257</v>
      </c>
      <c r="N952" s="12" t="s">
        <v>212</v>
      </c>
      <c r="O952" s="12" t="s">
        <v>102</v>
      </c>
      <c r="P952" s="12" t="s">
        <v>103</v>
      </c>
      <c r="Q952" s="12" t="s">
        <v>104</v>
      </c>
      <c r="R952" s="14" t="n">
        <v>15.36</v>
      </c>
      <c r="S952" s="14" t="s">
        <v>129</v>
      </c>
      <c r="T952" s="14" t="s">
        <v>5178</v>
      </c>
      <c r="U952" s="14" t="n">
        <v>2024</v>
      </c>
      <c r="V952" s="12" t="s">
        <v>107</v>
      </c>
      <c r="W952" s="14"/>
      <c r="X952" s="15" t="n">
        <f aca="false">IF(OR($S952="%",$R952=""),"",$R952*INDEX(Cambi!$J$2:$J$5,MATCH($S952,Cambi!$I$2:$I$5,0))/IF($T952="EUR",1,INDEX(Cambi!$D:$D,MATCH($T952&amp;"|"&amp;$U952,Cambi!$C:$C,0))))</f>
        <v>1343.53815875793</v>
      </c>
      <c r="Y952" s="12" t="s">
        <v>109</v>
      </c>
      <c r="Z952" s="12" t="s">
        <v>109</v>
      </c>
      <c r="AA952" s="12" t="s">
        <v>5249</v>
      </c>
      <c r="AB952" s="16" t="s">
        <v>394</v>
      </c>
      <c r="AC952" s="16" t="s">
        <v>5250</v>
      </c>
      <c r="AD952" s="12" t="s">
        <v>281</v>
      </c>
      <c r="AE952" s="12" t="s">
        <v>282</v>
      </c>
      <c r="AF952" s="12" t="s">
        <v>5258</v>
      </c>
      <c r="AG952" s="12" t="s">
        <v>284</v>
      </c>
      <c r="AH952" s="12" t="s">
        <v>499</v>
      </c>
      <c r="AI952" s="12" t="s">
        <v>285</v>
      </c>
      <c r="AJ952" s="12" t="s">
        <v>5259</v>
      </c>
      <c r="AK952" s="12" t="s">
        <v>4</v>
      </c>
    </row>
    <row r="953" customFormat="false" ht="15" hidden="false" customHeight="false" outlineLevel="0" collapsed="false">
      <c r="A953" s="11" t="n">
        <v>952</v>
      </c>
      <c r="B953" s="12" t="s">
        <v>5260</v>
      </c>
      <c r="C953" s="12" t="s">
        <v>5161</v>
      </c>
      <c r="D953" s="12" t="s">
        <v>5162</v>
      </c>
      <c r="E953" s="12" t="s">
        <v>759</v>
      </c>
      <c r="F953" s="12" t="s">
        <v>5242</v>
      </c>
      <c r="G953" s="12" t="s">
        <v>581</v>
      </c>
      <c r="H953" s="12" t="s">
        <v>5261</v>
      </c>
      <c r="I953" s="12" t="s">
        <v>330</v>
      </c>
      <c r="J953" s="13" t="s">
        <v>5262</v>
      </c>
      <c r="K953" s="12" t="s">
        <v>5263</v>
      </c>
      <c r="L953" s="12" t="s">
        <v>5264</v>
      </c>
      <c r="M953" s="12" t="s">
        <v>5265</v>
      </c>
      <c r="N953" s="12" t="s">
        <v>212</v>
      </c>
      <c r="O953" s="12" t="s">
        <v>102</v>
      </c>
      <c r="P953" s="12" t="s">
        <v>103</v>
      </c>
      <c r="Q953" s="12" t="s">
        <v>104</v>
      </c>
      <c r="R953" s="14" t="n">
        <v>14.43</v>
      </c>
      <c r="S953" s="14" t="s">
        <v>129</v>
      </c>
      <c r="T953" s="14" t="s">
        <v>5178</v>
      </c>
      <c r="U953" s="14" t="n">
        <v>2022</v>
      </c>
      <c r="V953" s="12" t="s">
        <v>157</v>
      </c>
      <c r="W953" s="14"/>
      <c r="X953" s="15" t="n">
        <f aca="false">IF(OR($S953="%",$R953=""),"",$R953*INDEX(Cambi!$J$2:$J$5,MATCH($S953,Cambi!$I$2:$I$5,0))/IF($T953="EUR",1,INDEX(Cambi!$D:$D,MATCH($T953&amp;"|"&amp;$U953,Cambi!$C:$C,0))))</f>
        <v>1357.5299164597</v>
      </c>
      <c r="Y953" s="12" t="s">
        <v>109</v>
      </c>
      <c r="Z953" s="12" t="s">
        <v>109</v>
      </c>
      <c r="AA953" s="12" t="s">
        <v>5249</v>
      </c>
      <c r="AB953" s="16" t="s">
        <v>394</v>
      </c>
      <c r="AC953" s="16" t="s">
        <v>5250</v>
      </c>
      <c r="AD953" s="12" t="s">
        <v>281</v>
      </c>
      <c r="AE953" s="12" t="s">
        <v>282</v>
      </c>
      <c r="AF953" s="12" t="s">
        <v>5266</v>
      </c>
      <c r="AG953" s="12" t="s">
        <v>284</v>
      </c>
      <c r="AH953" s="12" t="s">
        <v>499</v>
      </c>
      <c r="AI953" s="12" t="s">
        <v>285</v>
      </c>
      <c r="AJ953" s="12" t="s">
        <v>5267</v>
      </c>
      <c r="AK953" s="12" t="s">
        <v>4</v>
      </c>
    </row>
    <row r="954" customFormat="false" ht="15" hidden="false" customHeight="false" outlineLevel="0" collapsed="false">
      <c r="A954" s="11" t="n">
        <v>953</v>
      </c>
      <c r="B954" s="12" t="s">
        <v>5268</v>
      </c>
      <c r="C954" s="12" t="s">
        <v>5161</v>
      </c>
      <c r="D954" s="12" t="s">
        <v>5162</v>
      </c>
      <c r="E954" s="12" t="s">
        <v>759</v>
      </c>
      <c r="F954" s="12" t="s">
        <v>5269</v>
      </c>
      <c r="G954" s="12" t="s">
        <v>1876</v>
      </c>
      <c r="H954" s="12" t="s">
        <v>5270</v>
      </c>
      <c r="I954" s="12" t="s">
        <v>181</v>
      </c>
      <c r="J954" s="13" t="s">
        <v>5271</v>
      </c>
      <c r="K954" s="12"/>
      <c r="L954" s="12" t="s">
        <v>5272</v>
      </c>
      <c r="M954" s="12" t="s">
        <v>5273</v>
      </c>
      <c r="N954" s="12" t="s">
        <v>352</v>
      </c>
      <c r="O954" s="12" t="s">
        <v>102</v>
      </c>
      <c r="P954" s="12" t="s">
        <v>103</v>
      </c>
      <c r="Q954" s="12" t="s">
        <v>104</v>
      </c>
      <c r="R954" s="14" t="n">
        <v>16</v>
      </c>
      <c r="S954" s="14" t="s">
        <v>129</v>
      </c>
      <c r="T954" s="14" t="s">
        <v>5178</v>
      </c>
      <c r="U954" s="14" t="n">
        <v>2025</v>
      </c>
      <c r="V954" s="12" t="s">
        <v>198</v>
      </c>
      <c r="W954" s="14"/>
      <c r="X954" s="15" t="n">
        <f aca="false">IF(OR($S954="%",$R954=""),"",$R954*INDEX(Cambi!$J$2:$J$5,MATCH($S954,Cambi!$I$2:$I$5,0))/IF($T954="EUR",1,INDEX(Cambi!$D:$D,MATCH($T954&amp;"|"&amp;$U954,Cambi!$C:$C,0))))</f>
        <v>1445.83103657049</v>
      </c>
      <c r="Y954" s="12" t="s">
        <v>109</v>
      </c>
      <c r="Z954" s="12" t="s">
        <v>109</v>
      </c>
      <c r="AA954" s="12" t="s">
        <v>109</v>
      </c>
      <c r="AB954" s="16" t="s">
        <v>110</v>
      </c>
      <c r="AC954" s="16" t="s">
        <v>836</v>
      </c>
      <c r="AD954" s="12" t="s">
        <v>112</v>
      </c>
      <c r="AE954" s="12" t="s">
        <v>282</v>
      </c>
      <c r="AF954" s="12" t="s">
        <v>5274</v>
      </c>
      <c r="AG954" s="12" t="s">
        <v>284</v>
      </c>
      <c r="AH954" s="12" t="s">
        <v>838</v>
      </c>
      <c r="AI954" s="12" t="s">
        <v>117</v>
      </c>
      <c r="AJ954" s="12" t="s">
        <v>5275</v>
      </c>
      <c r="AK954" s="12" t="s">
        <v>4</v>
      </c>
    </row>
    <row r="955" customFormat="false" ht="15" hidden="false" customHeight="false" outlineLevel="0" collapsed="false">
      <c r="A955" s="11" t="n">
        <v>954</v>
      </c>
      <c r="B955" s="12" t="s">
        <v>5276</v>
      </c>
      <c r="C955" s="12" t="s">
        <v>5161</v>
      </c>
      <c r="D955" s="12" t="s">
        <v>5162</v>
      </c>
      <c r="E955" s="12" t="s">
        <v>759</v>
      </c>
      <c r="F955" s="12" t="s">
        <v>5277</v>
      </c>
      <c r="G955" s="12" t="s">
        <v>771</v>
      </c>
      <c r="H955" s="12" t="s">
        <v>5278</v>
      </c>
      <c r="I955" s="12" t="s">
        <v>5279</v>
      </c>
      <c r="J955" s="13" t="s">
        <v>5280</v>
      </c>
      <c r="K955" s="12"/>
      <c r="L955" s="12" t="s">
        <v>5281</v>
      </c>
      <c r="M955" s="12" t="s">
        <v>5282</v>
      </c>
      <c r="N955" s="12" t="s">
        <v>101</v>
      </c>
      <c r="O955" s="12" t="s">
        <v>102</v>
      </c>
      <c r="P955" s="12" t="s">
        <v>103</v>
      </c>
      <c r="Q955" s="12" t="s">
        <v>104</v>
      </c>
      <c r="R955" s="14" t="n">
        <v>0.37</v>
      </c>
      <c r="S955" s="14" t="s">
        <v>129</v>
      </c>
      <c r="T955" s="14" t="s">
        <v>5178</v>
      </c>
      <c r="U955" s="14" t="n">
        <v>2026</v>
      </c>
      <c r="V955" s="12" t="s">
        <v>198</v>
      </c>
      <c r="W955" s="14"/>
      <c r="X955" s="15" t="n">
        <f aca="false">IF(OR($S955="%",$R955=""),"",$R955*INDEX(Cambi!$J$2:$J$5,MATCH($S955,Cambi!$I$2:$I$5,0))/IF($T955="EUR",1,INDEX(Cambi!$D:$D,MATCH($T955&amp;"|"&amp;$U955,Cambi!$C:$C,0))))</f>
        <v>33.4348427206926</v>
      </c>
      <c r="Y955" s="12" t="s">
        <v>108</v>
      </c>
      <c r="Z955" s="12" t="s">
        <v>109</v>
      </c>
      <c r="AA955" s="12" t="s">
        <v>109</v>
      </c>
      <c r="AB955" s="16" t="s">
        <v>394</v>
      </c>
      <c r="AC955" s="16" t="s">
        <v>1438</v>
      </c>
      <c r="AD955" s="12" t="s">
        <v>112</v>
      </c>
      <c r="AE955" s="12" t="s">
        <v>5283</v>
      </c>
      <c r="AF955" s="12" t="s">
        <v>5284</v>
      </c>
      <c r="AG955" s="12" t="s">
        <v>115</v>
      </c>
      <c r="AH955" s="12" t="s">
        <v>116</v>
      </c>
      <c r="AI955" s="12" t="s">
        <v>117</v>
      </c>
      <c r="AJ955" s="12" t="s">
        <v>5285</v>
      </c>
      <c r="AK955" s="12" t="s">
        <v>4</v>
      </c>
    </row>
    <row r="956" customFormat="false" ht="15" hidden="false" customHeight="false" outlineLevel="0" collapsed="false">
      <c r="A956" s="11" t="n">
        <v>955</v>
      </c>
      <c r="B956" s="12" t="s">
        <v>5276</v>
      </c>
      <c r="C956" s="12" t="s">
        <v>5161</v>
      </c>
      <c r="D956" s="12" t="s">
        <v>5162</v>
      </c>
      <c r="E956" s="12" t="s">
        <v>759</v>
      </c>
      <c r="F956" s="12" t="s">
        <v>5277</v>
      </c>
      <c r="G956" s="12" t="s">
        <v>771</v>
      </c>
      <c r="H956" s="12" t="s">
        <v>5278</v>
      </c>
      <c r="I956" s="12" t="s">
        <v>5279</v>
      </c>
      <c r="J956" s="13" t="s">
        <v>5280</v>
      </c>
      <c r="K956" s="12"/>
      <c r="L956" s="12" t="s">
        <v>5281</v>
      </c>
      <c r="M956" s="12" t="s">
        <v>5282</v>
      </c>
      <c r="N956" s="12" t="s">
        <v>101</v>
      </c>
      <c r="O956" s="12" t="s">
        <v>102</v>
      </c>
      <c r="P956" s="12" t="s">
        <v>103</v>
      </c>
      <c r="Q956" s="12" t="s">
        <v>104</v>
      </c>
      <c r="R956" s="14" t="n">
        <v>0.41</v>
      </c>
      <c r="S956" s="14" t="s">
        <v>129</v>
      </c>
      <c r="T956" s="14" t="s">
        <v>5178</v>
      </c>
      <c r="U956" s="14" t="n">
        <v>2027</v>
      </c>
      <c r="V956" s="12" t="s">
        <v>107</v>
      </c>
      <c r="W956" s="14"/>
      <c r="X956" s="15" t="n">
        <f aca="false">IF(OR($S956="%",$R956=""),"",$R956*INDEX(Cambi!$J$2:$J$5,MATCH($S956,Cambi!$I$2:$I$5,0))/IF($T956="EUR",1,INDEX(Cambi!$D:$D,MATCH($T956&amp;"|"&amp;$U956,Cambi!$C:$C,0))))</f>
        <v>37.0494203121188</v>
      </c>
      <c r="Y956" s="12" t="s">
        <v>108</v>
      </c>
      <c r="Z956" s="12" t="s">
        <v>109</v>
      </c>
      <c r="AA956" s="12" t="s">
        <v>109</v>
      </c>
      <c r="AB956" s="16" t="s">
        <v>394</v>
      </c>
      <c r="AC956" s="16" t="s">
        <v>1438</v>
      </c>
      <c r="AD956" s="12" t="s">
        <v>112</v>
      </c>
      <c r="AE956" s="12" t="s">
        <v>5283</v>
      </c>
      <c r="AF956" s="12" t="s">
        <v>5284</v>
      </c>
      <c r="AG956" s="12" t="s">
        <v>115</v>
      </c>
      <c r="AH956" s="12" t="s">
        <v>116</v>
      </c>
      <c r="AI956" s="12" t="s">
        <v>117</v>
      </c>
      <c r="AJ956" s="12" t="s">
        <v>5286</v>
      </c>
      <c r="AK956" s="12" t="s">
        <v>4</v>
      </c>
    </row>
    <row r="957" customFormat="false" ht="15" hidden="false" customHeight="false" outlineLevel="0" collapsed="false">
      <c r="A957" s="11" t="n">
        <v>956</v>
      </c>
      <c r="B957" s="12" t="s">
        <v>5276</v>
      </c>
      <c r="C957" s="12" t="s">
        <v>5161</v>
      </c>
      <c r="D957" s="12" t="s">
        <v>5162</v>
      </c>
      <c r="E957" s="12" t="s">
        <v>759</v>
      </c>
      <c r="F957" s="12" t="s">
        <v>5277</v>
      </c>
      <c r="G957" s="12" t="s">
        <v>771</v>
      </c>
      <c r="H957" s="12" t="s">
        <v>5278</v>
      </c>
      <c r="I957" s="12" t="s">
        <v>5279</v>
      </c>
      <c r="J957" s="13" t="s">
        <v>5280</v>
      </c>
      <c r="K957" s="12"/>
      <c r="L957" s="12" t="s">
        <v>5281</v>
      </c>
      <c r="M957" s="12" t="s">
        <v>5282</v>
      </c>
      <c r="N957" s="12" t="s">
        <v>101</v>
      </c>
      <c r="O957" s="12" t="s">
        <v>102</v>
      </c>
      <c r="P957" s="12" t="s">
        <v>103</v>
      </c>
      <c r="Q957" s="12" t="s">
        <v>104</v>
      </c>
      <c r="R957" s="14" t="n">
        <v>0.46</v>
      </c>
      <c r="S957" s="14" t="s">
        <v>129</v>
      </c>
      <c r="T957" s="14" t="s">
        <v>5178</v>
      </c>
      <c r="U957" s="14" t="n">
        <v>2028</v>
      </c>
      <c r="V957" s="12" t="s">
        <v>107</v>
      </c>
      <c r="W957" s="14"/>
      <c r="X957" s="15" t="n">
        <f aca="false">IF(OR($S957="%",$R957=""),"",$R957*INDEX(Cambi!$J$2:$J$5,MATCH($S957,Cambi!$I$2:$I$5,0))/IF($T957="EUR",1,INDEX(Cambi!$D:$D,MATCH($T957&amp;"|"&amp;$U957,Cambi!$C:$C,0))))</f>
        <v>41.5676423014016</v>
      </c>
      <c r="Y957" s="12" t="s">
        <v>108</v>
      </c>
      <c r="Z957" s="12" t="s">
        <v>109</v>
      </c>
      <c r="AA957" s="12" t="s">
        <v>109</v>
      </c>
      <c r="AB957" s="16" t="s">
        <v>394</v>
      </c>
      <c r="AC957" s="16" t="s">
        <v>1438</v>
      </c>
      <c r="AD957" s="12" t="s">
        <v>112</v>
      </c>
      <c r="AE957" s="12" t="s">
        <v>5283</v>
      </c>
      <c r="AF957" s="12" t="s">
        <v>5284</v>
      </c>
      <c r="AG957" s="12" t="s">
        <v>115</v>
      </c>
      <c r="AH957" s="12" t="s">
        <v>116</v>
      </c>
      <c r="AI957" s="12" t="s">
        <v>117</v>
      </c>
      <c r="AJ957" s="12" t="s">
        <v>5286</v>
      </c>
      <c r="AK957" s="12" t="s">
        <v>4</v>
      </c>
    </row>
    <row r="958" customFormat="false" ht="15" hidden="false" customHeight="false" outlineLevel="0" collapsed="false">
      <c r="A958" s="11" t="n">
        <v>957</v>
      </c>
      <c r="B958" s="12" t="s">
        <v>5287</v>
      </c>
      <c r="C958" s="12" t="s">
        <v>5161</v>
      </c>
      <c r="D958" s="12" t="s">
        <v>5162</v>
      </c>
      <c r="E958" s="12" t="s">
        <v>759</v>
      </c>
      <c r="F958" s="12" t="s">
        <v>5288</v>
      </c>
      <c r="G958" s="12" t="s">
        <v>771</v>
      </c>
      <c r="H958" s="12" t="s">
        <v>5289</v>
      </c>
      <c r="I958" s="12" t="s">
        <v>5290</v>
      </c>
      <c r="J958" s="13" t="s">
        <v>5291</v>
      </c>
      <c r="K958" s="12"/>
      <c r="L958" s="12" t="s">
        <v>5292</v>
      </c>
      <c r="M958" s="12" t="s">
        <v>5293</v>
      </c>
      <c r="N958" s="12" t="s">
        <v>101</v>
      </c>
      <c r="O958" s="12" t="s">
        <v>102</v>
      </c>
      <c r="P958" s="12" t="s">
        <v>103</v>
      </c>
      <c r="Q958" s="12" t="s">
        <v>104</v>
      </c>
      <c r="R958" s="14" t="n">
        <v>196</v>
      </c>
      <c r="S958" s="14" t="s">
        <v>105</v>
      </c>
      <c r="T958" s="14" t="s">
        <v>5178</v>
      </c>
      <c r="U958" s="14" t="n">
        <v>2025</v>
      </c>
      <c r="V958" s="12" t="s">
        <v>157</v>
      </c>
      <c r="W958" s="14"/>
      <c r="X958" s="15" t="n">
        <f aca="false">IF(OR($S958="%",$R958=""),"",$R958*INDEX(Cambi!$J$2:$J$5,MATCH($S958,Cambi!$I$2:$I$5,0))/IF($T958="EUR",1,INDEX(Cambi!$D:$D,MATCH($T958&amp;"|"&amp;$U958,Cambi!$C:$C,0))))</f>
        <v>17.7114301979885</v>
      </c>
      <c r="Y958" s="12" t="s">
        <v>130</v>
      </c>
      <c r="Z958" s="12" t="s">
        <v>109</v>
      </c>
      <c r="AA958" s="12" t="s">
        <v>109</v>
      </c>
      <c r="AB958" s="16" t="s">
        <v>394</v>
      </c>
      <c r="AC958" s="16" t="s">
        <v>1438</v>
      </c>
      <c r="AD958" s="12" t="s">
        <v>112</v>
      </c>
      <c r="AE958" s="12" t="s">
        <v>5294</v>
      </c>
      <c r="AF958" s="12" t="s">
        <v>5295</v>
      </c>
      <c r="AG958" s="12" t="s">
        <v>115</v>
      </c>
      <c r="AH958" s="12" t="s">
        <v>116</v>
      </c>
      <c r="AI958" s="12" t="s">
        <v>117</v>
      </c>
      <c r="AJ958" s="12" t="s">
        <v>5296</v>
      </c>
      <c r="AK958" s="12" t="s">
        <v>4</v>
      </c>
    </row>
    <row r="959" customFormat="false" ht="15" hidden="false" customHeight="false" outlineLevel="0" collapsed="false">
      <c r="A959" s="11" t="n">
        <v>958</v>
      </c>
      <c r="B959" s="12" t="s">
        <v>5297</v>
      </c>
      <c r="C959" s="12" t="s">
        <v>5161</v>
      </c>
      <c r="D959" s="12" t="s">
        <v>5162</v>
      </c>
      <c r="E959" s="12" t="s">
        <v>759</v>
      </c>
      <c r="F959" s="12" t="s">
        <v>5288</v>
      </c>
      <c r="G959" s="12" t="s">
        <v>771</v>
      </c>
      <c r="H959" s="12" t="s">
        <v>5298</v>
      </c>
      <c r="I959" s="12" t="s">
        <v>5299</v>
      </c>
      <c r="J959" s="13" t="s">
        <v>5300</v>
      </c>
      <c r="K959" s="12"/>
      <c r="L959" s="12" t="s">
        <v>5301</v>
      </c>
      <c r="M959" s="12" t="s">
        <v>5302</v>
      </c>
      <c r="N959" s="12" t="s">
        <v>101</v>
      </c>
      <c r="O959" s="12" t="s">
        <v>102</v>
      </c>
      <c r="P959" s="12" t="s">
        <v>103</v>
      </c>
      <c r="Q959" s="12" t="s">
        <v>104</v>
      </c>
      <c r="R959" s="14" t="n">
        <v>300</v>
      </c>
      <c r="S959" s="14" t="s">
        <v>105</v>
      </c>
      <c r="T959" s="14" t="s">
        <v>5178</v>
      </c>
      <c r="U959" s="14" t="n">
        <v>2026</v>
      </c>
      <c r="V959" s="12" t="s">
        <v>198</v>
      </c>
      <c r="W959" s="14"/>
      <c r="X959" s="15" t="n">
        <f aca="false">IF(OR($S959="%",$R959=""),"",$R959*INDEX(Cambi!$J$2:$J$5,MATCH($S959,Cambi!$I$2:$I$5,0))/IF($T959="EUR",1,INDEX(Cambi!$D:$D,MATCH($T959&amp;"|"&amp;$U959,Cambi!$C:$C,0))))</f>
        <v>27.1093319356967</v>
      </c>
      <c r="Y959" s="12" t="s">
        <v>108</v>
      </c>
      <c r="Z959" s="12" t="s">
        <v>109</v>
      </c>
      <c r="AA959" s="12" t="s">
        <v>109</v>
      </c>
      <c r="AB959" s="16" t="s">
        <v>394</v>
      </c>
      <c r="AC959" s="16" t="s">
        <v>1438</v>
      </c>
      <c r="AD959" s="12" t="s">
        <v>112</v>
      </c>
      <c r="AE959" s="12" t="s">
        <v>5303</v>
      </c>
      <c r="AF959" s="12" t="s">
        <v>5304</v>
      </c>
      <c r="AG959" s="12" t="s">
        <v>115</v>
      </c>
      <c r="AH959" s="12" t="s">
        <v>116</v>
      </c>
      <c r="AI959" s="12" t="s">
        <v>117</v>
      </c>
      <c r="AJ959" s="12" t="s">
        <v>5305</v>
      </c>
      <c r="AK959" s="12" t="s">
        <v>4</v>
      </c>
    </row>
    <row r="960" customFormat="false" ht="15" hidden="false" customHeight="false" outlineLevel="0" collapsed="false">
      <c r="A960" s="11" t="n">
        <v>959</v>
      </c>
      <c r="B960" s="12" t="s">
        <v>5297</v>
      </c>
      <c r="C960" s="12" t="s">
        <v>5161</v>
      </c>
      <c r="D960" s="12" t="s">
        <v>5162</v>
      </c>
      <c r="E960" s="12" t="s">
        <v>759</v>
      </c>
      <c r="F960" s="12" t="s">
        <v>5288</v>
      </c>
      <c r="G960" s="12" t="s">
        <v>771</v>
      </c>
      <c r="H960" s="12" t="s">
        <v>5298</v>
      </c>
      <c r="I960" s="12" t="s">
        <v>5299</v>
      </c>
      <c r="J960" s="13" t="s">
        <v>5300</v>
      </c>
      <c r="K960" s="12"/>
      <c r="L960" s="12" t="s">
        <v>5301</v>
      </c>
      <c r="M960" s="12" t="s">
        <v>5302</v>
      </c>
      <c r="N960" s="12" t="s">
        <v>101</v>
      </c>
      <c r="O960" s="12" t="s">
        <v>102</v>
      </c>
      <c r="P960" s="12" t="s">
        <v>103</v>
      </c>
      <c r="Q960" s="12" t="s">
        <v>104</v>
      </c>
      <c r="R960" s="14" t="n">
        <v>350</v>
      </c>
      <c r="S960" s="14" t="s">
        <v>105</v>
      </c>
      <c r="T960" s="14" t="s">
        <v>5178</v>
      </c>
      <c r="U960" s="14" t="n">
        <v>2027</v>
      </c>
      <c r="V960" s="12" t="s">
        <v>107</v>
      </c>
      <c r="W960" s="14"/>
      <c r="X960" s="15" t="n">
        <f aca="false">IF(OR($S960="%",$R960=""),"",$R960*INDEX(Cambi!$J$2:$J$5,MATCH($S960,Cambi!$I$2:$I$5,0))/IF($T960="EUR",1,INDEX(Cambi!$D:$D,MATCH($T960&amp;"|"&amp;$U960,Cambi!$C:$C,0))))</f>
        <v>31.6275539249794</v>
      </c>
      <c r="Y960" s="12" t="s">
        <v>108</v>
      </c>
      <c r="Z960" s="12" t="s">
        <v>109</v>
      </c>
      <c r="AA960" s="12" t="s">
        <v>109</v>
      </c>
      <c r="AB960" s="16" t="s">
        <v>394</v>
      </c>
      <c r="AC960" s="16" t="s">
        <v>1438</v>
      </c>
      <c r="AD960" s="12" t="s">
        <v>112</v>
      </c>
      <c r="AE960" s="12" t="s">
        <v>5303</v>
      </c>
      <c r="AF960" s="12" t="s">
        <v>5304</v>
      </c>
      <c r="AG960" s="12" t="s">
        <v>115</v>
      </c>
      <c r="AH960" s="12" t="s">
        <v>116</v>
      </c>
      <c r="AI960" s="12" t="s">
        <v>117</v>
      </c>
      <c r="AJ960" s="12" t="s">
        <v>5306</v>
      </c>
      <c r="AK960" s="12" t="s">
        <v>4</v>
      </c>
    </row>
    <row r="961" customFormat="false" ht="15" hidden="false" customHeight="false" outlineLevel="0" collapsed="false">
      <c r="A961" s="11" t="n">
        <v>960</v>
      </c>
      <c r="B961" s="12" t="s">
        <v>5297</v>
      </c>
      <c r="C961" s="12" t="s">
        <v>5161</v>
      </c>
      <c r="D961" s="12" t="s">
        <v>5162</v>
      </c>
      <c r="E961" s="12" t="s">
        <v>759</v>
      </c>
      <c r="F961" s="12" t="s">
        <v>5288</v>
      </c>
      <c r="G961" s="12" t="s">
        <v>771</v>
      </c>
      <c r="H961" s="12" t="s">
        <v>5298</v>
      </c>
      <c r="I961" s="12" t="s">
        <v>5299</v>
      </c>
      <c r="J961" s="13" t="s">
        <v>5300</v>
      </c>
      <c r="K961" s="12"/>
      <c r="L961" s="12" t="s">
        <v>5301</v>
      </c>
      <c r="M961" s="12" t="s">
        <v>5302</v>
      </c>
      <c r="N961" s="12" t="s">
        <v>101</v>
      </c>
      <c r="O961" s="12" t="s">
        <v>102</v>
      </c>
      <c r="P961" s="12" t="s">
        <v>103</v>
      </c>
      <c r="Q961" s="12" t="s">
        <v>104</v>
      </c>
      <c r="R961" s="14" t="n">
        <v>400</v>
      </c>
      <c r="S961" s="14" t="s">
        <v>105</v>
      </c>
      <c r="T961" s="14" t="s">
        <v>5178</v>
      </c>
      <c r="U961" s="14" t="n">
        <v>2028</v>
      </c>
      <c r="V961" s="12" t="s">
        <v>107</v>
      </c>
      <c r="W961" s="14"/>
      <c r="X961" s="15" t="n">
        <f aca="false">IF(OR($S961="%",$R961=""),"",$R961*INDEX(Cambi!$J$2:$J$5,MATCH($S961,Cambi!$I$2:$I$5,0))/IF($T961="EUR",1,INDEX(Cambi!$D:$D,MATCH($T961&amp;"|"&amp;$U961,Cambi!$C:$C,0))))</f>
        <v>36.1457759142622</v>
      </c>
      <c r="Y961" s="12" t="s">
        <v>108</v>
      </c>
      <c r="Z961" s="12" t="s">
        <v>109</v>
      </c>
      <c r="AA961" s="12" t="s">
        <v>109</v>
      </c>
      <c r="AB961" s="16" t="s">
        <v>394</v>
      </c>
      <c r="AC961" s="16" t="s">
        <v>1438</v>
      </c>
      <c r="AD961" s="12" t="s">
        <v>112</v>
      </c>
      <c r="AE961" s="12" t="s">
        <v>5303</v>
      </c>
      <c r="AF961" s="12" t="s">
        <v>5304</v>
      </c>
      <c r="AG961" s="12" t="s">
        <v>115</v>
      </c>
      <c r="AH961" s="12" t="s">
        <v>116</v>
      </c>
      <c r="AI961" s="12" t="s">
        <v>117</v>
      </c>
      <c r="AJ961" s="12" t="s">
        <v>5306</v>
      </c>
      <c r="AK961" s="12" t="s">
        <v>4</v>
      </c>
    </row>
    <row r="962" customFormat="false" ht="15" hidden="false" customHeight="false" outlineLevel="0" collapsed="false">
      <c r="A962" s="11" t="n">
        <v>961</v>
      </c>
      <c r="B962" s="12" t="s">
        <v>5307</v>
      </c>
      <c r="C962" s="12" t="s">
        <v>5161</v>
      </c>
      <c r="D962" s="12" t="s">
        <v>5162</v>
      </c>
      <c r="E962" s="12" t="s">
        <v>759</v>
      </c>
      <c r="F962" s="12" t="s">
        <v>5288</v>
      </c>
      <c r="G962" s="12" t="s">
        <v>771</v>
      </c>
      <c r="H962" s="12" t="s">
        <v>5308</v>
      </c>
      <c r="I962" s="12" t="s">
        <v>5309</v>
      </c>
      <c r="J962" s="13" t="s">
        <v>5310</v>
      </c>
      <c r="K962" s="12"/>
      <c r="L962" s="12" t="s">
        <v>5311</v>
      </c>
      <c r="M962" s="12" t="s">
        <v>5312</v>
      </c>
      <c r="N962" s="12" t="s">
        <v>101</v>
      </c>
      <c r="O962" s="12" t="s">
        <v>102</v>
      </c>
      <c r="P962" s="12" t="s">
        <v>103</v>
      </c>
      <c r="Q962" s="12" t="s">
        <v>104</v>
      </c>
      <c r="R962" s="14" t="n">
        <v>200</v>
      </c>
      <c r="S962" s="14" t="s">
        <v>105</v>
      </c>
      <c r="T962" s="14" t="s">
        <v>5178</v>
      </c>
      <c r="U962" s="14" t="n">
        <v>2025</v>
      </c>
      <c r="V962" s="12" t="s">
        <v>157</v>
      </c>
      <c r="W962" s="14"/>
      <c r="X962" s="15" t="n">
        <f aca="false">IF(OR($S962="%",$R962=""),"",$R962*INDEX(Cambi!$J$2:$J$5,MATCH($S962,Cambi!$I$2:$I$5,0))/IF($T962="EUR",1,INDEX(Cambi!$D:$D,MATCH($T962&amp;"|"&amp;$U962,Cambi!$C:$C,0))))</f>
        <v>18.0728879571311</v>
      </c>
      <c r="Y962" s="12" t="s">
        <v>108</v>
      </c>
      <c r="Z962" s="12" t="s">
        <v>109</v>
      </c>
      <c r="AA962" s="12" t="s">
        <v>109</v>
      </c>
      <c r="AB962" s="16" t="s">
        <v>394</v>
      </c>
      <c r="AC962" s="16" t="s">
        <v>1438</v>
      </c>
      <c r="AD962" s="12" t="s">
        <v>112</v>
      </c>
      <c r="AE962" s="12" t="s">
        <v>5313</v>
      </c>
      <c r="AF962" s="12" t="s">
        <v>5314</v>
      </c>
      <c r="AG962" s="12" t="s">
        <v>115</v>
      </c>
      <c r="AH962" s="12" t="s">
        <v>116</v>
      </c>
      <c r="AI962" s="12" t="s">
        <v>117</v>
      </c>
      <c r="AJ962" s="12" t="s">
        <v>5315</v>
      </c>
      <c r="AK962" s="12" t="s">
        <v>4</v>
      </c>
    </row>
    <row r="963" customFormat="false" ht="15" hidden="false" customHeight="false" outlineLevel="0" collapsed="false">
      <c r="A963" s="11" t="n">
        <v>962</v>
      </c>
      <c r="B963" s="12" t="s">
        <v>5316</v>
      </c>
      <c r="C963" s="12" t="s">
        <v>5317</v>
      </c>
      <c r="D963" s="12" t="s">
        <v>5318</v>
      </c>
      <c r="E963" s="12" t="s">
        <v>759</v>
      </c>
      <c r="F963" s="12" t="s">
        <v>2127</v>
      </c>
      <c r="G963" s="12" t="s">
        <v>830</v>
      </c>
      <c r="H963" s="12" t="s">
        <v>5319</v>
      </c>
      <c r="I963" s="12" t="s">
        <v>847</v>
      </c>
      <c r="J963" s="13" t="s">
        <v>5320</v>
      </c>
      <c r="K963" s="12"/>
      <c r="L963" s="12" t="s">
        <v>5321</v>
      </c>
      <c r="M963" s="12" t="s">
        <v>5322</v>
      </c>
      <c r="N963" s="12" t="s">
        <v>352</v>
      </c>
      <c r="O963" s="12" t="s">
        <v>102</v>
      </c>
      <c r="P963" s="12" t="s">
        <v>103</v>
      </c>
      <c r="Q963" s="12" t="s">
        <v>104</v>
      </c>
      <c r="R963" s="14" t="n">
        <v>500</v>
      </c>
      <c r="S963" s="14" t="s">
        <v>105</v>
      </c>
      <c r="T963" s="14" t="s">
        <v>653</v>
      </c>
      <c r="U963" s="14" t="n">
        <v>2025</v>
      </c>
      <c r="V963" s="12" t="s">
        <v>157</v>
      </c>
      <c r="W963" s="14" t="s">
        <v>5323</v>
      </c>
      <c r="X963" s="15" t="n">
        <f aca="false">IF(OR($S963="%",$R963=""),"",$R963*INDEX(Cambi!$J$2:$J$5,MATCH($S963,Cambi!$I$2:$I$5,0))/IF($T963="EUR",1,INDEX(Cambi!$D:$D,MATCH($T963&amp;"|"&amp;$U963,Cambi!$C:$C,0))))</f>
        <v>442.477876106195</v>
      </c>
      <c r="Y963" s="12" t="s">
        <v>109</v>
      </c>
      <c r="Z963" s="12" t="s">
        <v>109</v>
      </c>
      <c r="AA963" s="12" t="s">
        <v>109</v>
      </c>
      <c r="AB963" s="16" t="s">
        <v>110</v>
      </c>
      <c r="AC963" s="16" t="s">
        <v>3915</v>
      </c>
      <c r="AD963" s="12" t="s">
        <v>112</v>
      </c>
      <c r="AE963" s="12" t="s">
        <v>1196</v>
      </c>
      <c r="AF963" s="12" t="s">
        <v>5324</v>
      </c>
      <c r="AG963" s="12" t="s">
        <v>284</v>
      </c>
      <c r="AH963" s="12" t="s">
        <v>838</v>
      </c>
      <c r="AI963" s="12" t="s">
        <v>117</v>
      </c>
      <c r="AJ963" s="12" t="s">
        <v>5325</v>
      </c>
      <c r="AK963" s="12" t="s">
        <v>4</v>
      </c>
    </row>
    <row r="964" customFormat="false" ht="15" hidden="false" customHeight="false" outlineLevel="0" collapsed="false">
      <c r="A964" s="11" t="n">
        <v>963</v>
      </c>
      <c r="B964" s="12" t="s">
        <v>5316</v>
      </c>
      <c r="C964" s="12" t="s">
        <v>5317</v>
      </c>
      <c r="D964" s="12" t="s">
        <v>5318</v>
      </c>
      <c r="E964" s="12" t="s">
        <v>759</v>
      </c>
      <c r="F964" s="12" t="s">
        <v>2127</v>
      </c>
      <c r="G964" s="12" t="s">
        <v>830</v>
      </c>
      <c r="H964" s="12" t="s">
        <v>5326</v>
      </c>
      <c r="I964" s="12" t="s">
        <v>847</v>
      </c>
      <c r="J964" s="13" t="s">
        <v>5327</v>
      </c>
      <c r="K964" s="12"/>
      <c r="L964" s="12" t="s">
        <v>5328</v>
      </c>
      <c r="M964" s="12" t="s">
        <v>5329</v>
      </c>
      <c r="N964" s="12" t="s">
        <v>352</v>
      </c>
      <c r="O964" s="12" t="s">
        <v>102</v>
      </c>
      <c r="P964" s="12" t="s">
        <v>155</v>
      </c>
      <c r="Q964" s="12" t="s">
        <v>5330</v>
      </c>
      <c r="R964" s="14" t="n">
        <v>296</v>
      </c>
      <c r="S964" s="14" t="s">
        <v>105</v>
      </c>
      <c r="T964" s="14" t="s">
        <v>653</v>
      </c>
      <c r="U964" s="14" t="n">
        <v>2025</v>
      </c>
      <c r="V964" s="12" t="s">
        <v>157</v>
      </c>
      <c r="W964" s="14" t="s">
        <v>4627</v>
      </c>
      <c r="X964" s="15" t="n">
        <f aca="false">IF(OR($S964="%",$R964=""),"",$R964*INDEX(Cambi!$J$2:$J$5,MATCH($S964,Cambi!$I$2:$I$5,0))/IF($T964="EUR",1,INDEX(Cambi!$D:$D,MATCH($T964&amp;"|"&amp;$U964,Cambi!$C:$C,0))))</f>
        <v>261.946902654867</v>
      </c>
      <c r="Y964" s="12" t="s">
        <v>109</v>
      </c>
      <c r="Z964" s="12" t="s">
        <v>109</v>
      </c>
      <c r="AA964" s="12" t="s">
        <v>109</v>
      </c>
      <c r="AB964" s="16" t="s">
        <v>110</v>
      </c>
      <c r="AC964" s="16" t="s">
        <v>3915</v>
      </c>
      <c r="AD964" s="12" t="s">
        <v>112</v>
      </c>
      <c r="AE964" s="12" t="s">
        <v>1196</v>
      </c>
      <c r="AF964" s="12" t="s">
        <v>5331</v>
      </c>
      <c r="AG964" s="12" t="s">
        <v>284</v>
      </c>
      <c r="AH964" s="12" t="s">
        <v>838</v>
      </c>
      <c r="AI964" s="12" t="s">
        <v>117</v>
      </c>
      <c r="AJ964" s="12" t="s">
        <v>266</v>
      </c>
      <c r="AK964" s="12" t="s">
        <v>4</v>
      </c>
    </row>
    <row r="965" customFormat="false" ht="15" hidden="false" customHeight="false" outlineLevel="0" collapsed="false">
      <c r="A965" s="11" t="n">
        <v>964</v>
      </c>
      <c r="B965" s="12" t="s">
        <v>5316</v>
      </c>
      <c r="C965" s="12" t="s">
        <v>5317</v>
      </c>
      <c r="D965" s="12" t="s">
        <v>5318</v>
      </c>
      <c r="E965" s="12" t="s">
        <v>759</v>
      </c>
      <c r="F965" s="12" t="s">
        <v>2127</v>
      </c>
      <c r="G965" s="12" t="s">
        <v>830</v>
      </c>
      <c r="H965" s="12" t="s">
        <v>5319</v>
      </c>
      <c r="I965" s="12" t="s">
        <v>847</v>
      </c>
      <c r="J965" s="13" t="s">
        <v>5320</v>
      </c>
      <c r="K965" s="12"/>
      <c r="L965" s="12" t="s">
        <v>5321</v>
      </c>
      <c r="M965" s="12" t="s">
        <v>5332</v>
      </c>
      <c r="N965" s="12" t="s">
        <v>352</v>
      </c>
      <c r="O965" s="12" t="s">
        <v>102</v>
      </c>
      <c r="P965" s="12" t="s">
        <v>103</v>
      </c>
      <c r="Q965" s="12" t="s">
        <v>104</v>
      </c>
      <c r="R965" s="14" t="n">
        <v>671</v>
      </c>
      <c r="S965" s="14" t="s">
        <v>105</v>
      </c>
      <c r="T965" s="14" t="s">
        <v>653</v>
      </c>
      <c r="U965" s="14" t="n">
        <v>2032</v>
      </c>
      <c r="V965" s="12" t="s">
        <v>107</v>
      </c>
      <c r="W965" s="14" t="s">
        <v>5323</v>
      </c>
      <c r="X965" s="15" t="n">
        <f aca="false">IF(OR($S965="%",$R965=""),"",$R965*INDEX(Cambi!$J$2:$J$5,MATCH($S965,Cambi!$I$2:$I$5,0))/IF($T965="EUR",1,INDEX(Cambi!$D:$D,MATCH($T965&amp;"|"&amp;$U965,Cambi!$C:$C,0))))</f>
        <v>593.805309734513</v>
      </c>
      <c r="Y965" s="12" t="s">
        <v>109</v>
      </c>
      <c r="Z965" s="12" t="s">
        <v>109</v>
      </c>
      <c r="AA965" s="12" t="s">
        <v>109</v>
      </c>
      <c r="AB965" s="16" t="s">
        <v>110</v>
      </c>
      <c r="AC965" s="16" t="s">
        <v>3915</v>
      </c>
      <c r="AD965" s="12" t="s">
        <v>112</v>
      </c>
      <c r="AE965" s="12" t="s">
        <v>1196</v>
      </c>
      <c r="AF965" s="12" t="s">
        <v>5324</v>
      </c>
      <c r="AG965" s="12" t="s">
        <v>284</v>
      </c>
      <c r="AH965" s="12" t="s">
        <v>838</v>
      </c>
      <c r="AI965" s="12" t="s">
        <v>117</v>
      </c>
      <c r="AJ965" s="12" t="s">
        <v>5333</v>
      </c>
      <c r="AK965" s="12" t="s">
        <v>4</v>
      </c>
    </row>
    <row r="966" customFormat="false" ht="15" hidden="false" customHeight="false" outlineLevel="0" collapsed="false">
      <c r="A966" s="11" t="n">
        <v>965</v>
      </c>
      <c r="B966" s="12" t="s">
        <v>4442</v>
      </c>
      <c r="C966" s="12" t="s">
        <v>5317</v>
      </c>
      <c r="D966" s="12" t="s">
        <v>5318</v>
      </c>
      <c r="E966" s="12" t="s">
        <v>759</v>
      </c>
      <c r="F966" s="12" t="s">
        <v>2235</v>
      </c>
      <c r="G966" s="12" t="s">
        <v>1876</v>
      </c>
      <c r="H966" s="12" t="s">
        <v>4443</v>
      </c>
      <c r="I966" s="12" t="s">
        <v>4444</v>
      </c>
      <c r="J966" s="13" t="s">
        <v>4445</v>
      </c>
      <c r="K966" s="12" t="s">
        <v>4446</v>
      </c>
      <c r="L966" s="12" t="s">
        <v>4447</v>
      </c>
      <c r="M966" s="12" t="s">
        <v>4448</v>
      </c>
      <c r="N966" s="12" t="s">
        <v>352</v>
      </c>
      <c r="O966" s="12" t="s">
        <v>213</v>
      </c>
      <c r="P966" s="12" t="s">
        <v>103</v>
      </c>
      <c r="Q966" s="12" t="s">
        <v>104</v>
      </c>
      <c r="R966" s="14" t="n">
        <v>13.4</v>
      </c>
      <c r="S966" s="14" t="s">
        <v>197</v>
      </c>
      <c r="T966" s="14"/>
      <c r="U966" s="14" t="n">
        <v>2024</v>
      </c>
      <c r="V966" s="12" t="s">
        <v>107</v>
      </c>
      <c r="W966" s="14"/>
      <c r="X966" s="15" t="str">
        <f aca="false">IF(OR($S966="%",$R966=""),"",$R966*INDEX(Cambi!$J$2:$J$5,MATCH($S966,Cambi!$I$2:$I$5,0))/IF($T966="EUR",1,INDEX(Cambi!$D:$D,MATCH($T966&amp;"|"&amp;$U966,Cambi!$C:$C,0))))</f>
        <v/>
      </c>
      <c r="Y966" s="12" t="s">
        <v>654</v>
      </c>
      <c r="Z966" s="12" t="s">
        <v>285</v>
      </c>
      <c r="AA966" s="12" t="s">
        <v>2788</v>
      </c>
      <c r="AB966" s="16" t="s">
        <v>679</v>
      </c>
      <c r="AC966" s="16" t="s">
        <v>2789</v>
      </c>
      <c r="AD966" s="12" t="s">
        <v>201</v>
      </c>
      <c r="AE966" s="12" t="s">
        <v>2790</v>
      </c>
      <c r="AF966" s="12" t="s">
        <v>4449</v>
      </c>
      <c r="AG966" s="12" t="s">
        <v>498</v>
      </c>
      <c r="AH966" s="12" t="s">
        <v>116</v>
      </c>
      <c r="AI966" s="12" t="s">
        <v>117</v>
      </c>
      <c r="AJ966" s="12" t="s">
        <v>5334</v>
      </c>
      <c r="AK966" s="12" t="s">
        <v>4</v>
      </c>
    </row>
    <row r="967" customFormat="false" ht="15" hidden="false" customHeight="false" outlineLevel="0" collapsed="false">
      <c r="A967" s="11" t="n">
        <v>966</v>
      </c>
      <c r="B967" s="12" t="s">
        <v>2781</v>
      </c>
      <c r="C967" s="12" t="s">
        <v>5317</v>
      </c>
      <c r="D967" s="12" t="s">
        <v>5318</v>
      </c>
      <c r="E967" s="12" t="s">
        <v>759</v>
      </c>
      <c r="F967" s="12" t="s">
        <v>2235</v>
      </c>
      <c r="G967" s="12" t="s">
        <v>1876</v>
      </c>
      <c r="H967" s="12" t="s">
        <v>2782</v>
      </c>
      <c r="I967" s="12" t="s">
        <v>2783</v>
      </c>
      <c r="J967" s="13" t="s">
        <v>2784</v>
      </c>
      <c r="K967" s="12" t="s">
        <v>2785</v>
      </c>
      <c r="L967" s="12" t="s">
        <v>2786</v>
      </c>
      <c r="M967" s="12" t="s">
        <v>2787</v>
      </c>
      <c r="N967" s="12" t="s">
        <v>352</v>
      </c>
      <c r="O967" s="12" t="s">
        <v>213</v>
      </c>
      <c r="P967" s="12" t="s">
        <v>103</v>
      </c>
      <c r="Q967" s="12" t="s">
        <v>104</v>
      </c>
      <c r="R967" s="14" t="n">
        <v>14.1</v>
      </c>
      <c r="S967" s="14" t="s">
        <v>197</v>
      </c>
      <c r="T967" s="14"/>
      <c r="U967" s="14" t="n">
        <v>2025</v>
      </c>
      <c r="V967" s="12" t="s">
        <v>107</v>
      </c>
      <c r="W967" s="14"/>
      <c r="X967" s="15" t="str">
        <f aca="false">IF(OR($S967="%",$R967=""),"",$R967*INDEX(Cambi!$J$2:$J$5,MATCH($S967,Cambi!$I$2:$I$5,0))/IF($T967="EUR",1,INDEX(Cambi!$D:$D,MATCH($T967&amp;"|"&amp;$U967,Cambi!$C:$C,0))))</f>
        <v/>
      </c>
      <c r="Y967" s="12" t="s">
        <v>654</v>
      </c>
      <c r="Z967" s="12" t="s">
        <v>285</v>
      </c>
      <c r="AA967" s="12" t="s">
        <v>2788</v>
      </c>
      <c r="AB967" s="16" t="s">
        <v>679</v>
      </c>
      <c r="AC967" s="16" t="s">
        <v>2789</v>
      </c>
      <c r="AD967" s="12" t="s">
        <v>201</v>
      </c>
      <c r="AE967" s="12" t="s">
        <v>2790</v>
      </c>
      <c r="AF967" s="12" t="s">
        <v>4451</v>
      </c>
      <c r="AG967" s="12" t="s">
        <v>498</v>
      </c>
      <c r="AH967" s="12" t="s">
        <v>116</v>
      </c>
      <c r="AI967" s="12" t="s">
        <v>117</v>
      </c>
      <c r="AJ967" s="12" t="s">
        <v>4450</v>
      </c>
      <c r="AK967" s="12" t="s">
        <v>4</v>
      </c>
    </row>
    <row r="968" customFormat="false" ht="15" hidden="false" customHeight="false" outlineLevel="0" collapsed="false">
      <c r="A968" s="11" t="n">
        <v>967</v>
      </c>
      <c r="B968" s="12" t="s">
        <v>5335</v>
      </c>
      <c r="C968" s="12" t="s">
        <v>5317</v>
      </c>
      <c r="D968" s="12" t="s">
        <v>5318</v>
      </c>
      <c r="E968" s="12" t="s">
        <v>759</v>
      </c>
      <c r="F968" s="12" t="s">
        <v>1295</v>
      </c>
      <c r="G968" s="12" t="s">
        <v>771</v>
      </c>
      <c r="H968" s="12" t="s">
        <v>5336</v>
      </c>
      <c r="I968" s="12" t="s">
        <v>5290</v>
      </c>
      <c r="J968" s="13" t="s">
        <v>5337</v>
      </c>
      <c r="K968" s="12" t="s">
        <v>5338</v>
      </c>
      <c r="L968" s="12" t="s">
        <v>5339</v>
      </c>
      <c r="M968" s="12" t="s">
        <v>5340</v>
      </c>
      <c r="N968" s="12" t="s">
        <v>352</v>
      </c>
      <c r="O968" s="12" t="s">
        <v>102</v>
      </c>
      <c r="P968" s="12" t="s">
        <v>155</v>
      </c>
      <c r="Q968" s="12" t="s">
        <v>1193</v>
      </c>
      <c r="R968" s="14" t="n">
        <v>105.7</v>
      </c>
      <c r="S968" s="14" t="s">
        <v>105</v>
      </c>
      <c r="T968" s="14" t="s">
        <v>653</v>
      </c>
      <c r="U968" s="14" t="n">
        <v>2024</v>
      </c>
      <c r="V968" s="12" t="s">
        <v>198</v>
      </c>
      <c r="W968" s="14"/>
      <c r="X968" s="15" t="n">
        <f aca="false">IF(OR($S968="%",$R968=""),"",$R968*INDEX(Cambi!$J$2:$J$5,MATCH($S968,Cambi!$I$2:$I$5,0))/IF($T968="EUR",1,INDEX(Cambi!$D:$D,MATCH($T968&amp;"|"&amp;$U968,Cambi!$C:$C,0))))</f>
        <v>97.6533628972653</v>
      </c>
      <c r="Y968" s="12" t="s">
        <v>109</v>
      </c>
      <c r="Z968" s="12" t="s">
        <v>109</v>
      </c>
      <c r="AA968" s="12" t="s">
        <v>109</v>
      </c>
      <c r="AB968" s="16" t="s">
        <v>110</v>
      </c>
      <c r="AC968" s="16" t="s">
        <v>5341</v>
      </c>
      <c r="AD968" s="12" t="s">
        <v>281</v>
      </c>
      <c r="AE968" s="12" t="s">
        <v>1196</v>
      </c>
      <c r="AF968" s="12" t="s">
        <v>5342</v>
      </c>
      <c r="AG968" s="12" t="s">
        <v>284</v>
      </c>
      <c r="AH968" s="12" t="s">
        <v>116</v>
      </c>
      <c r="AI968" s="12" t="s">
        <v>285</v>
      </c>
      <c r="AJ968" s="12" t="s">
        <v>5343</v>
      </c>
      <c r="AK968" s="12" t="s">
        <v>4</v>
      </c>
    </row>
    <row r="969" customFormat="false" ht="15" hidden="false" customHeight="false" outlineLevel="0" collapsed="false">
      <c r="A969" s="11" t="n">
        <v>968</v>
      </c>
      <c r="B969" s="12" t="s">
        <v>5335</v>
      </c>
      <c r="C969" s="12" t="s">
        <v>5317</v>
      </c>
      <c r="D969" s="12" t="s">
        <v>5318</v>
      </c>
      <c r="E969" s="12" t="s">
        <v>759</v>
      </c>
      <c r="F969" s="12" t="s">
        <v>1295</v>
      </c>
      <c r="G969" s="12" t="s">
        <v>771</v>
      </c>
      <c r="H969" s="12" t="s">
        <v>5336</v>
      </c>
      <c r="I969" s="12" t="s">
        <v>5290</v>
      </c>
      <c r="J969" s="13" t="s">
        <v>5337</v>
      </c>
      <c r="K969" s="12" t="s">
        <v>5338</v>
      </c>
      <c r="L969" s="12" t="s">
        <v>5344</v>
      </c>
      <c r="M969" s="12" t="s">
        <v>5345</v>
      </c>
      <c r="N969" s="12" t="s">
        <v>352</v>
      </c>
      <c r="O969" s="12" t="s">
        <v>213</v>
      </c>
      <c r="P969" s="12" t="s">
        <v>103</v>
      </c>
      <c r="Q969" s="12" t="s">
        <v>104</v>
      </c>
      <c r="R969" s="14" t="n">
        <v>12.25</v>
      </c>
      <c r="S969" s="14" t="s">
        <v>197</v>
      </c>
      <c r="T969" s="14"/>
      <c r="U969" s="14" t="n">
        <v>2029</v>
      </c>
      <c r="V969" s="12" t="s">
        <v>107</v>
      </c>
      <c r="W969" s="14" t="s">
        <v>5346</v>
      </c>
      <c r="X969" s="15" t="str">
        <f aca="false">IF(OR($S969="%",$R969=""),"",$R969*INDEX(Cambi!$J$2:$J$5,MATCH($S969,Cambi!$I$2:$I$5,0))/IF($T969="EUR",1,INDEX(Cambi!$D:$D,MATCH($T969&amp;"|"&amp;$U969,Cambi!$C:$C,0))))</f>
        <v/>
      </c>
      <c r="Y969" s="12" t="s">
        <v>109</v>
      </c>
      <c r="Z969" s="12" t="s">
        <v>109</v>
      </c>
      <c r="AA969" s="12" t="s">
        <v>109</v>
      </c>
      <c r="AB969" s="16" t="s">
        <v>110</v>
      </c>
      <c r="AC969" s="16" t="s">
        <v>5341</v>
      </c>
      <c r="AD969" s="12" t="s">
        <v>281</v>
      </c>
      <c r="AE969" s="12" t="s">
        <v>1196</v>
      </c>
      <c r="AF969" s="12" t="s">
        <v>5347</v>
      </c>
      <c r="AG969" s="12" t="s">
        <v>284</v>
      </c>
      <c r="AH969" s="12" t="s">
        <v>116</v>
      </c>
      <c r="AI969" s="12" t="s">
        <v>285</v>
      </c>
      <c r="AJ969" s="12" t="s">
        <v>5348</v>
      </c>
      <c r="AK969" s="12" t="s">
        <v>4</v>
      </c>
    </row>
    <row r="970" customFormat="false" ht="15" hidden="false" customHeight="false" outlineLevel="0" collapsed="false">
      <c r="A970" s="11" t="n">
        <v>969</v>
      </c>
      <c r="B970" s="12" t="s">
        <v>5349</v>
      </c>
      <c r="C970" s="12" t="s">
        <v>5317</v>
      </c>
      <c r="D970" s="12" t="s">
        <v>5318</v>
      </c>
      <c r="E970" s="12" t="s">
        <v>759</v>
      </c>
      <c r="F970" s="12" t="s">
        <v>5350</v>
      </c>
      <c r="G970" s="12" t="s">
        <v>830</v>
      </c>
      <c r="H970" s="12" t="s">
        <v>5351</v>
      </c>
      <c r="I970" s="12" t="s">
        <v>5352</v>
      </c>
      <c r="J970" s="13" t="s">
        <v>5353</v>
      </c>
      <c r="K970" s="12"/>
      <c r="L970" s="12" t="s">
        <v>5354</v>
      </c>
      <c r="M970" s="12" t="s">
        <v>5355</v>
      </c>
      <c r="N970" s="12" t="s">
        <v>352</v>
      </c>
      <c r="O970" s="12" t="s">
        <v>102</v>
      </c>
      <c r="P970" s="12" t="s">
        <v>103</v>
      </c>
      <c r="Q970" s="12" t="s">
        <v>104</v>
      </c>
      <c r="R970" s="14" t="n">
        <v>487.3</v>
      </c>
      <c r="S970" s="14" t="s">
        <v>105</v>
      </c>
      <c r="T970" s="14" t="s">
        <v>653</v>
      </c>
      <c r="U970" s="14" t="n">
        <v>2026</v>
      </c>
      <c r="V970" s="12" t="s">
        <v>198</v>
      </c>
      <c r="W970" s="14" t="s">
        <v>5356</v>
      </c>
      <c r="X970" s="15" t="n">
        <f aca="false">IF(OR($S970="%",$R970=""),"",$R970*INDEX(Cambi!$J$2:$J$5,MATCH($S970,Cambi!$I$2:$I$5,0))/IF($T970="EUR",1,INDEX(Cambi!$D:$D,MATCH($T970&amp;"|"&amp;$U970,Cambi!$C:$C,0))))</f>
        <v>431.238938053097</v>
      </c>
      <c r="Y970" s="12" t="s">
        <v>109</v>
      </c>
      <c r="Z970" s="12" t="s">
        <v>109</v>
      </c>
      <c r="AA970" s="12" t="s">
        <v>109</v>
      </c>
      <c r="AB970" s="16" t="s">
        <v>110</v>
      </c>
      <c r="AC970" s="16" t="s">
        <v>3915</v>
      </c>
      <c r="AD970" s="12" t="s">
        <v>112</v>
      </c>
      <c r="AE970" s="12" t="s">
        <v>1196</v>
      </c>
      <c r="AF970" s="12" t="s">
        <v>5357</v>
      </c>
      <c r="AG970" s="12" t="s">
        <v>284</v>
      </c>
      <c r="AH970" s="12" t="s">
        <v>838</v>
      </c>
      <c r="AI970" s="12" t="s">
        <v>117</v>
      </c>
      <c r="AJ970" s="12" t="s">
        <v>5358</v>
      </c>
      <c r="AK970" s="12" t="s">
        <v>4</v>
      </c>
    </row>
    <row r="971" customFormat="false" ht="15" hidden="false" customHeight="false" outlineLevel="0" collapsed="false">
      <c r="A971" s="11" t="n">
        <v>970</v>
      </c>
      <c r="B971" s="12" t="s">
        <v>5349</v>
      </c>
      <c r="C971" s="12" t="s">
        <v>5317</v>
      </c>
      <c r="D971" s="12" t="s">
        <v>5318</v>
      </c>
      <c r="E971" s="12" t="s">
        <v>759</v>
      </c>
      <c r="F971" s="12" t="s">
        <v>5350</v>
      </c>
      <c r="G971" s="12" t="s">
        <v>830</v>
      </c>
      <c r="H971" s="12" t="s">
        <v>5351</v>
      </c>
      <c r="I971" s="12" t="s">
        <v>5352</v>
      </c>
      <c r="J971" s="13" t="s">
        <v>5353</v>
      </c>
      <c r="K971" s="12"/>
      <c r="L971" s="12" t="s">
        <v>5354</v>
      </c>
      <c r="M971" s="12" t="s">
        <v>5359</v>
      </c>
      <c r="N971" s="12" t="s">
        <v>352</v>
      </c>
      <c r="O971" s="12" t="s">
        <v>102</v>
      </c>
      <c r="P971" s="12" t="s">
        <v>103</v>
      </c>
      <c r="Q971" s="12" t="s">
        <v>104</v>
      </c>
      <c r="R971" s="14" t="n">
        <v>1308.5</v>
      </c>
      <c r="S971" s="14" t="s">
        <v>105</v>
      </c>
      <c r="T971" s="14" t="s">
        <v>653</v>
      </c>
      <c r="U971" s="14" t="n">
        <v>2035</v>
      </c>
      <c r="V971" s="12" t="s">
        <v>107</v>
      </c>
      <c r="W971" s="14" t="s">
        <v>5356</v>
      </c>
      <c r="X971" s="15" t="n">
        <f aca="false">IF(OR($S971="%",$R971=""),"",$R971*INDEX(Cambi!$J$2:$J$5,MATCH($S971,Cambi!$I$2:$I$5,0))/IF($T971="EUR",1,INDEX(Cambi!$D:$D,MATCH($T971&amp;"|"&amp;$U971,Cambi!$C:$C,0))))</f>
        <v>1157.96460176991</v>
      </c>
      <c r="Y971" s="12" t="s">
        <v>109</v>
      </c>
      <c r="Z971" s="12" t="s">
        <v>109</v>
      </c>
      <c r="AA971" s="12" t="s">
        <v>109</v>
      </c>
      <c r="AB971" s="16" t="s">
        <v>110</v>
      </c>
      <c r="AC971" s="16" t="s">
        <v>3915</v>
      </c>
      <c r="AD971" s="12" t="s">
        <v>112</v>
      </c>
      <c r="AE971" s="12" t="s">
        <v>1196</v>
      </c>
      <c r="AF971" s="12" t="s">
        <v>5357</v>
      </c>
      <c r="AG971" s="12" t="s">
        <v>284</v>
      </c>
      <c r="AH971" s="12" t="s">
        <v>838</v>
      </c>
      <c r="AI971" s="12" t="s">
        <v>117</v>
      </c>
      <c r="AJ971" s="12" t="s">
        <v>266</v>
      </c>
      <c r="AK971" s="12" t="s">
        <v>4</v>
      </c>
    </row>
    <row r="972" customFormat="false" ht="15" hidden="false" customHeight="false" outlineLevel="0" collapsed="false">
      <c r="A972" s="11" t="n">
        <v>971</v>
      </c>
      <c r="B972" s="12" t="s">
        <v>5360</v>
      </c>
      <c r="C972" s="12" t="s">
        <v>5317</v>
      </c>
      <c r="D972" s="12" t="s">
        <v>5318</v>
      </c>
      <c r="E972" s="12" t="s">
        <v>759</v>
      </c>
      <c r="F972" s="12" t="s">
        <v>845</v>
      </c>
      <c r="G972" s="12" t="s">
        <v>830</v>
      </c>
      <c r="H972" s="12" t="s">
        <v>5361</v>
      </c>
      <c r="I972" s="12" t="s">
        <v>847</v>
      </c>
      <c r="J972" s="13" t="s">
        <v>5362</v>
      </c>
      <c r="K972" s="12"/>
      <c r="L972" s="12" t="s">
        <v>5363</v>
      </c>
      <c r="M972" s="12" t="s">
        <v>5364</v>
      </c>
      <c r="N972" s="12" t="s">
        <v>352</v>
      </c>
      <c r="O972" s="12" t="s">
        <v>102</v>
      </c>
      <c r="P972" s="12" t="s">
        <v>103</v>
      </c>
      <c r="Q972" s="12" t="s">
        <v>104</v>
      </c>
      <c r="R972" s="14" t="n">
        <v>239.6</v>
      </c>
      <c r="S972" s="14" t="s">
        <v>105</v>
      </c>
      <c r="T972" s="14" t="s">
        <v>653</v>
      </c>
      <c r="U972" s="14" t="n">
        <v>2025</v>
      </c>
      <c r="V972" s="12" t="s">
        <v>157</v>
      </c>
      <c r="W972" s="14"/>
      <c r="X972" s="15" t="n">
        <f aca="false">IF(OR($S972="%",$R972=""),"",$R972*INDEX(Cambi!$J$2:$J$5,MATCH($S972,Cambi!$I$2:$I$5,0))/IF($T972="EUR",1,INDEX(Cambi!$D:$D,MATCH($T972&amp;"|"&amp;$U972,Cambi!$C:$C,0))))</f>
        <v>212.035398230089</v>
      </c>
      <c r="Y972" s="12" t="s">
        <v>109</v>
      </c>
      <c r="Z972" s="12" t="s">
        <v>285</v>
      </c>
      <c r="AA972" s="12" t="s">
        <v>5365</v>
      </c>
      <c r="AB972" s="16" t="s">
        <v>110</v>
      </c>
      <c r="AC972" s="16" t="s">
        <v>5366</v>
      </c>
      <c r="AD972" s="12" t="s">
        <v>112</v>
      </c>
      <c r="AE972" s="12" t="s">
        <v>5367</v>
      </c>
      <c r="AF972" s="12" t="s">
        <v>5368</v>
      </c>
      <c r="AG972" s="12" t="s">
        <v>498</v>
      </c>
      <c r="AH972" s="12" t="s">
        <v>838</v>
      </c>
      <c r="AI972" s="12" t="s">
        <v>117</v>
      </c>
      <c r="AJ972" s="12" t="s">
        <v>5369</v>
      </c>
      <c r="AK972" s="12" t="s">
        <v>4</v>
      </c>
    </row>
    <row r="973" customFormat="false" ht="15" hidden="false" customHeight="false" outlineLevel="0" collapsed="false">
      <c r="A973" s="11" t="n">
        <v>972</v>
      </c>
      <c r="B973" s="12" t="s">
        <v>5360</v>
      </c>
      <c r="C973" s="12" t="s">
        <v>5317</v>
      </c>
      <c r="D973" s="12" t="s">
        <v>5318</v>
      </c>
      <c r="E973" s="12" t="s">
        <v>759</v>
      </c>
      <c r="F973" s="12" t="s">
        <v>845</v>
      </c>
      <c r="G973" s="12" t="s">
        <v>830</v>
      </c>
      <c r="H973" s="12" t="s">
        <v>5361</v>
      </c>
      <c r="I973" s="12" t="s">
        <v>847</v>
      </c>
      <c r="J973" s="13" t="s">
        <v>5362</v>
      </c>
      <c r="K973" s="12"/>
      <c r="L973" s="12" t="s">
        <v>5370</v>
      </c>
      <c r="M973" s="12" t="s">
        <v>5371</v>
      </c>
      <c r="N973" s="12" t="s">
        <v>352</v>
      </c>
      <c r="O973" s="12" t="s">
        <v>196</v>
      </c>
      <c r="P973" s="12" t="s">
        <v>155</v>
      </c>
      <c r="Q973" s="12" t="s">
        <v>1027</v>
      </c>
      <c r="R973" s="14" t="n">
        <v>62.55</v>
      </c>
      <c r="S973" s="14" t="s">
        <v>197</v>
      </c>
      <c r="T973" s="14"/>
      <c r="U973" s="14" t="n">
        <v>2025</v>
      </c>
      <c r="V973" s="12" t="s">
        <v>157</v>
      </c>
      <c r="W973" s="14" t="s">
        <v>5372</v>
      </c>
      <c r="X973" s="15" t="str">
        <f aca="false">IF(OR($S973="%",$R973=""),"",$R973*INDEX(Cambi!$J$2:$J$5,MATCH($S973,Cambi!$I$2:$I$5,0))/IF($T973="EUR",1,INDEX(Cambi!$D:$D,MATCH($T973&amp;"|"&amp;$U973,Cambi!$C:$C,0))))</f>
        <v/>
      </c>
      <c r="Y973" s="12" t="s">
        <v>109</v>
      </c>
      <c r="Z973" s="12" t="s">
        <v>285</v>
      </c>
      <c r="AA973" s="12" t="s">
        <v>5365</v>
      </c>
      <c r="AB973" s="16" t="s">
        <v>110</v>
      </c>
      <c r="AC973" s="16" t="s">
        <v>5366</v>
      </c>
      <c r="AD973" s="12" t="s">
        <v>112</v>
      </c>
      <c r="AE973" s="12" t="s">
        <v>5367</v>
      </c>
      <c r="AF973" s="12" t="s">
        <v>5373</v>
      </c>
      <c r="AG973" s="12" t="s">
        <v>498</v>
      </c>
      <c r="AH973" s="12" t="s">
        <v>838</v>
      </c>
      <c r="AI973" s="12" t="s">
        <v>117</v>
      </c>
      <c r="AJ973" s="12" t="s">
        <v>266</v>
      </c>
      <c r="AK973" s="12" t="s">
        <v>4</v>
      </c>
    </row>
    <row r="974" customFormat="false" ht="15" hidden="false" customHeight="false" outlineLevel="0" collapsed="false">
      <c r="A974" s="11" t="n">
        <v>973</v>
      </c>
      <c r="B974" s="12" t="s">
        <v>5360</v>
      </c>
      <c r="C974" s="12" t="s">
        <v>5317</v>
      </c>
      <c r="D974" s="12" t="s">
        <v>5318</v>
      </c>
      <c r="E974" s="12" t="s">
        <v>759</v>
      </c>
      <c r="F974" s="12" t="s">
        <v>845</v>
      </c>
      <c r="G974" s="12" t="s">
        <v>830</v>
      </c>
      <c r="H974" s="12" t="s">
        <v>5361</v>
      </c>
      <c r="I974" s="12" t="s">
        <v>847</v>
      </c>
      <c r="J974" s="13" t="s">
        <v>5362</v>
      </c>
      <c r="K974" s="12"/>
      <c r="L974" s="12" t="s">
        <v>5363</v>
      </c>
      <c r="M974" s="12" t="s">
        <v>5374</v>
      </c>
      <c r="N974" s="12" t="s">
        <v>352</v>
      </c>
      <c r="O974" s="12" t="s">
        <v>102</v>
      </c>
      <c r="P974" s="12" t="s">
        <v>103</v>
      </c>
      <c r="Q974" s="12" t="s">
        <v>104</v>
      </c>
      <c r="R974" s="14" t="n">
        <v>258.14</v>
      </c>
      <c r="S974" s="14" t="s">
        <v>105</v>
      </c>
      <c r="T974" s="14" t="s">
        <v>653</v>
      </c>
      <c r="U974" s="14" t="n">
        <v>2026</v>
      </c>
      <c r="V974" s="12" t="s">
        <v>198</v>
      </c>
      <c r="W974" s="14" t="s">
        <v>5375</v>
      </c>
      <c r="X974" s="15" t="n">
        <f aca="false">IF(OR($S974="%",$R974=""),"",$R974*INDEX(Cambi!$J$2:$J$5,MATCH($S974,Cambi!$I$2:$I$5,0))/IF($T974="EUR",1,INDEX(Cambi!$D:$D,MATCH($T974&amp;"|"&amp;$U974,Cambi!$C:$C,0))))</f>
        <v>228.442477876106</v>
      </c>
      <c r="Y974" s="12" t="s">
        <v>109</v>
      </c>
      <c r="Z974" s="12" t="s">
        <v>285</v>
      </c>
      <c r="AA974" s="12" t="s">
        <v>5365</v>
      </c>
      <c r="AB974" s="16" t="s">
        <v>110</v>
      </c>
      <c r="AC974" s="16" t="s">
        <v>5366</v>
      </c>
      <c r="AD974" s="12" t="s">
        <v>112</v>
      </c>
      <c r="AE974" s="12" t="s">
        <v>5367</v>
      </c>
      <c r="AF974" s="12" t="s">
        <v>5376</v>
      </c>
      <c r="AG974" s="12" t="s">
        <v>498</v>
      </c>
      <c r="AH974" s="12" t="s">
        <v>838</v>
      </c>
      <c r="AI974" s="12" t="s">
        <v>117</v>
      </c>
      <c r="AJ974" s="12" t="s">
        <v>2034</v>
      </c>
      <c r="AK974" s="12" t="s">
        <v>4</v>
      </c>
    </row>
    <row r="975" customFormat="false" ht="15" hidden="false" customHeight="false" outlineLevel="0" collapsed="false">
      <c r="A975" s="11" t="n">
        <v>974</v>
      </c>
      <c r="B975" s="12" t="s">
        <v>5360</v>
      </c>
      <c r="C975" s="12" t="s">
        <v>5317</v>
      </c>
      <c r="D975" s="12" t="s">
        <v>5318</v>
      </c>
      <c r="E975" s="12" t="s">
        <v>759</v>
      </c>
      <c r="F975" s="12" t="s">
        <v>845</v>
      </c>
      <c r="G975" s="12" t="s">
        <v>830</v>
      </c>
      <c r="H975" s="12" t="s">
        <v>5361</v>
      </c>
      <c r="I975" s="12" t="s">
        <v>847</v>
      </c>
      <c r="J975" s="13" t="s">
        <v>5362</v>
      </c>
      <c r="K975" s="12"/>
      <c r="L975" s="12" t="s">
        <v>5363</v>
      </c>
      <c r="M975" s="12" t="s">
        <v>5377</v>
      </c>
      <c r="N975" s="12" t="s">
        <v>352</v>
      </c>
      <c r="O975" s="12" t="s">
        <v>102</v>
      </c>
      <c r="P975" s="12" t="s">
        <v>103</v>
      </c>
      <c r="Q975" s="12" t="s">
        <v>104</v>
      </c>
      <c r="R975" s="14" t="n">
        <v>374.74</v>
      </c>
      <c r="S975" s="14" t="s">
        <v>105</v>
      </c>
      <c r="T975" s="14" t="s">
        <v>653</v>
      </c>
      <c r="U975" s="14" t="n">
        <v>2031</v>
      </c>
      <c r="V975" s="12" t="s">
        <v>107</v>
      </c>
      <c r="W975" s="14" t="s">
        <v>5375</v>
      </c>
      <c r="X975" s="15" t="n">
        <f aca="false">IF(OR($S975="%",$R975=""),"",$R975*INDEX(Cambi!$J$2:$J$5,MATCH($S975,Cambi!$I$2:$I$5,0))/IF($T975="EUR",1,INDEX(Cambi!$D:$D,MATCH($T975&amp;"|"&amp;$U975,Cambi!$C:$C,0))))</f>
        <v>331.628318584071</v>
      </c>
      <c r="Y975" s="12" t="s">
        <v>109</v>
      </c>
      <c r="Z975" s="12" t="s">
        <v>285</v>
      </c>
      <c r="AA975" s="12" t="s">
        <v>5365</v>
      </c>
      <c r="AB975" s="16" t="s">
        <v>110</v>
      </c>
      <c r="AC975" s="16" t="s">
        <v>5366</v>
      </c>
      <c r="AD975" s="12" t="s">
        <v>112</v>
      </c>
      <c r="AE975" s="12" t="s">
        <v>5367</v>
      </c>
      <c r="AF975" s="12" t="s">
        <v>5376</v>
      </c>
      <c r="AG975" s="12" t="s">
        <v>498</v>
      </c>
      <c r="AH975" s="12" t="s">
        <v>838</v>
      </c>
      <c r="AI975" s="12" t="s">
        <v>117</v>
      </c>
      <c r="AJ975" s="12" t="s">
        <v>266</v>
      </c>
      <c r="AK975" s="12" t="s">
        <v>4</v>
      </c>
    </row>
    <row r="976" customFormat="false" ht="15" hidden="false" customHeight="false" outlineLevel="0" collapsed="false">
      <c r="A976" s="11" t="n">
        <v>975</v>
      </c>
      <c r="B976" s="12" t="s">
        <v>5378</v>
      </c>
      <c r="C976" s="12" t="s">
        <v>5317</v>
      </c>
      <c r="D976" s="12" t="s">
        <v>5318</v>
      </c>
      <c r="E976" s="12" t="s">
        <v>759</v>
      </c>
      <c r="F976" s="12" t="s">
        <v>5379</v>
      </c>
      <c r="G976" s="12" t="s">
        <v>771</v>
      </c>
      <c r="H976" s="12" t="s">
        <v>5380</v>
      </c>
      <c r="I976" s="12" t="s">
        <v>808</v>
      </c>
      <c r="J976" s="13" t="s">
        <v>5381</v>
      </c>
      <c r="K976" s="12"/>
      <c r="L976" s="12" t="s">
        <v>5382</v>
      </c>
      <c r="M976" s="12" t="s">
        <v>5383</v>
      </c>
      <c r="N976" s="12" t="s">
        <v>195</v>
      </c>
      <c r="O976" s="12" t="s">
        <v>196</v>
      </c>
      <c r="P976" s="12" t="s">
        <v>103</v>
      </c>
      <c r="Q976" s="12" t="s">
        <v>104</v>
      </c>
      <c r="R976" s="14" t="n">
        <v>5</v>
      </c>
      <c r="S976" s="14" t="s">
        <v>197</v>
      </c>
      <c r="T976" s="14"/>
      <c r="U976" s="14" t="n">
        <v>2025</v>
      </c>
      <c r="V976" s="12" t="s">
        <v>157</v>
      </c>
      <c r="W976" s="14"/>
      <c r="X976" s="15" t="str">
        <f aca="false">IF(OR($S976="%",$R976=""),"",$R976*INDEX(Cambi!$J$2:$J$5,MATCH($S976,Cambi!$I$2:$I$5,0))/IF($T976="EUR",1,INDEX(Cambi!$D:$D,MATCH($T976&amp;"|"&amp;$U976,Cambi!$C:$C,0))))</f>
        <v/>
      </c>
      <c r="Y976" s="12" t="s">
        <v>108</v>
      </c>
      <c r="Z976" s="12" t="s">
        <v>109</v>
      </c>
      <c r="AA976" s="12" t="s">
        <v>5384</v>
      </c>
      <c r="AB976" s="16" t="s">
        <v>394</v>
      </c>
      <c r="AC976" s="16" t="s">
        <v>5385</v>
      </c>
      <c r="AD976" s="12" t="s">
        <v>112</v>
      </c>
      <c r="AE976" s="12" t="s">
        <v>5386</v>
      </c>
      <c r="AF976" s="12" t="s">
        <v>5387</v>
      </c>
      <c r="AG976" s="12" t="s">
        <v>407</v>
      </c>
      <c r="AH976" s="12" t="s">
        <v>116</v>
      </c>
      <c r="AI976" s="12" t="s">
        <v>117</v>
      </c>
      <c r="AJ976" s="12" t="s">
        <v>5388</v>
      </c>
      <c r="AK976" s="12" t="s">
        <v>4</v>
      </c>
    </row>
    <row r="977" customFormat="false" ht="15" hidden="false" customHeight="false" outlineLevel="0" collapsed="false">
      <c r="A977" s="11" t="n">
        <v>976</v>
      </c>
      <c r="B977" s="12" t="s">
        <v>5389</v>
      </c>
      <c r="C977" s="12" t="s">
        <v>5317</v>
      </c>
      <c r="D977" s="12" t="s">
        <v>5318</v>
      </c>
      <c r="E977" s="12" t="s">
        <v>759</v>
      </c>
      <c r="F977" s="12" t="s">
        <v>927</v>
      </c>
      <c r="G977" s="12" t="s">
        <v>830</v>
      </c>
      <c r="H977" s="12" t="s">
        <v>5390</v>
      </c>
      <c r="I977" s="12" t="s">
        <v>3087</v>
      </c>
      <c r="J977" s="13" t="s">
        <v>5391</v>
      </c>
      <c r="K977" s="12"/>
      <c r="L977" s="12" t="s">
        <v>5392</v>
      </c>
      <c r="M977" s="12" t="s">
        <v>5393</v>
      </c>
      <c r="N977" s="12" t="s">
        <v>352</v>
      </c>
      <c r="O977" s="12" t="s">
        <v>102</v>
      </c>
      <c r="P977" s="12" t="s">
        <v>103</v>
      </c>
      <c r="Q977" s="12" t="s">
        <v>104</v>
      </c>
      <c r="R977" s="14" t="n">
        <v>350</v>
      </c>
      <c r="S977" s="14" t="s">
        <v>105</v>
      </c>
      <c r="T977" s="14" t="s">
        <v>653</v>
      </c>
      <c r="U977" s="14" t="n">
        <v>2024</v>
      </c>
      <c r="V977" s="12" t="s">
        <v>157</v>
      </c>
      <c r="W977" s="14" t="s">
        <v>5394</v>
      </c>
      <c r="X977" s="15" t="n">
        <f aca="false">IF(OR($S977="%",$R977=""),"",$R977*INDEX(Cambi!$J$2:$J$5,MATCH($S977,Cambi!$I$2:$I$5,0))/IF($T977="EUR",1,INDEX(Cambi!$D:$D,MATCH($T977&amp;"|"&amp;$U977,Cambi!$C:$C,0))))</f>
        <v>323.355506282336</v>
      </c>
      <c r="Y977" s="12" t="s">
        <v>109</v>
      </c>
      <c r="Z977" s="12" t="s">
        <v>109</v>
      </c>
      <c r="AA977" s="12" t="s">
        <v>109</v>
      </c>
      <c r="AB977" s="16" t="s">
        <v>110</v>
      </c>
      <c r="AC977" s="16" t="s">
        <v>3915</v>
      </c>
      <c r="AD977" s="12" t="s">
        <v>112</v>
      </c>
      <c r="AE977" s="12" t="s">
        <v>1196</v>
      </c>
      <c r="AF977" s="12" t="s">
        <v>5395</v>
      </c>
      <c r="AG977" s="12" t="s">
        <v>284</v>
      </c>
      <c r="AH977" s="12" t="s">
        <v>838</v>
      </c>
      <c r="AI977" s="12" t="s">
        <v>117</v>
      </c>
      <c r="AJ977" s="12" t="s">
        <v>839</v>
      </c>
      <c r="AK977" s="12" t="s">
        <v>4</v>
      </c>
    </row>
    <row r="978" customFormat="false" ht="15" hidden="false" customHeight="false" outlineLevel="0" collapsed="false">
      <c r="A978" s="11" t="n">
        <v>977</v>
      </c>
      <c r="B978" s="12" t="s">
        <v>5389</v>
      </c>
      <c r="C978" s="12" t="s">
        <v>5317</v>
      </c>
      <c r="D978" s="12" t="s">
        <v>5318</v>
      </c>
      <c r="E978" s="12" t="s">
        <v>759</v>
      </c>
      <c r="F978" s="12" t="s">
        <v>927</v>
      </c>
      <c r="G978" s="12" t="s">
        <v>830</v>
      </c>
      <c r="H978" s="12" t="s">
        <v>5390</v>
      </c>
      <c r="I978" s="12" t="s">
        <v>3087</v>
      </c>
      <c r="J978" s="13" t="s">
        <v>5391</v>
      </c>
      <c r="K978" s="12"/>
      <c r="L978" s="12" t="s">
        <v>5392</v>
      </c>
      <c r="M978" s="12" t="s">
        <v>5396</v>
      </c>
      <c r="N978" s="12" t="s">
        <v>352</v>
      </c>
      <c r="O978" s="12" t="s">
        <v>102</v>
      </c>
      <c r="P978" s="12" t="s">
        <v>103</v>
      </c>
      <c r="Q978" s="12" t="s">
        <v>104</v>
      </c>
      <c r="R978" s="14" t="n">
        <v>800</v>
      </c>
      <c r="S978" s="14" t="s">
        <v>105</v>
      </c>
      <c r="T978" s="14" t="s">
        <v>653</v>
      </c>
      <c r="U978" s="14" t="n">
        <v>2032</v>
      </c>
      <c r="V978" s="12" t="s">
        <v>107</v>
      </c>
      <c r="W978" s="14" t="s">
        <v>5394</v>
      </c>
      <c r="X978" s="15" t="n">
        <f aca="false">IF(OR($S978="%",$R978=""),"",$R978*INDEX(Cambi!$J$2:$J$5,MATCH($S978,Cambi!$I$2:$I$5,0))/IF($T978="EUR",1,INDEX(Cambi!$D:$D,MATCH($T978&amp;"|"&amp;$U978,Cambi!$C:$C,0))))</f>
        <v>707.964601769912</v>
      </c>
      <c r="Y978" s="12" t="s">
        <v>109</v>
      </c>
      <c r="Z978" s="12" t="s">
        <v>109</v>
      </c>
      <c r="AA978" s="12" t="s">
        <v>109</v>
      </c>
      <c r="AB978" s="16" t="s">
        <v>110</v>
      </c>
      <c r="AC978" s="16" t="s">
        <v>3915</v>
      </c>
      <c r="AD978" s="12" t="s">
        <v>112</v>
      </c>
      <c r="AE978" s="12" t="s">
        <v>1196</v>
      </c>
      <c r="AF978" s="12" t="s">
        <v>5395</v>
      </c>
      <c r="AG978" s="12" t="s">
        <v>284</v>
      </c>
      <c r="AH978" s="12" t="s">
        <v>838</v>
      </c>
      <c r="AI978" s="12" t="s">
        <v>117</v>
      </c>
      <c r="AJ978" s="12" t="s">
        <v>266</v>
      </c>
      <c r="AK978" s="12" t="s">
        <v>4</v>
      </c>
    </row>
    <row r="979" customFormat="false" ht="15" hidden="false" customHeight="false" outlineLevel="0" collapsed="false">
      <c r="A979" s="11" t="n">
        <v>978</v>
      </c>
      <c r="B979" s="12" t="s">
        <v>1793</v>
      </c>
      <c r="C979" s="12" t="s">
        <v>5397</v>
      </c>
      <c r="D979" s="12" t="s">
        <v>5398</v>
      </c>
      <c r="E979" s="12" t="s">
        <v>759</v>
      </c>
      <c r="F979" s="12" t="s">
        <v>1794</v>
      </c>
      <c r="G979" s="12" t="s">
        <v>771</v>
      </c>
      <c r="H979" s="12" t="s">
        <v>1795</v>
      </c>
      <c r="I979" s="12" t="s">
        <v>1796</v>
      </c>
      <c r="J979" s="13" t="s">
        <v>1797</v>
      </c>
      <c r="K979" s="12" t="s">
        <v>1798</v>
      </c>
      <c r="L979" s="12" t="s">
        <v>1799</v>
      </c>
      <c r="M979" s="12" t="s">
        <v>1800</v>
      </c>
      <c r="N979" s="12" t="s">
        <v>352</v>
      </c>
      <c r="O979" s="12" t="s">
        <v>102</v>
      </c>
      <c r="P979" s="12" t="s">
        <v>103</v>
      </c>
      <c r="Q979" s="12" t="s">
        <v>104</v>
      </c>
      <c r="R979" s="14" t="n">
        <v>10.36</v>
      </c>
      <c r="S979" s="14" t="s">
        <v>129</v>
      </c>
      <c r="T979" s="14" t="s">
        <v>106</v>
      </c>
      <c r="U979" s="14" t="n">
        <v>2025</v>
      </c>
      <c r="V979" s="12" t="s">
        <v>157</v>
      </c>
      <c r="W979" s="14" t="s">
        <v>5399</v>
      </c>
      <c r="X979" s="15" t="n">
        <f aca="false">IF(OR($S979="%",$R979=""),"",$R979*INDEX(Cambi!$J$2:$J$5,MATCH($S979,Cambi!$I$2:$I$5,0))/IF($T979="EUR",1,INDEX(Cambi!$D:$D,MATCH($T979&amp;"|"&amp;$U979,Cambi!$C:$C,0))))</f>
        <v>10360</v>
      </c>
      <c r="Y979" s="12" t="s">
        <v>109</v>
      </c>
      <c r="Z979" s="12" t="s">
        <v>285</v>
      </c>
      <c r="AA979" s="12" t="s">
        <v>109</v>
      </c>
      <c r="AB979" s="16" t="s">
        <v>679</v>
      </c>
      <c r="AC979" s="16" t="s">
        <v>1802</v>
      </c>
      <c r="AD979" s="12" t="s">
        <v>281</v>
      </c>
      <c r="AE979" s="12" t="s">
        <v>1803</v>
      </c>
      <c r="AF979" s="12" t="s">
        <v>5400</v>
      </c>
      <c r="AG979" s="12" t="s">
        <v>284</v>
      </c>
      <c r="AH979" s="12" t="s">
        <v>116</v>
      </c>
      <c r="AI979" s="12" t="s">
        <v>285</v>
      </c>
      <c r="AJ979" s="12" t="s">
        <v>5401</v>
      </c>
      <c r="AK979" s="12" t="s">
        <v>4</v>
      </c>
    </row>
    <row r="980" customFormat="false" ht="15" hidden="false" customHeight="false" outlineLevel="0" collapsed="false">
      <c r="A980" s="11" t="n">
        <v>979</v>
      </c>
      <c r="B980" s="12" t="s">
        <v>5402</v>
      </c>
      <c r="C980" s="12" t="s">
        <v>5397</v>
      </c>
      <c r="D980" s="12" t="s">
        <v>5398</v>
      </c>
      <c r="E980" s="12" t="s">
        <v>759</v>
      </c>
      <c r="F980" s="12" t="s">
        <v>5403</v>
      </c>
      <c r="G980" s="12" t="s">
        <v>771</v>
      </c>
      <c r="H980" s="12" t="s">
        <v>5404</v>
      </c>
      <c r="I980" s="12" t="s">
        <v>5405</v>
      </c>
      <c r="J980" s="13" t="s">
        <v>5406</v>
      </c>
      <c r="K980" s="12"/>
      <c r="L980" s="12" t="s">
        <v>5407</v>
      </c>
      <c r="M980" s="12" t="s">
        <v>5408</v>
      </c>
      <c r="N980" s="12" t="s">
        <v>956</v>
      </c>
      <c r="O980" s="12" t="s">
        <v>102</v>
      </c>
      <c r="P980" s="12" t="s">
        <v>103</v>
      </c>
      <c r="Q980" s="12" t="s">
        <v>104</v>
      </c>
      <c r="R980" s="14" t="n">
        <v>10146</v>
      </c>
      <c r="S980" s="14" t="s">
        <v>105</v>
      </c>
      <c r="T980" s="14" t="s">
        <v>5409</v>
      </c>
      <c r="U980" s="14" t="n">
        <v>2021</v>
      </c>
      <c r="V980" s="12" t="s">
        <v>157</v>
      </c>
      <c r="W980" s="14" t="s">
        <v>5410</v>
      </c>
      <c r="X980" s="15" t="n">
        <f aca="false">IF(OR($S980="%",$R980=""),"",$R980*INDEX(Cambi!$J$2:$J$5,MATCH($S980,Cambi!$I$2:$I$5,0))/IF($T980="EUR",1,INDEX(Cambi!$D:$D,MATCH($T980&amp;"|"&amp;$U980,Cambi!$C:$C,0))))</f>
        <v>11803.1642624477</v>
      </c>
      <c r="Y980" s="12" t="s">
        <v>109</v>
      </c>
      <c r="Z980" s="12" t="s">
        <v>285</v>
      </c>
      <c r="AA980" s="12" t="s">
        <v>5411</v>
      </c>
      <c r="AB980" s="12" t="s">
        <v>679</v>
      </c>
      <c r="AC980" s="12" t="s">
        <v>395</v>
      </c>
      <c r="AD980" s="12" t="s">
        <v>166</v>
      </c>
      <c r="AE980" s="12" t="s">
        <v>5412</v>
      </c>
      <c r="AF980" s="12" t="s">
        <v>5413</v>
      </c>
      <c r="AG980" s="12" t="s">
        <v>407</v>
      </c>
      <c r="AH980" s="12" t="s">
        <v>116</v>
      </c>
      <c r="AI980" s="12" t="s">
        <v>117</v>
      </c>
      <c r="AJ980" s="12" t="s">
        <v>5414</v>
      </c>
      <c r="AK980" s="12" t="s">
        <v>4</v>
      </c>
    </row>
    <row r="981" customFormat="false" ht="15" hidden="false" customHeight="false" outlineLevel="0" collapsed="false">
      <c r="A981" s="11" t="n">
        <v>980</v>
      </c>
      <c r="B981" s="12" t="s">
        <v>5402</v>
      </c>
      <c r="C981" s="12" t="s">
        <v>5397</v>
      </c>
      <c r="D981" s="12" t="s">
        <v>5398</v>
      </c>
      <c r="E981" s="12" t="s">
        <v>759</v>
      </c>
      <c r="F981" s="12" t="s">
        <v>5403</v>
      </c>
      <c r="G981" s="12" t="s">
        <v>771</v>
      </c>
      <c r="H981" s="12" t="s">
        <v>5404</v>
      </c>
      <c r="I981" s="12" t="s">
        <v>5405</v>
      </c>
      <c r="J981" s="13" t="s">
        <v>5406</v>
      </c>
      <c r="K981" s="12"/>
      <c r="L981" s="12" t="s">
        <v>5415</v>
      </c>
      <c r="M981" s="12" t="s">
        <v>5416</v>
      </c>
      <c r="N981" s="12" t="s">
        <v>956</v>
      </c>
      <c r="O981" s="12" t="s">
        <v>102</v>
      </c>
      <c r="P981" s="12" t="s">
        <v>103</v>
      </c>
      <c r="Q981" s="12" t="s">
        <v>104</v>
      </c>
      <c r="R981" s="14" t="n">
        <v>5.3</v>
      </c>
      <c r="S981" s="14" t="s">
        <v>129</v>
      </c>
      <c r="T981" s="14" t="s">
        <v>5409</v>
      </c>
      <c r="U981" s="14" t="n">
        <v>2021</v>
      </c>
      <c r="V981" s="12" t="s">
        <v>157</v>
      </c>
      <c r="W981" s="14" t="s">
        <v>5417</v>
      </c>
      <c r="X981" s="15" t="n">
        <f aca="false">IF(OR($S981="%",$R981=""),"",$R981*INDEX(Cambi!$J$2:$J$5,MATCH($S981,Cambi!$I$2:$I$5,0))/IF($T981="EUR",1,INDEX(Cambi!$D:$D,MATCH($T981&amp;"|"&amp;$U981,Cambi!$C:$C,0))))</f>
        <v>6165.65844578874</v>
      </c>
      <c r="Y981" s="12" t="s">
        <v>109</v>
      </c>
      <c r="Z981" s="12" t="s">
        <v>285</v>
      </c>
      <c r="AA981" s="12" t="s">
        <v>5411</v>
      </c>
      <c r="AB981" s="12" t="s">
        <v>679</v>
      </c>
      <c r="AC981" s="12" t="s">
        <v>395</v>
      </c>
      <c r="AD981" s="12" t="s">
        <v>166</v>
      </c>
      <c r="AE981" s="12" t="s">
        <v>5412</v>
      </c>
      <c r="AF981" s="12" t="s">
        <v>5418</v>
      </c>
      <c r="AG981" s="12" t="s">
        <v>407</v>
      </c>
      <c r="AH981" s="12" t="s">
        <v>116</v>
      </c>
      <c r="AI981" s="12" t="s">
        <v>117</v>
      </c>
      <c r="AJ981" s="12" t="s">
        <v>5419</v>
      </c>
      <c r="AK981" s="12" t="s">
        <v>4</v>
      </c>
    </row>
    <row r="982" customFormat="false" ht="15" hidden="false" customHeight="false" outlineLevel="0" collapsed="false">
      <c r="A982" s="11" t="n">
        <v>981</v>
      </c>
      <c r="B982" s="12" t="s">
        <v>5420</v>
      </c>
      <c r="C982" s="12" t="s">
        <v>5397</v>
      </c>
      <c r="D982" s="12" t="s">
        <v>5398</v>
      </c>
      <c r="E982" s="12" t="s">
        <v>759</v>
      </c>
      <c r="F982" s="12" t="s">
        <v>5421</v>
      </c>
      <c r="G982" s="12" t="s">
        <v>771</v>
      </c>
      <c r="H982" s="12" t="s">
        <v>5422</v>
      </c>
      <c r="I982" s="12" t="s">
        <v>5423</v>
      </c>
      <c r="J982" s="13" t="s">
        <v>5424</v>
      </c>
      <c r="K982" s="12"/>
      <c r="L982" s="12" t="s">
        <v>5425</v>
      </c>
      <c r="M982" s="12" t="s">
        <v>5426</v>
      </c>
      <c r="N982" s="12" t="s">
        <v>212</v>
      </c>
      <c r="O982" s="12" t="s">
        <v>244</v>
      </c>
      <c r="P982" s="12" t="s">
        <v>856</v>
      </c>
      <c r="Q982" s="12" t="s">
        <v>5427</v>
      </c>
      <c r="R982" s="14" t="n">
        <v>269000</v>
      </c>
      <c r="S982" s="14" t="s">
        <v>432</v>
      </c>
      <c r="T982" s="14" t="s">
        <v>5409</v>
      </c>
      <c r="U982" s="14" t="n">
        <v>2015</v>
      </c>
      <c r="V982" s="12" t="s">
        <v>157</v>
      </c>
      <c r="W982" s="14"/>
      <c r="X982" s="15" t="n">
        <f aca="false">IF(OR($S982="%",$R982=""),"",$R982*INDEX(Cambi!$J$2:$J$5,MATCH($S982,Cambi!$I$2:$I$5,0))/IF($T982="EUR",1,INDEX(Cambi!$D:$D,MATCH($T982&amp;"|"&amp;$U982,Cambi!$C:$C,0))))</f>
        <v>0.370605092031302</v>
      </c>
      <c r="Y982" s="12" t="s">
        <v>239</v>
      </c>
      <c r="Z982" s="12" t="s">
        <v>109</v>
      </c>
      <c r="AA982" s="12" t="s">
        <v>5428</v>
      </c>
      <c r="AB982" s="12" t="s">
        <v>394</v>
      </c>
      <c r="AC982" s="12" t="s">
        <v>395</v>
      </c>
      <c r="AD982" s="12" t="s">
        <v>2399</v>
      </c>
      <c r="AE982" s="12" t="s">
        <v>5429</v>
      </c>
      <c r="AF982" s="12" t="s">
        <v>5430</v>
      </c>
      <c r="AG982" s="12" t="s">
        <v>407</v>
      </c>
      <c r="AH982" s="12" t="s">
        <v>116</v>
      </c>
      <c r="AI982" s="12" t="s">
        <v>117</v>
      </c>
      <c r="AJ982" s="12" t="s">
        <v>5431</v>
      </c>
      <c r="AK982" s="12" t="s">
        <v>4</v>
      </c>
    </row>
    <row r="983" customFormat="false" ht="15" hidden="false" customHeight="false" outlineLevel="0" collapsed="false">
      <c r="A983" s="11" t="n">
        <v>982</v>
      </c>
      <c r="B983" s="12" t="s">
        <v>5420</v>
      </c>
      <c r="C983" s="12" t="s">
        <v>5397</v>
      </c>
      <c r="D983" s="12" t="s">
        <v>5398</v>
      </c>
      <c r="E983" s="12" t="s">
        <v>759</v>
      </c>
      <c r="F983" s="12" t="s">
        <v>5421</v>
      </c>
      <c r="G983" s="12" t="s">
        <v>771</v>
      </c>
      <c r="H983" s="12" t="s">
        <v>5422</v>
      </c>
      <c r="I983" s="12" t="s">
        <v>5423</v>
      </c>
      <c r="J983" s="13" t="s">
        <v>5424</v>
      </c>
      <c r="K983" s="12"/>
      <c r="L983" s="12" t="s">
        <v>5425</v>
      </c>
      <c r="M983" s="12" t="s">
        <v>5426</v>
      </c>
      <c r="N983" s="12" t="s">
        <v>212</v>
      </c>
      <c r="O983" s="12" t="s">
        <v>244</v>
      </c>
      <c r="P983" s="12" t="s">
        <v>856</v>
      </c>
      <c r="Q983" s="12" t="s">
        <v>5432</v>
      </c>
      <c r="R983" s="14" t="n">
        <v>24100</v>
      </c>
      <c r="S983" s="14" t="s">
        <v>432</v>
      </c>
      <c r="T983" s="14" t="s">
        <v>5409</v>
      </c>
      <c r="U983" s="14" t="n">
        <v>2015</v>
      </c>
      <c r="V983" s="12" t="s">
        <v>157</v>
      </c>
      <c r="W983" s="14"/>
      <c r="X983" s="15" t="n">
        <f aca="false">IF(OR($S983="%",$R983=""),"",$R983*INDEX(Cambi!$J$2:$J$5,MATCH($S983,Cambi!$I$2:$I$5,0))/IF($T983="EUR",1,INDEX(Cambi!$D:$D,MATCH($T983&amp;"|"&amp;$U983,Cambi!$C:$C,0))))</f>
        <v>0.0332029097321724</v>
      </c>
      <c r="Y983" s="12" t="s">
        <v>239</v>
      </c>
      <c r="Z983" s="12" t="s">
        <v>109</v>
      </c>
      <c r="AA983" s="12" t="s">
        <v>5428</v>
      </c>
      <c r="AB983" s="12" t="s">
        <v>394</v>
      </c>
      <c r="AC983" s="12" t="s">
        <v>395</v>
      </c>
      <c r="AD983" s="12" t="s">
        <v>2399</v>
      </c>
      <c r="AE983" s="12" t="s">
        <v>5429</v>
      </c>
      <c r="AF983" s="12" t="s">
        <v>5430</v>
      </c>
      <c r="AG983" s="12" t="s">
        <v>407</v>
      </c>
      <c r="AH983" s="12" t="s">
        <v>116</v>
      </c>
      <c r="AI983" s="12" t="s">
        <v>117</v>
      </c>
      <c r="AJ983" s="12" t="s">
        <v>5431</v>
      </c>
      <c r="AK983" s="12" t="s">
        <v>4</v>
      </c>
    </row>
    <row r="984" customFormat="false" ht="15" hidden="false" customHeight="false" outlineLevel="0" collapsed="false">
      <c r="A984" s="11" t="n">
        <v>983</v>
      </c>
      <c r="B984" s="12" t="s">
        <v>5420</v>
      </c>
      <c r="C984" s="12" t="s">
        <v>5397</v>
      </c>
      <c r="D984" s="12" t="s">
        <v>5398</v>
      </c>
      <c r="E984" s="12" t="s">
        <v>759</v>
      </c>
      <c r="F984" s="12" t="s">
        <v>5421</v>
      </c>
      <c r="G984" s="12" t="s">
        <v>771</v>
      </c>
      <c r="H984" s="12" t="s">
        <v>5422</v>
      </c>
      <c r="I984" s="12" t="s">
        <v>5423</v>
      </c>
      <c r="J984" s="13" t="s">
        <v>5424</v>
      </c>
      <c r="K984" s="12"/>
      <c r="L984" s="12" t="s">
        <v>5425</v>
      </c>
      <c r="M984" s="12" t="s">
        <v>5426</v>
      </c>
      <c r="N984" s="12" t="s">
        <v>212</v>
      </c>
      <c r="O984" s="12" t="s">
        <v>244</v>
      </c>
      <c r="P984" s="12" t="s">
        <v>856</v>
      </c>
      <c r="Q984" s="12" t="s">
        <v>5433</v>
      </c>
      <c r="R984" s="14" t="n">
        <v>2290</v>
      </c>
      <c r="S984" s="14" t="s">
        <v>432</v>
      </c>
      <c r="T984" s="14" t="s">
        <v>5409</v>
      </c>
      <c r="U984" s="14" t="n">
        <v>2015</v>
      </c>
      <c r="V984" s="12" t="s">
        <v>157</v>
      </c>
      <c r="W984" s="14"/>
      <c r="X984" s="15" t="n">
        <f aca="false">IF(OR($S984="%",$R984=""),"",$R984*INDEX(Cambi!$J$2:$J$5,MATCH($S984,Cambi!$I$2:$I$5,0))/IF($T984="EUR",1,INDEX(Cambi!$D:$D,MATCH($T984&amp;"|"&amp;$U984,Cambi!$C:$C,0))))</f>
        <v>0.00315496528160476</v>
      </c>
      <c r="Y984" s="12" t="s">
        <v>239</v>
      </c>
      <c r="Z984" s="12" t="s">
        <v>109</v>
      </c>
      <c r="AA984" s="12" t="s">
        <v>5428</v>
      </c>
      <c r="AB984" s="12" t="s">
        <v>394</v>
      </c>
      <c r="AC984" s="12" t="s">
        <v>395</v>
      </c>
      <c r="AD984" s="12" t="s">
        <v>2399</v>
      </c>
      <c r="AE984" s="12" t="s">
        <v>5429</v>
      </c>
      <c r="AF984" s="12" t="s">
        <v>5430</v>
      </c>
      <c r="AG984" s="12" t="s">
        <v>407</v>
      </c>
      <c r="AH984" s="12" t="s">
        <v>116</v>
      </c>
      <c r="AI984" s="12" t="s">
        <v>117</v>
      </c>
      <c r="AJ984" s="12" t="s">
        <v>5431</v>
      </c>
      <c r="AK984" s="12" t="s">
        <v>4</v>
      </c>
    </row>
    <row r="985" customFormat="false" ht="15" hidden="false" customHeight="false" outlineLevel="0" collapsed="false">
      <c r="A985" s="11" t="n">
        <v>984</v>
      </c>
      <c r="B985" s="12" t="s">
        <v>5420</v>
      </c>
      <c r="C985" s="12" t="s">
        <v>5397</v>
      </c>
      <c r="D985" s="12" t="s">
        <v>5398</v>
      </c>
      <c r="E985" s="12" t="s">
        <v>759</v>
      </c>
      <c r="F985" s="12" t="s">
        <v>5421</v>
      </c>
      <c r="G985" s="12" t="s">
        <v>771</v>
      </c>
      <c r="H985" s="12" t="s">
        <v>5422</v>
      </c>
      <c r="I985" s="12" t="s">
        <v>5423</v>
      </c>
      <c r="J985" s="13" t="s">
        <v>5424</v>
      </c>
      <c r="K985" s="12"/>
      <c r="L985" s="12" t="s">
        <v>5425</v>
      </c>
      <c r="M985" s="12" t="s">
        <v>5434</v>
      </c>
      <c r="N985" s="12" t="s">
        <v>212</v>
      </c>
      <c r="O985" s="12" t="s">
        <v>244</v>
      </c>
      <c r="P985" s="12" t="s">
        <v>103</v>
      </c>
      <c r="Q985" s="12" t="s">
        <v>104</v>
      </c>
      <c r="R985" s="14" t="n">
        <v>4060</v>
      </c>
      <c r="S985" s="14" t="s">
        <v>432</v>
      </c>
      <c r="T985" s="14" t="s">
        <v>5409</v>
      </c>
      <c r="U985" s="14" t="n">
        <v>2015</v>
      </c>
      <c r="V985" s="12" t="s">
        <v>157</v>
      </c>
      <c r="W985" s="14"/>
      <c r="X985" s="15" t="n">
        <f aca="false">IF(OR($S985="%",$R985=""),"",$R985*INDEX(Cambi!$J$2:$J$5,MATCH($S985,Cambi!$I$2:$I$5,0))/IF($T985="EUR",1,INDEX(Cambi!$D:$D,MATCH($T985&amp;"|"&amp;$U985,Cambi!$C:$C,0))))</f>
        <v>0.00559351923288879</v>
      </c>
      <c r="Y985" s="12" t="s">
        <v>239</v>
      </c>
      <c r="Z985" s="12" t="s">
        <v>109</v>
      </c>
      <c r="AA985" s="12" t="s">
        <v>5428</v>
      </c>
      <c r="AB985" s="12" t="s">
        <v>394</v>
      </c>
      <c r="AC985" s="12" t="s">
        <v>395</v>
      </c>
      <c r="AD985" s="12" t="s">
        <v>2399</v>
      </c>
      <c r="AE985" s="12" t="s">
        <v>5429</v>
      </c>
      <c r="AF985" s="12" t="s">
        <v>5430</v>
      </c>
      <c r="AG985" s="12" t="s">
        <v>407</v>
      </c>
      <c r="AH985" s="12" t="s">
        <v>116</v>
      </c>
      <c r="AI985" s="12" t="s">
        <v>117</v>
      </c>
      <c r="AJ985" s="12" t="s">
        <v>5431</v>
      </c>
      <c r="AK985" s="12" t="s">
        <v>4</v>
      </c>
    </row>
    <row r="986" customFormat="false" ht="15" hidden="false" customHeight="false" outlineLevel="0" collapsed="false">
      <c r="A986" s="11" t="n">
        <v>985</v>
      </c>
      <c r="B986" s="12" t="s">
        <v>5420</v>
      </c>
      <c r="C986" s="12" t="s">
        <v>5397</v>
      </c>
      <c r="D986" s="12" t="s">
        <v>5398</v>
      </c>
      <c r="E986" s="12" t="s">
        <v>759</v>
      </c>
      <c r="F986" s="12" t="s">
        <v>5421</v>
      </c>
      <c r="G986" s="12" t="s">
        <v>771</v>
      </c>
      <c r="H986" s="12" t="s">
        <v>5422</v>
      </c>
      <c r="I986" s="12" t="s">
        <v>5423</v>
      </c>
      <c r="J986" s="13" t="s">
        <v>5424</v>
      </c>
      <c r="K986" s="12"/>
      <c r="L986" s="12" t="s">
        <v>5435</v>
      </c>
      <c r="M986" s="12" t="s">
        <v>5436</v>
      </c>
      <c r="N986" s="12" t="s">
        <v>212</v>
      </c>
      <c r="O986" s="12" t="s">
        <v>417</v>
      </c>
      <c r="P986" s="12" t="s">
        <v>856</v>
      </c>
      <c r="Q986" s="12" t="s">
        <v>5427</v>
      </c>
      <c r="R986" s="14" t="n">
        <v>26000</v>
      </c>
      <c r="S986" s="14" t="s">
        <v>432</v>
      </c>
      <c r="T986" s="14" t="s">
        <v>5409</v>
      </c>
      <c r="U986" s="14" t="n">
        <v>2015</v>
      </c>
      <c r="V986" s="12" t="s">
        <v>157</v>
      </c>
      <c r="W986" s="14"/>
      <c r="X986" s="15" t="n">
        <f aca="false">IF(OR($S986="%",$R986=""),"",$R986*INDEX(Cambi!$J$2:$J$5,MATCH($S986,Cambi!$I$2:$I$5,0))/IF($T986="EUR",1,INDEX(Cambi!$D:$D,MATCH($T986&amp;"|"&amp;$U986,Cambi!$C:$C,0))))</f>
        <v>0.0358205665160366</v>
      </c>
      <c r="Y986" s="12" t="s">
        <v>239</v>
      </c>
      <c r="Z986" s="12" t="s">
        <v>109</v>
      </c>
      <c r="AA986" s="12" t="s">
        <v>5428</v>
      </c>
      <c r="AB986" s="12" t="s">
        <v>394</v>
      </c>
      <c r="AC986" s="12" t="s">
        <v>395</v>
      </c>
      <c r="AD986" s="12" t="s">
        <v>2399</v>
      </c>
      <c r="AE986" s="12" t="s">
        <v>5429</v>
      </c>
      <c r="AF986" s="12" t="s">
        <v>5430</v>
      </c>
      <c r="AG986" s="12" t="s">
        <v>407</v>
      </c>
      <c r="AH986" s="12" t="s">
        <v>116</v>
      </c>
      <c r="AI986" s="12" t="s">
        <v>117</v>
      </c>
      <c r="AJ986" s="12" t="s">
        <v>5431</v>
      </c>
      <c r="AK986" s="12" t="s">
        <v>4</v>
      </c>
    </row>
    <row r="987" customFormat="false" ht="15" hidden="false" customHeight="false" outlineLevel="0" collapsed="false">
      <c r="A987" s="11" t="n">
        <v>986</v>
      </c>
      <c r="B987" s="12" t="s">
        <v>5420</v>
      </c>
      <c r="C987" s="12" t="s">
        <v>5397</v>
      </c>
      <c r="D987" s="12" t="s">
        <v>5398</v>
      </c>
      <c r="E987" s="12" t="s">
        <v>759</v>
      </c>
      <c r="F987" s="12" t="s">
        <v>5421</v>
      </c>
      <c r="G987" s="12" t="s">
        <v>771</v>
      </c>
      <c r="H987" s="12" t="s">
        <v>5422</v>
      </c>
      <c r="I987" s="12" t="s">
        <v>5423</v>
      </c>
      <c r="J987" s="13" t="s">
        <v>5424</v>
      </c>
      <c r="K987" s="12"/>
      <c r="L987" s="12" t="s">
        <v>5435</v>
      </c>
      <c r="M987" s="12" t="s">
        <v>5436</v>
      </c>
      <c r="N987" s="12" t="s">
        <v>212</v>
      </c>
      <c r="O987" s="12" t="s">
        <v>417</v>
      </c>
      <c r="P987" s="12" t="s">
        <v>856</v>
      </c>
      <c r="Q987" s="12" t="s">
        <v>5432</v>
      </c>
      <c r="R987" s="14" t="n">
        <v>3900</v>
      </c>
      <c r="S987" s="14" t="s">
        <v>432</v>
      </c>
      <c r="T987" s="14" t="s">
        <v>5409</v>
      </c>
      <c r="U987" s="14" t="n">
        <v>2015</v>
      </c>
      <c r="V987" s="12" t="s">
        <v>157</v>
      </c>
      <c r="W987" s="14"/>
      <c r="X987" s="15" t="n">
        <f aca="false">IF(OR($S987="%",$R987=""),"",$R987*INDEX(Cambi!$J$2:$J$5,MATCH($S987,Cambi!$I$2:$I$5,0))/IF($T987="EUR",1,INDEX(Cambi!$D:$D,MATCH($T987&amp;"|"&amp;$U987,Cambi!$C:$C,0))))</f>
        <v>0.00537308497740549</v>
      </c>
      <c r="Y987" s="12" t="s">
        <v>239</v>
      </c>
      <c r="Z987" s="12" t="s">
        <v>109</v>
      </c>
      <c r="AA987" s="12" t="s">
        <v>5428</v>
      </c>
      <c r="AB987" s="12" t="s">
        <v>394</v>
      </c>
      <c r="AC987" s="12" t="s">
        <v>395</v>
      </c>
      <c r="AD987" s="12" t="s">
        <v>2399</v>
      </c>
      <c r="AE987" s="12" t="s">
        <v>5429</v>
      </c>
      <c r="AF987" s="12" t="s">
        <v>5430</v>
      </c>
      <c r="AG987" s="12" t="s">
        <v>407</v>
      </c>
      <c r="AH987" s="12" t="s">
        <v>116</v>
      </c>
      <c r="AI987" s="12" t="s">
        <v>117</v>
      </c>
      <c r="AJ987" s="12" t="s">
        <v>5431</v>
      </c>
      <c r="AK987" s="12" t="s">
        <v>4</v>
      </c>
    </row>
    <row r="988" customFormat="false" ht="15" hidden="false" customHeight="false" outlineLevel="0" collapsed="false">
      <c r="A988" s="11" t="n">
        <v>987</v>
      </c>
      <c r="B988" s="12" t="s">
        <v>5420</v>
      </c>
      <c r="C988" s="12" t="s">
        <v>5397</v>
      </c>
      <c r="D988" s="12" t="s">
        <v>5398</v>
      </c>
      <c r="E988" s="12" t="s">
        <v>759</v>
      </c>
      <c r="F988" s="12" t="s">
        <v>5421</v>
      </c>
      <c r="G988" s="12" t="s">
        <v>771</v>
      </c>
      <c r="H988" s="12" t="s">
        <v>5422</v>
      </c>
      <c r="I988" s="12" t="s">
        <v>5423</v>
      </c>
      <c r="J988" s="13" t="s">
        <v>5424</v>
      </c>
      <c r="K988" s="12"/>
      <c r="L988" s="12" t="s">
        <v>5435</v>
      </c>
      <c r="M988" s="12" t="s">
        <v>5436</v>
      </c>
      <c r="N988" s="12" t="s">
        <v>212</v>
      </c>
      <c r="O988" s="12" t="s">
        <v>417</v>
      </c>
      <c r="P988" s="12" t="s">
        <v>856</v>
      </c>
      <c r="Q988" s="12" t="s">
        <v>5433</v>
      </c>
      <c r="R988" s="14" t="n">
        <v>100</v>
      </c>
      <c r="S988" s="14" t="s">
        <v>432</v>
      </c>
      <c r="T988" s="14" t="s">
        <v>5409</v>
      </c>
      <c r="U988" s="14" t="n">
        <v>2015</v>
      </c>
      <c r="V988" s="12" t="s">
        <v>157</v>
      </c>
      <c r="W988" s="14"/>
      <c r="X988" s="15" t="n">
        <f aca="false">IF(OR($S988="%",$R988=""),"",$R988*INDEX(Cambi!$J$2:$J$5,MATCH($S988,Cambi!$I$2:$I$5,0))/IF($T988="EUR",1,INDEX(Cambi!$D:$D,MATCH($T988&amp;"|"&amp;$U988,Cambi!$C:$C,0))))</f>
        <v>0.000137771409677064</v>
      </c>
      <c r="Y988" s="12" t="s">
        <v>239</v>
      </c>
      <c r="Z988" s="12" t="s">
        <v>109</v>
      </c>
      <c r="AA988" s="12" t="s">
        <v>5428</v>
      </c>
      <c r="AB988" s="12" t="s">
        <v>394</v>
      </c>
      <c r="AC988" s="12" t="s">
        <v>395</v>
      </c>
      <c r="AD988" s="12" t="s">
        <v>2399</v>
      </c>
      <c r="AE988" s="12" t="s">
        <v>5429</v>
      </c>
      <c r="AF988" s="12" t="s">
        <v>5430</v>
      </c>
      <c r="AG988" s="12" t="s">
        <v>407</v>
      </c>
      <c r="AH988" s="12" t="s">
        <v>116</v>
      </c>
      <c r="AI988" s="12" t="s">
        <v>117</v>
      </c>
      <c r="AJ988" s="12" t="s">
        <v>5437</v>
      </c>
      <c r="AK988" s="12" t="s">
        <v>4</v>
      </c>
    </row>
    <row r="989" customFormat="false" ht="15" hidden="false" customHeight="false" outlineLevel="0" collapsed="false">
      <c r="A989" s="11" t="n">
        <v>988</v>
      </c>
      <c r="B989" s="12" t="s">
        <v>5420</v>
      </c>
      <c r="C989" s="12" t="s">
        <v>5397</v>
      </c>
      <c r="D989" s="12" t="s">
        <v>5398</v>
      </c>
      <c r="E989" s="12" t="s">
        <v>759</v>
      </c>
      <c r="F989" s="12" t="s">
        <v>5421</v>
      </c>
      <c r="G989" s="12" t="s">
        <v>771</v>
      </c>
      <c r="H989" s="12" t="s">
        <v>5422</v>
      </c>
      <c r="I989" s="12" t="s">
        <v>5423</v>
      </c>
      <c r="J989" s="13" t="s">
        <v>5424</v>
      </c>
      <c r="K989" s="12"/>
      <c r="L989" s="12" t="s">
        <v>5435</v>
      </c>
      <c r="M989" s="12" t="s">
        <v>5438</v>
      </c>
      <c r="N989" s="12" t="s">
        <v>212</v>
      </c>
      <c r="O989" s="12" t="s">
        <v>417</v>
      </c>
      <c r="P989" s="12" t="s">
        <v>103</v>
      </c>
      <c r="Q989" s="12" t="s">
        <v>104</v>
      </c>
      <c r="R989" s="14" t="n">
        <v>150</v>
      </c>
      <c r="S989" s="14" t="s">
        <v>432</v>
      </c>
      <c r="T989" s="14" t="s">
        <v>5409</v>
      </c>
      <c r="U989" s="14" t="n">
        <v>2015</v>
      </c>
      <c r="V989" s="12" t="s">
        <v>157</v>
      </c>
      <c r="W989" s="14"/>
      <c r="X989" s="15" t="n">
        <f aca="false">IF(OR($S989="%",$R989=""),"",$R989*INDEX(Cambi!$J$2:$J$5,MATCH($S989,Cambi!$I$2:$I$5,0))/IF($T989="EUR",1,INDEX(Cambi!$D:$D,MATCH($T989&amp;"|"&amp;$U989,Cambi!$C:$C,0))))</f>
        <v>0.000206657114515596</v>
      </c>
      <c r="Y989" s="12" t="s">
        <v>239</v>
      </c>
      <c r="Z989" s="12" t="s">
        <v>109</v>
      </c>
      <c r="AA989" s="12" t="s">
        <v>5428</v>
      </c>
      <c r="AB989" s="12" t="s">
        <v>394</v>
      </c>
      <c r="AC989" s="12" t="s">
        <v>395</v>
      </c>
      <c r="AD989" s="12" t="s">
        <v>2399</v>
      </c>
      <c r="AE989" s="12" t="s">
        <v>5429</v>
      </c>
      <c r="AF989" s="12" t="s">
        <v>5430</v>
      </c>
      <c r="AG989" s="12" t="s">
        <v>407</v>
      </c>
      <c r="AH989" s="12" t="s">
        <v>116</v>
      </c>
      <c r="AI989" s="12" t="s">
        <v>117</v>
      </c>
      <c r="AJ989" s="12" t="s">
        <v>5431</v>
      </c>
      <c r="AK989" s="12" t="s">
        <v>4</v>
      </c>
    </row>
    <row r="990" customFormat="false" ht="15" hidden="false" customHeight="false" outlineLevel="0" collapsed="false">
      <c r="A990" s="11" t="n">
        <v>989</v>
      </c>
      <c r="B990" s="12" t="s">
        <v>5439</v>
      </c>
      <c r="C990" s="12" t="s">
        <v>5397</v>
      </c>
      <c r="D990" s="12" t="s">
        <v>5398</v>
      </c>
      <c r="E990" s="12" t="s">
        <v>759</v>
      </c>
      <c r="F990" s="12" t="s">
        <v>5421</v>
      </c>
      <c r="G990" s="12" t="s">
        <v>771</v>
      </c>
      <c r="H990" s="12" t="s">
        <v>5440</v>
      </c>
      <c r="I990" s="12" t="s">
        <v>748</v>
      </c>
      <c r="J990" s="13" t="s">
        <v>5441</v>
      </c>
      <c r="K990" s="12"/>
      <c r="L990" s="12" t="s">
        <v>5425</v>
      </c>
      <c r="M990" s="12" t="s">
        <v>5426</v>
      </c>
      <c r="N990" s="12" t="s">
        <v>212</v>
      </c>
      <c r="O990" s="12" t="s">
        <v>244</v>
      </c>
      <c r="P990" s="12" t="s">
        <v>856</v>
      </c>
      <c r="Q990" s="12" t="s">
        <v>5427</v>
      </c>
      <c r="R990" s="14" t="n">
        <v>387000</v>
      </c>
      <c r="S990" s="14" t="s">
        <v>432</v>
      </c>
      <c r="T990" s="14" t="s">
        <v>5409</v>
      </c>
      <c r="U990" s="14" t="n">
        <v>2016</v>
      </c>
      <c r="V990" s="12" t="s">
        <v>157</v>
      </c>
      <c r="W990" s="14"/>
      <c r="X990" s="15" t="n">
        <f aca="false">IF(OR($S990="%",$R990=""),"",$R990*INDEX(Cambi!$J$2:$J$5,MATCH($S990,Cambi!$I$2:$I$5,0))/IF($T990="EUR",1,INDEX(Cambi!$D:$D,MATCH($T990&amp;"|"&amp;$U990,Cambi!$C:$C,0))))</f>
        <v>0.47225069556304</v>
      </c>
      <c r="Y990" s="12" t="s">
        <v>239</v>
      </c>
      <c r="Z990" s="12" t="s">
        <v>109</v>
      </c>
      <c r="AA990" s="12" t="s">
        <v>5428</v>
      </c>
      <c r="AB990" s="12" t="s">
        <v>394</v>
      </c>
      <c r="AC990" s="12" t="s">
        <v>395</v>
      </c>
      <c r="AD990" s="12" t="s">
        <v>2399</v>
      </c>
      <c r="AE990" s="12" t="s">
        <v>5429</v>
      </c>
      <c r="AF990" s="12" t="s">
        <v>5442</v>
      </c>
      <c r="AG990" s="12" t="s">
        <v>407</v>
      </c>
      <c r="AH990" s="12" t="s">
        <v>116</v>
      </c>
      <c r="AI990" s="12" t="s">
        <v>117</v>
      </c>
      <c r="AJ990" s="12" t="s">
        <v>5443</v>
      </c>
      <c r="AK990" s="12" t="s">
        <v>4</v>
      </c>
    </row>
    <row r="991" customFormat="false" ht="15" hidden="false" customHeight="false" outlineLevel="0" collapsed="false">
      <c r="A991" s="11" t="n">
        <v>990</v>
      </c>
      <c r="B991" s="12" t="s">
        <v>5439</v>
      </c>
      <c r="C991" s="12" t="s">
        <v>5397</v>
      </c>
      <c r="D991" s="12" t="s">
        <v>5398</v>
      </c>
      <c r="E991" s="12" t="s">
        <v>759</v>
      </c>
      <c r="F991" s="12" t="s">
        <v>5421</v>
      </c>
      <c r="G991" s="12" t="s">
        <v>771</v>
      </c>
      <c r="H991" s="12" t="s">
        <v>5440</v>
      </c>
      <c r="I991" s="12" t="s">
        <v>748</v>
      </c>
      <c r="J991" s="13" t="s">
        <v>5441</v>
      </c>
      <c r="K991" s="12"/>
      <c r="L991" s="12" t="s">
        <v>5425</v>
      </c>
      <c r="M991" s="12" t="s">
        <v>5426</v>
      </c>
      <c r="N991" s="12" t="s">
        <v>212</v>
      </c>
      <c r="O991" s="12" t="s">
        <v>244</v>
      </c>
      <c r="P991" s="12" t="s">
        <v>856</v>
      </c>
      <c r="Q991" s="12" t="s">
        <v>5432</v>
      </c>
      <c r="R991" s="14" t="n">
        <v>15500</v>
      </c>
      <c r="S991" s="14" t="s">
        <v>432</v>
      </c>
      <c r="T991" s="14" t="s">
        <v>5409</v>
      </c>
      <c r="U991" s="14" t="n">
        <v>2016</v>
      </c>
      <c r="V991" s="12" t="s">
        <v>157</v>
      </c>
      <c r="W991" s="14"/>
      <c r="X991" s="15" t="n">
        <f aca="false">IF(OR($S991="%",$R991=""),"",$R991*INDEX(Cambi!$J$2:$J$5,MATCH($S991,Cambi!$I$2:$I$5,0))/IF($T991="EUR",1,INDEX(Cambi!$D:$D,MATCH($T991&amp;"|"&amp;$U991,Cambi!$C:$C,0))))</f>
        <v>0.0189144335432225</v>
      </c>
      <c r="Y991" s="12" t="s">
        <v>239</v>
      </c>
      <c r="Z991" s="12" t="s">
        <v>109</v>
      </c>
      <c r="AA991" s="12" t="s">
        <v>5428</v>
      </c>
      <c r="AB991" s="12" t="s">
        <v>394</v>
      </c>
      <c r="AC991" s="12" t="s">
        <v>395</v>
      </c>
      <c r="AD991" s="12" t="s">
        <v>2399</v>
      </c>
      <c r="AE991" s="12" t="s">
        <v>5429</v>
      </c>
      <c r="AF991" s="12" t="s">
        <v>5442</v>
      </c>
      <c r="AG991" s="12" t="s">
        <v>407</v>
      </c>
      <c r="AH991" s="12" t="s">
        <v>116</v>
      </c>
      <c r="AI991" s="12" t="s">
        <v>117</v>
      </c>
      <c r="AJ991" s="12" t="s">
        <v>5443</v>
      </c>
      <c r="AK991" s="12" t="s">
        <v>4</v>
      </c>
    </row>
    <row r="992" customFormat="false" ht="15" hidden="false" customHeight="false" outlineLevel="0" collapsed="false">
      <c r="A992" s="11" t="n">
        <v>991</v>
      </c>
      <c r="B992" s="12" t="s">
        <v>5439</v>
      </c>
      <c r="C992" s="12" t="s">
        <v>5397</v>
      </c>
      <c r="D992" s="12" t="s">
        <v>5398</v>
      </c>
      <c r="E992" s="12" t="s">
        <v>759</v>
      </c>
      <c r="F992" s="12" t="s">
        <v>5421</v>
      </c>
      <c r="G992" s="12" t="s">
        <v>771</v>
      </c>
      <c r="H992" s="12" t="s">
        <v>5440</v>
      </c>
      <c r="I992" s="12" t="s">
        <v>748</v>
      </c>
      <c r="J992" s="13" t="s">
        <v>5441</v>
      </c>
      <c r="K992" s="12"/>
      <c r="L992" s="12" t="s">
        <v>5425</v>
      </c>
      <c r="M992" s="12" t="s">
        <v>5426</v>
      </c>
      <c r="N992" s="12" t="s">
        <v>212</v>
      </c>
      <c r="O992" s="12" t="s">
        <v>244</v>
      </c>
      <c r="P992" s="12" t="s">
        <v>856</v>
      </c>
      <c r="Q992" s="12" t="s">
        <v>5433</v>
      </c>
      <c r="R992" s="14" t="n">
        <v>2600</v>
      </c>
      <c r="S992" s="14" t="s">
        <v>432</v>
      </c>
      <c r="T992" s="14" t="s">
        <v>5409</v>
      </c>
      <c r="U992" s="14" t="n">
        <v>2016</v>
      </c>
      <c r="V992" s="12" t="s">
        <v>157</v>
      </c>
      <c r="W992" s="14"/>
      <c r="X992" s="15" t="n">
        <f aca="false">IF(OR($S992="%",$R992=""),"",$R992*INDEX(Cambi!$J$2:$J$5,MATCH($S992,Cambi!$I$2:$I$5,0))/IF($T992="EUR",1,INDEX(Cambi!$D:$D,MATCH($T992&amp;"|"&amp;$U992,Cambi!$C:$C,0))))</f>
        <v>0.0031727436911212</v>
      </c>
      <c r="Y992" s="12" t="s">
        <v>239</v>
      </c>
      <c r="Z992" s="12" t="s">
        <v>109</v>
      </c>
      <c r="AA992" s="12" t="s">
        <v>5428</v>
      </c>
      <c r="AB992" s="12" t="s">
        <v>394</v>
      </c>
      <c r="AC992" s="12" t="s">
        <v>395</v>
      </c>
      <c r="AD992" s="12" t="s">
        <v>2399</v>
      </c>
      <c r="AE992" s="12" t="s">
        <v>5429</v>
      </c>
      <c r="AF992" s="12" t="s">
        <v>5442</v>
      </c>
      <c r="AG992" s="12" t="s">
        <v>407</v>
      </c>
      <c r="AH992" s="12" t="s">
        <v>116</v>
      </c>
      <c r="AI992" s="12" t="s">
        <v>117</v>
      </c>
      <c r="AJ992" s="12" t="s">
        <v>5443</v>
      </c>
      <c r="AK992" s="12" t="s">
        <v>4</v>
      </c>
    </row>
    <row r="993" customFormat="false" ht="15" hidden="false" customHeight="false" outlineLevel="0" collapsed="false">
      <c r="A993" s="11" t="n">
        <v>992</v>
      </c>
      <c r="B993" s="12" t="s">
        <v>5439</v>
      </c>
      <c r="C993" s="12" t="s">
        <v>5397</v>
      </c>
      <c r="D993" s="12" t="s">
        <v>5398</v>
      </c>
      <c r="E993" s="12" t="s">
        <v>759</v>
      </c>
      <c r="F993" s="12" t="s">
        <v>5421</v>
      </c>
      <c r="G993" s="12" t="s">
        <v>771</v>
      </c>
      <c r="H993" s="12" t="s">
        <v>5440</v>
      </c>
      <c r="I993" s="12" t="s">
        <v>748</v>
      </c>
      <c r="J993" s="13" t="s">
        <v>5441</v>
      </c>
      <c r="K993" s="12"/>
      <c r="L993" s="12" t="s">
        <v>5425</v>
      </c>
      <c r="M993" s="12" t="s">
        <v>5434</v>
      </c>
      <c r="N993" s="12" t="s">
        <v>212</v>
      </c>
      <c r="O993" s="12" t="s">
        <v>244</v>
      </c>
      <c r="P993" s="12" t="s">
        <v>103</v>
      </c>
      <c r="Q993" s="12" t="s">
        <v>104</v>
      </c>
      <c r="R993" s="14" t="n">
        <v>4590</v>
      </c>
      <c r="S993" s="14" t="s">
        <v>432</v>
      </c>
      <c r="T993" s="14" t="s">
        <v>5409</v>
      </c>
      <c r="U993" s="14" t="n">
        <v>2016</v>
      </c>
      <c r="V993" s="12" t="s">
        <v>157</v>
      </c>
      <c r="W993" s="14"/>
      <c r="X993" s="15" t="n">
        <f aca="false">IF(OR($S993="%",$R993=""),"",$R993*INDEX(Cambi!$J$2:$J$5,MATCH($S993,Cambi!$I$2:$I$5,0))/IF($T993="EUR",1,INDEX(Cambi!$D:$D,MATCH($T993&amp;"|"&amp;$U993,Cambi!$C:$C,0))))</f>
        <v>0.00560111290086396</v>
      </c>
      <c r="Y993" s="12" t="s">
        <v>239</v>
      </c>
      <c r="Z993" s="12" t="s">
        <v>109</v>
      </c>
      <c r="AA993" s="12" t="s">
        <v>5428</v>
      </c>
      <c r="AB993" s="12" t="s">
        <v>394</v>
      </c>
      <c r="AC993" s="12" t="s">
        <v>395</v>
      </c>
      <c r="AD993" s="12" t="s">
        <v>2399</v>
      </c>
      <c r="AE993" s="12" t="s">
        <v>5429</v>
      </c>
      <c r="AF993" s="12" t="s">
        <v>5442</v>
      </c>
      <c r="AG993" s="12" t="s">
        <v>407</v>
      </c>
      <c r="AH993" s="12" t="s">
        <v>116</v>
      </c>
      <c r="AI993" s="12" t="s">
        <v>117</v>
      </c>
      <c r="AJ993" s="12" t="s">
        <v>5443</v>
      </c>
      <c r="AK993" s="12" t="s">
        <v>4</v>
      </c>
    </row>
    <row r="994" customFormat="false" ht="15" hidden="false" customHeight="false" outlineLevel="0" collapsed="false">
      <c r="A994" s="11" t="n">
        <v>993</v>
      </c>
      <c r="B994" s="12" t="s">
        <v>5439</v>
      </c>
      <c r="C994" s="12" t="s">
        <v>5397</v>
      </c>
      <c r="D994" s="12" t="s">
        <v>5398</v>
      </c>
      <c r="E994" s="12" t="s">
        <v>759</v>
      </c>
      <c r="F994" s="12" t="s">
        <v>5421</v>
      </c>
      <c r="G994" s="12" t="s">
        <v>771</v>
      </c>
      <c r="H994" s="12" t="s">
        <v>5440</v>
      </c>
      <c r="I994" s="12" t="s">
        <v>748</v>
      </c>
      <c r="J994" s="13" t="s">
        <v>5441</v>
      </c>
      <c r="K994" s="12"/>
      <c r="L994" s="12" t="s">
        <v>5435</v>
      </c>
      <c r="M994" s="12" t="s">
        <v>5436</v>
      </c>
      <c r="N994" s="12" t="s">
        <v>212</v>
      </c>
      <c r="O994" s="12" t="s">
        <v>417</v>
      </c>
      <c r="P994" s="12" t="s">
        <v>856</v>
      </c>
      <c r="Q994" s="12" t="s">
        <v>5427</v>
      </c>
      <c r="R994" s="14" t="n">
        <v>21200</v>
      </c>
      <c r="S994" s="14" t="s">
        <v>432</v>
      </c>
      <c r="T994" s="14" t="s">
        <v>5409</v>
      </c>
      <c r="U994" s="14" t="n">
        <v>2016</v>
      </c>
      <c r="V994" s="12" t="s">
        <v>157</v>
      </c>
      <c r="W994" s="14"/>
      <c r="X994" s="15" t="n">
        <f aca="false">IF(OR($S994="%",$R994=""),"",$R994*INDEX(Cambi!$J$2:$J$5,MATCH($S994,Cambi!$I$2:$I$5,0))/IF($T994="EUR",1,INDEX(Cambi!$D:$D,MATCH($T994&amp;"|"&amp;$U994,Cambi!$C:$C,0))))</f>
        <v>0.0258700639429882</v>
      </c>
      <c r="Y994" s="12" t="s">
        <v>239</v>
      </c>
      <c r="Z994" s="12" t="s">
        <v>109</v>
      </c>
      <c r="AA994" s="12" t="s">
        <v>5428</v>
      </c>
      <c r="AB994" s="12" t="s">
        <v>394</v>
      </c>
      <c r="AC994" s="12" t="s">
        <v>395</v>
      </c>
      <c r="AD994" s="12" t="s">
        <v>2399</v>
      </c>
      <c r="AE994" s="12" t="s">
        <v>5429</v>
      </c>
      <c r="AF994" s="12" t="s">
        <v>5442</v>
      </c>
      <c r="AG994" s="12" t="s">
        <v>407</v>
      </c>
      <c r="AH994" s="12" t="s">
        <v>116</v>
      </c>
      <c r="AI994" s="12" t="s">
        <v>117</v>
      </c>
      <c r="AJ994" s="12" t="s">
        <v>5443</v>
      </c>
      <c r="AK994" s="12" t="s">
        <v>4</v>
      </c>
    </row>
    <row r="995" customFormat="false" ht="15" hidden="false" customHeight="false" outlineLevel="0" collapsed="false">
      <c r="A995" s="11" t="n">
        <v>994</v>
      </c>
      <c r="B995" s="12" t="s">
        <v>5439</v>
      </c>
      <c r="C995" s="12" t="s">
        <v>5397</v>
      </c>
      <c r="D995" s="12" t="s">
        <v>5398</v>
      </c>
      <c r="E995" s="12" t="s">
        <v>759</v>
      </c>
      <c r="F995" s="12" t="s">
        <v>5421</v>
      </c>
      <c r="G995" s="12" t="s">
        <v>771</v>
      </c>
      <c r="H995" s="12" t="s">
        <v>5440</v>
      </c>
      <c r="I995" s="12" t="s">
        <v>748</v>
      </c>
      <c r="J995" s="13" t="s">
        <v>5441</v>
      </c>
      <c r="K995" s="12"/>
      <c r="L995" s="12" t="s">
        <v>5435</v>
      </c>
      <c r="M995" s="12" t="s">
        <v>5436</v>
      </c>
      <c r="N995" s="12" t="s">
        <v>212</v>
      </c>
      <c r="O995" s="12" t="s">
        <v>417</v>
      </c>
      <c r="P995" s="12" t="s">
        <v>856</v>
      </c>
      <c r="Q995" s="12" t="s">
        <v>5432</v>
      </c>
      <c r="R995" s="14" t="n">
        <v>5000</v>
      </c>
      <c r="S995" s="14" t="s">
        <v>432</v>
      </c>
      <c r="T995" s="14" t="s">
        <v>5409</v>
      </c>
      <c r="U995" s="14" t="n">
        <v>2016</v>
      </c>
      <c r="V995" s="12" t="s">
        <v>157</v>
      </c>
      <c r="W995" s="14"/>
      <c r="X995" s="15" t="n">
        <f aca="false">IF(OR($S995="%",$R995=""),"",$R995*INDEX(Cambi!$J$2:$J$5,MATCH($S995,Cambi!$I$2:$I$5,0))/IF($T995="EUR",1,INDEX(Cambi!$D:$D,MATCH($T995&amp;"|"&amp;$U995,Cambi!$C:$C,0))))</f>
        <v>0.00610143017523308</v>
      </c>
      <c r="Y995" s="12" t="s">
        <v>239</v>
      </c>
      <c r="Z995" s="12" t="s">
        <v>109</v>
      </c>
      <c r="AA995" s="12" t="s">
        <v>5428</v>
      </c>
      <c r="AB995" s="12" t="s">
        <v>394</v>
      </c>
      <c r="AC995" s="12" t="s">
        <v>395</v>
      </c>
      <c r="AD995" s="12" t="s">
        <v>2399</v>
      </c>
      <c r="AE995" s="12" t="s">
        <v>5429</v>
      </c>
      <c r="AF995" s="12" t="s">
        <v>5442</v>
      </c>
      <c r="AG995" s="12" t="s">
        <v>407</v>
      </c>
      <c r="AH995" s="12" t="s">
        <v>116</v>
      </c>
      <c r="AI995" s="12" t="s">
        <v>117</v>
      </c>
      <c r="AJ995" s="12" t="s">
        <v>5443</v>
      </c>
      <c r="AK995" s="12" t="s">
        <v>4</v>
      </c>
    </row>
    <row r="996" customFormat="false" ht="15" hidden="false" customHeight="false" outlineLevel="0" collapsed="false">
      <c r="A996" s="11" t="n">
        <v>995</v>
      </c>
      <c r="B996" s="12" t="s">
        <v>5439</v>
      </c>
      <c r="C996" s="12" t="s">
        <v>5397</v>
      </c>
      <c r="D996" s="12" t="s">
        <v>5398</v>
      </c>
      <c r="E996" s="12" t="s">
        <v>759</v>
      </c>
      <c r="F996" s="12" t="s">
        <v>5421</v>
      </c>
      <c r="G996" s="12" t="s">
        <v>771</v>
      </c>
      <c r="H996" s="12" t="s">
        <v>5440</v>
      </c>
      <c r="I996" s="12" t="s">
        <v>748</v>
      </c>
      <c r="J996" s="13" t="s">
        <v>5441</v>
      </c>
      <c r="K996" s="12"/>
      <c r="L996" s="12" t="s">
        <v>5435</v>
      </c>
      <c r="M996" s="12" t="s">
        <v>5436</v>
      </c>
      <c r="N996" s="12" t="s">
        <v>212</v>
      </c>
      <c r="O996" s="12" t="s">
        <v>417</v>
      </c>
      <c r="P996" s="12" t="s">
        <v>856</v>
      </c>
      <c r="Q996" s="12" t="s">
        <v>5433</v>
      </c>
      <c r="R996" s="14" t="n">
        <v>200</v>
      </c>
      <c r="S996" s="14" t="s">
        <v>432</v>
      </c>
      <c r="T996" s="14" t="s">
        <v>5409</v>
      </c>
      <c r="U996" s="14" t="n">
        <v>2016</v>
      </c>
      <c r="V996" s="12" t="s">
        <v>157</v>
      </c>
      <c r="W996" s="14"/>
      <c r="X996" s="15" t="n">
        <f aca="false">IF(OR($S996="%",$R996=""),"",$R996*INDEX(Cambi!$J$2:$J$5,MATCH($S996,Cambi!$I$2:$I$5,0))/IF($T996="EUR",1,INDEX(Cambi!$D:$D,MATCH($T996&amp;"|"&amp;$U996,Cambi!$C:$C,0))))</f>
        <v>0.000244057207009323</v>
      </c>
      <c r="Y996" s="12" t="s">
        <v>239</v>
      </c>
      <c r="Z996" s="12" t="s">
        <v>109</v>
      </c>
      <c r="AA996" s="12" t="s">
        <v>5428</v>
      </c>
      <c r="AB996" s="12" t="s">
        <v>394</v>
      </c>
      <c r="AC996" s="12" t="s">
        <v>395</v>
      </c>
      <c r="AD996" s="12" t="s">
        <v>2399</v>
      </c>
      <c r="AE996" s="12" t="s">
        <v>5429</v>
      </c>
      <c r="AF996" s="12" t="s">
        <v>5442</v>
      </c>
      <c r="AG996" s="12" t="s">
        <v>407</v>
      </c>
      <c r="AH996" s="12" t="s">
        <v>116</v>
      </c>
      <c r="AI996" s="12" t="s">
        <v>117</v>
      </c>
      <c r="AJ996" s="12" t="s">
        <v>5443</v>
      </c>
      <c r="AK996" s="12" t="s">
        <v>4</v>
      </c>
    </row>
    <row r="997" customFormat="false" ht="15" hidden="false" customHeight="false" outlineLevel="0" collapsed="false">
      <c r="A997" s="11" t="n">
        <v>996</v>
      </c>
      <c r="B997" s="12" t="s">
        <v>5439</v>
      </c>
      <c r="C997" s="12" t="s">
        <v>5397</v>
      </c>
      <c r="D997" s="12" t="s">
        <v>5398</v>
      </c>
      <c r="E997" s="12" t="s">
        <v>759</v>
      </c>
      <c r="F997" s="12" t="s">
        <v>5421</v>
      </c>
      <c r="G997" s="12" t="s">
        <v>771</v>
      </c>
      <c r="H997" s="12" t="s">
        <v>5440</v>
      </c>
      <c r="I997" s="12" t="s">
        <v>748</v>
      </c>
      <c r="J997" s="13" t="s">
        <v>5441</v>
      </c>
      <c r="K997" s="12"/>
      <c r="L997" s="12" t="s">
        <v>5435</v>
      </c>
      <c r="M997" s="12" t="s">
        <v>5438</v>
      </c>
      <c r="N997" s="12" t="s">
        <v>212</v>
      </c>
      <c r="O997" s="12" t="s">
        <v>417</v>
      </c>
      <c r="P997" s="12" t="s">
        <v>103</v>
      </c>
      <c r="Q997" s="12" t="s">
        <v>104</v>
      </c>
      <c r="R997" s="14" t="n">
        <v>200</v>
      </c>
      <c r="S997" s="14" t="s">
        <v>432</v>
      </c>
      <c r="T997" s="14" t="s">
        <v>5409</v>
      </c>
      <c r="U997" s="14" t="n">
        <v>2016</v>
      </c>
      <c r="V997" s="12" t="s">
        <v>157</v>
      </c>
      <c r="W997" s="14"/>
      <c r="X997" s="15" t="n">
        <f aca="false">IF(OR($S997="%",$R997=""),"",$R997*INDEX(Cambi!$J$2:$J$5,MATCH($S997,Cambi!$I$2:$I$5,0))/IF($T997="EUR",1,INDEX(Cambi!$D:$D,MATCH($T997&amp;"|"&amp;$U997,Cambi!$C:$C,0))))</f>
        <v>0.000244057207009323</v>
      </c>
      <c r="Y997" s="12" t="s">
        <v>239</v>
      </c>
      <c r="Z997" s="12" t="s">
        <v>109</v>
      </c>
      <c r="AA997" s="12" t="s">
        <v>5428</v>
      </c>
      <c r="AB997" s="12" t="s">
        <v>394</v>
      </c>
      <c r="AC997" s="12" t="s">
        <v>395</v>
      </c>
      <c r="AD997" s="12" t="s">
        <v>2399</v>
      </c>
      <c r="AE997" s="12" t="s">
        <v>5429</v>
      </c>
      <c r="AF997" s="12" t="s">
        <v>5442</v>
      </c>
      <c r="AG997" s="12" t="s">
        <v>407</v>
      </c>
      <c r="AH997" s="12" t="s">
        <v>116</v>
      </c>
      <c r="AI997" s="12" t="s">
        <v>117</v>
      </c>
      <c r="AJ997" s="12" t="s">
        <v>5444</v>
      </c>
      <c r="AK997" s="12" t="s">
        <v>4</v>
      </c>
    </row>
    <row r="998" customFormat="false" ht="15" hidden="false" customHeight="false" outlineLevel="0" collapsed="false">
      <c r="A998" s="11" t="n">
        <v>997</v>
      </c>
      <c r="B998" s="12" t="s">
        <v>5445</v>
      </c>
      <c r="C998" s="12" t="s">
        <v>5397</v>
      </c>
      <c r="D998" s="12" t="s">
        <v>5398</v>
      </c>
      <c r="E998" s="12" t="s">
        <v>759</v>
      </c>
      <c r="F998" s="12" t="s">
        <v>5421</v>
      </c>
      <c r="G998" s="12" t="s">
        <v>771</v>
      </c>
      <c r="H998" s="12" t="s">
        <v>5446</v>
      </c>
      <c r="I998" s="12" t="s">
        <v>2899</v>
      </c>
      <c r="J998" s="13" t="s">
        <v>5447</v>
      </c>
      <c r="K998" s="12"/>
      <c r="L998" s="12" t="s">
        <v>5425</v>
      </c>
      <c r="M998" s="12" t="s">
        <v>5426</v>
      </c>
      <c r="N998" s="12" t="s">
        <v>212</v>
      </c>
      <c r="O998" s="12" t="s">
        <v>244</v>
      </c>
      <c r="P998" s="12" t="s">
        <v>856</v>
      </c>
      <c r="Q998" s="12" t="s">
        <v>5427</v>
      </c>
      <c r="R998" s="14" t="n">
        <v>149000</v>
      </c>
      <c r="S998" s="14" t="s">
        <v>432</v>
      </c>
      <c r="T998" s="14" t="s">
        <v>5409</v>
      </c>
      <c r="U998" s="14" t="n">
        <v>2017</v>
      </c>
      <c r="V998" s="12" t="s">
        <v>157</v>
      </c>
      <c r="W998" s="14"/>
      <c r="X998" s="15" t="n">
        <f aca="false">IF(OR($S998="%",$R998=""),"",$R998*INDEX(Cambi!$J$2:$J$5,MATCH($S998,Cambi!$I$2:$I$5,0))/IF($T998="EUR",1,INDEX(Cambi!$D:$D,MATCH($T998&amp;"|"&amp;$U998,Cambi!$C:$C,0))))</f>
        <v>0.16996133094551</v>
      </c>
      <c r="Y998" s="12" t="s">
        <v>239</v>
      </c>
      <c r="Z998" s="12" t="s">
        <v>109</v>
      </c>
      <c r="AA998" s="12" t="s">
        <v>5428</v>
      </c>
      <c r="AB998" s="12" t="s">
        <v>394</v>
      </c>
      <c r="AC998" s="12" t="s">
        <v>395</v>
      </c>
      <c r="AD998" s="12" t="s">
        <v>2399</v>
      </c>
      <c r="AE998" s="12" t="s">
        <v>5429</v>
      </c>
      <c r="AF998" s="12" t="s">
        <v>5448</v>
      </c>
      <c r="AG998" s="12" t="s">
        <v>407</v>
      </c>
      <c r="AH998" s="12" t="s">
        <v>116</v>
      </c>
      <c r="AI998" s="12" t="s">
        <v>117</v>
      </c>
      <c r="AJ998" s="12" t="s">
        <v>5449</v>
      </c>
      <c r="AK998" s="12" t="s">
        <v>4</v>
      </c>
    </row>
    <row r="999" customFormat="false" ht="15" hidden="false" customHeight="false" outlineLevel="0" collapsed="false">
      <c r="A999" s="11" t="n">
        <v>998</v>
      </c>
      <c r="B999" s="12" t="s">
        <v>5445</v>
      </c>
      <c r="C999" s="12" t="s">
        <v>5397</v>
      </c>
      <c r="D999" s="12" t="s">
        <v>5398</v>
      </c>
      <c r="E999" s="12" t="s">
        <v>759</v>
      </c>
      <c r="F999" s="12" t="s">
        <v>5421</v>
      </c>
      <c r="G999" s="12" t="s">
        <v>771</v>
      </c>
      <c r="H999" s="12" t="s">
        <v>5446</v>
      </c>
      <c r="I999" s="12" t="s">
        <v>2899</v>
      </c>
      <c r="J999" s="13" t="s">
        <v>5447</v>
      </c>
      <c r="K999" s="12"/>
      <c r="L999" s="12" t="s">
        <v>5425</v>
      </c>
      <c r="M999" s="12" t="s">
        <v>5426</v>
      </c>
      <c r="N999" s="12" t="s">
        <v>212</v>
      </c>
      <c r="O999" s="12" t="s">
        <v>244</v>
      </c>
      <c r="P999" s="12" t="s">
        <v>856</v>
      </c>
      <c r="Q999" s="12" t="s">
        <v>5432</v>
      </c>
      <c r="R999" s="14" t="n">
        <v>41600</v>
      </c>
      <c r="S999" s="14" t="s">
        <v>432</v>
      </c>
      <c r="T999" s="14" t="s">
        <v>5409</v>
      </c>
      <c r="U999" s="14" t="n">
        <v>2017</v>
      </c>
      <c r="V999" s="12" t="s">
        <v>157</v>
      </c>
      <c r="W999" s="14"/>
      <c r="X999" s="15" t="n">
        <f aca="false">IF(OR($S999="%",$R999=""),"",$R999*INDEX(Cambi!$J$2:$J$5,MATCH($S999,Cambi!$I$2:$I$5,0))/IF($T999="EUR",1,INDEX(Cambi!$D:$D,MATCH($T999&amp;"|"&amp;$U999,Cambi!$C:$C,0))))</f>
        <v>0.0474522910559276</v>
      </c>
      <c r="Y999" s="12" t="s">
        <v>239</v>
      </c>
      <c r="Z999" s="12" t="s">
        <v>109</v>
      </c>
      <c r="AA999" s="12" t="s">
        <v>5428</v>
      </c>
      <c r="AB999" s="12" t="s">
        <v>394</v>
      </c>
      <c r="AC999" s="12" t="s">
        <v>395</v>
      </c>
      <c r="AD999" s="12" t="s">
        <v>2399</v>
      </c>
      <c r="AE999" s="12" t="s">
        <v>5429</v>
      </c>
      <c r="AF999" s="12" t="s">
        <v>5448</v>
      </c>
      <c r="AG999" s="12" t="s">
        <v>407</v>
      </c>
      <c r="AH999" s="12" t="s">
        <v>116</v>
      </c>
      <c r="AI999" s="12" t="s">
        <v>117</v>
      </c>
      <c r="AJ999" s="12" t="s">
        <v>5449</v>
      </c>
      <c r="AK999" s="12" t="s">
        <v>4</v>
      </c>
    </row>
    <row r="1000" customFormat="false" ht="15" hidden="false" customHeight="false" outlineLevel="0" collapsed="false">
      <c r="A1000" s="11" t="n">
        <v>999</v>
      </c>
      <c r="B1000" s="12" t="s">
        <v>5445</v>
      </c>
      <c r="C1000" s="12" t="s">
        <v>5397</v>
      </c>
      <c r="D1000" s="12" t="s">
        <v>5398</v>
      </c>
      <c r="E1000" s="12" t="s">
        <v>759</v>
      </c>
      <c r="F1000" s="12" t="s">
        <v>5421</v>
      </c>
      <c r="G1000" s="12" t="s">
        <v>771</v>
      </c>
      <c r="H1000" s="12" t="s">
        <v>5446</v>
      </c>
      <c r="I1000" s="12" t="s">
        <v>2899</v>
      </c>
      <c r="J1000" s="13" t="s">
        <v>5447</v>
      </c>
      <c r="K1000" s="12"/>
      <c r="L1000" s="12" t="s">
        <v>5425</v>
      </c>
      <c r="M1000" s="12" t="s">
        <v>5426</v>
      </c>
      <c r="N1000" s="12" t="s">
        <v>212</v>
      </c>
      <c r="O1000" s="12" t="s">
        <v>244</v>
      </c>
      <c r="P1000" s="12" t="s">
        <v>856</v>
      </c>
      <c r="Q1000" s="12" t="s">
        <v>5433</v>
      </c>
      <c r="R1000" s="14" t="n">
        <v>2220</v>
      </c>
      <c r="S1000" s="14" t="s">
        <v>432</v>
      </c>
      <c r="T1000" s="14" t="s">
        <v>5409</v>
      </c>
      <c r="U1000" s="14" t="n">
        <v>2017</v>
      </c>
      <c r="V1000" s="12" t="s">
        <v>157</v>
      </c>
      <c r="W1000" s="14"/>
      <c r="X1000" s="15" t="n">
        <f aca="false">IF(OR($S1000="%",$R1000=""),"",$R1000*INDEX(Cambi!$J$2:$J$5,MATCH($S1000,Cambi!$I$2:$I$5,0))/IF($T1000="EUR",1,INDEX(Cambi!$D:$D,MATCH($T1000&amp;"|"&amp;$U1000,Cambi!$C:$C,0))))</f>
        <v>0.00253230976308075</v>
      </c>
      <c r="Y1000" s="12" t="s">
        <v>239</v>
      </c>
      <c r="Z1000" s="12" t="s">
        <v>109</v>
      </c>
      <c r="AA1000" s="12" t="s">
        <v>5428</v>
      </c>
      <c r="AB1000" s="12" t="s">
        <v>394</v>
      </c>
      <c r="AC1000" s="12" t="s">
        <v>395</v>
      </c>
      <c r="AD1000" s="12" t="s">
        <v>2399</v>
      </c>
      <c r="AE1000" s="12" t="s">
        <v>5429</v>
      </c>
      <c r="AF1000" s="12" t="s">
        <v>5448</v>
      </c>
      <c r="AG1000" s="12" t="s">
        <v>407</v>
      </c>
      <c r="AH1000" s="12" t="s">
        <v>116</v>
      </c>
      <c r="AI1000" s="12" t="s">
        <v>117</v>
      </c>
      <c r="AJ1000" s="12" t="s">
        <v>5449</v>
      </c>
      <c r="AK1000" s="12" t="s">
        <v>4</v>
      </c>
    </row>
    <row r="1001" customFormat="false" ht="15" hidden="false" customHeight="false" outlineLevel="0" collapsed="false">
      <c r="A1001" s="11" t="n">
        <v>1000</v>
      </c>
      <c r="B1001" s="12" t="s">
        <v>5445</v>
      </c>
      <c r="C1001" s="12" t="s">
        <v>5397</v>
      </c>
      <c r="D1001" s="12" t="s">
        <v>5398</v>
      </c>
      <c r="E1001" s="12" t="s">
        <v>759</v>
      </c>
      <c r="F1001" s="12" t="s">
        <v>5421</v>
      </c>
      <c r="G1001" s="12" t="s">
        <v>771</v>
      </c>
      <c r="H1001" s="12" t="s">
        <v>5446</v>
      </c>
      <c r="I1001" s="12" t="s">
        <v>2899</v>
      </c>
      <c r="J1001" s="13" t="s">
        <v>5447</v>
      </c>
      <c r="K1001" s="12"/>
      <c r="L1001" s="12" t="s">
        <v>5425</v>
      </c>
      <c r="M1001" s="12" t="s">
        <v>5434</v>
      </c>
      <c r="N1001" s="12" t="s">
        <v>212</v>
      </c>
      <c r="O1001" s="12" t="s">
        <v>244</v>
      </c>
      <c r="P1001" s="12" t="s">
        <v>103</v>
      </c>
      <c r="Q1001" s="12" t="s">
        <v>104</v>
      </c>
      <c r="R1001" s="14" t="n">
        <v>3580</v>
      </c>
      <c r="S1001" s="14" t="s">
        <v>432</v>
      </c>
      <c r="T1001" s="14" t="s">
        <v>5409</v>
      </c>
      <c r="U1001" s="14" t="n">
        <v>2017</v>
      </c>
      <c r="V1001" s="12" t="s">
        <v>157</v>
      </c>
      <c r="W1001" s="14"/>
      <c r="X1001" s="15" t="n">
        <f aca="false">IF(OR($S1001="%",$R1001=""),"",$R1001*INDEX(Cambi!$J$2:$J$5,MATCH($S1001,Cambi!$I$2:$I$5,0))/IF($T1001="EUR",1,INDEX(Cambi!$D:$D,MATCH($T1001&amp;"|"&amp;$U1001,Cambi!$C:$C,0))))</f>
        <v>0.00408363466298607</v>
      </c>
      <c r="Y1001" s="12" t="s">
        <v>239</v>
      </c>
      <c r="Z1001" s="12" t="s">
        <v>109</v>
      </c>
      <c r="AA1001" s="12" t="s">
        <v>5428</v>
      </c>
      <c r="AB1001" s="12" t="s">
        <v>394</v>
      </c>
      <c r="AC1001" s="12" t="s">
        <v>395</v>
      </c>
      <c r="AD1001" s="12" t="s">
        <v>2399</v>
      </c>
      <c r="AE1001" s="12" t="s">
        <v>5429</v>
      </c>
      <c r="AF1001" s="12" t="s">
        <v>5448</v>
      </c>
      <c r="AG1001" s="12" t="s">
        <v>407</v>
      </c>
      <c r="AH1001" s="12" t="s">
        <v>116</v>
      </c>
      <c r="AI1001" s="12" t="s">
        <v>117</v>
      </c>
      <c r="AJ1001" s="12" t="s">
        <v>5449</v>
      </c>
      <c r="AK1001" s="12" t="s">
        <v>4</v>
      </c>
    </row>
    <row r="1002" customFormat="false" ht="15" hidden="false" customHeight="false" outlineLevel="0" collapsed="false">
      <c r="A1002" s="11" t="n">
        <v>1001</v>
      </c>
      <c r="B1002" s="12" t="s">
        <v>5445</v>
      </c>
      <c r="C1002" s="12" t="s">
        <v>5397</v>
      </c>
      <c r="D1002" s="12" t="s">
        <v>5398</v>
      </c>
      <c r="E1002" s="12" t="s">
        <v>759</v>
      </c>
      <c r="F1002" s="12" t="s">
        <v>5421</v>
      </c>
      <c r="G1002" s="12" t="s">
        <v>771</v>
      </c>
      <c r="H1002" s="12" t="s">
        <v>5446</v>
      </c>
      <c r="I1002" s="12" t="s">
        <v>2899</v>
      </c>
      <c r="J1002" s="13" t="s">
        <v>5447</v>
      </c>
      <c r="K1002" s="12"/>
      <c r="L1002" s="12" t="s">
        <v>5435</v>
      </c>
      <c r="M1002" s="12" t="s">
        <v>5436</v>
      </c>
      <c r="N1002" s="12" t="s">
        <v>212</v>
      </c>
      <c r="O1002" s="12" t="s">
        <v>417</v>
      </c>
      <c r="P1002" s="12" t="s">
        <v>856</v>
      </c>
      <c r="Q1002" s="12" t="s">
        <v>5427</v>
      </c>
      <c r="R1002" s="14" t="n">
        <v>24700</v>
      </c>
      <c r="S1002" s="14" t="s">
        <v>432</v>
      </c>
      <c r="T1002" s="14" t="s">
        <v>5409</v>
      </c>
      <c r="U1002" s="14" t="n">
        <v>2017</v>
      </c>
      <c r="V1002" s="12" t="s">
        <v>157</v>
      </c>
      <c r="W1002" s="14"/>
      <c r="X1002" s="15" t="n">
        <f aca="false">IF(OR($S1002="%",$R1002=""),"",$R1002*INDEX(Cambi!$J$2:$J$5,MATCH($S1002,Cambi!$I$2:$I$5,0))/IF($T1002="EUR",1,INDEX(Cambi!$D:$D,MATCH($T1002&amp;"|"&amp;$U1002,Cambi!$C:$C,0))))</f>
        <v>0.028174797814457</v>
      </c>
      <c r="Y1002" s="12" t="s">
        <v>239</v>
      </c>
      <c r="Z1002" s="12" t="s">
        <v>109</v>
      </c>
      <c r="AA1002" s="12" t="s">
        <v>5428</v>
      </c>
      <c r="AB1002" s="12" t="s">
        <v>394</v>
      </c>
      <c r="AC1002" s="12" t="s">
        <v>395</v>
      </c>
      <c r="AD1002" s="12" t="s">
        <v>2399</v>
      </c>
      <c r="AE1002" s="12" t="s">
        <v>5429</v>
      </c>
      <c r="AF1002" s="12" t="s">
        <v>5448</v>
      </c>
      <c r="AG1002" s="12" t="s">
        <v>407</v>
      </c>
      <c r="AH1002" s="12" t="s">
        <v>116</v>
      </c>
      <c r="AI1002" s="12" t="s">
        <v>117</v>
      </c>
      <c r="AJ1002" s="12" t="s">
        <v>5449</v>
      </c>
      <c r="AK1002" s="12" t="s">
        <v>4</v>
      </c>
    </row>
    <row r="1003" customFormat="false" ht="15" hidden="false" customHeight="false" outlineLevel="0" collapsed="false">
      <c r="A1003" s="11" t="n">
        <v>1002</v>
      </c>
      <c r="B1003" s="12" t="s">
        <v>5445</v>
      </c>
      <c r="C1003" s="12" t="s">
        <v>5397</v>
      </c>
      <c r="D1003" s="12" t="s">
        <v>5398</v>
      </c>
      <c r="E1003" s="12" t="s">
        <v>759</v>
      </c>
      <c r="F1003" s="12" t="s">
        <v>5421</v>
      </c>
      <c r="G1003" s="12" t="s">
        <v>771</v>
      </c>
      <c r="H1003" s="12" t="s">
        <v>5446</v>
      </c>
      <c r="I1003" s="12" t="s">
        <v>2899</v>
      </c>
      <c r="J1003" s="13" t="s">
        <v>5447</v>
      </c>
      <c r="K1003" s="12"/>
      <c r="L1003" s="12" t="s">
        <v>5435</v>
      </c>
      <c r="M1003" s="12" t="s">
        <v>5436</v>
      </c>
      <c r="N1003" s="12" t="s">
        <v>212</v>
      </c>
      <c r="O1003" s="12" t="s">
        <v>417</v>
      </c>
      <c r="P1003" s="12" t="s">
        <v>856</v>
      </c>
      <c r="Q1003" s="12" t="s">
        <v>5432</v>
      </c>
      <c r="R1003" s="14" t="n">
        <v>5190</v>
      </c>
      <c r="S1003" s="14" t="s">
        <v>432</v>
      </c>
      <c r="T1003" s="14" t="s">
        <v>5409</v>
      </c>
      <c r="U1003" s="14" t="n">
        <v>2017</v>
      </c>
      <c r="V1003" s="12" t="s">
        <v>157</v>
      </c>
      <c r="W1003" s="14"/>
      <c r="X1003" s="15" t="n">
        <f aca="false">IF(OR($S1003="%",$R1003=""),"",$R1003*INDEX(Cambi!$J$2:$J$5,MATCH($S1003,Cambi!$I$2:$I$5,0))/IF($T1003="EUR",1,INDEX(Cambi!$D:$D,MATCH($T1003&amp;"|"&amp;$U1003,Cambi!$C:$C,0))))</f>
        <v>0.00592012958125635</v>
      </c>
      <c r="Y1003" s="12" t="s">
        <v>239</v>
      </c>
      <c r="Z1003" s="12" t="s">
        <v>109</v>
      </c>
      <c r="AA1003" s="12" t="s">
        <v>5428</v>
      </c>
      <c r="AB1003" s="12" t="s">
        <v>394</v>
      </c>
      <c r="AC1003" s="12" t="s">
        <v>395</v>
      </c>
      <c r="AD1003" s="12" t="s">
        <v>2399</v>
      </c>
      <c r="AE1003" s="12" t="s">
        <v>5429</v>
      </c>
      <c r="AF1003" s="12" t="s">
        <v>5448</v>
      </c>
      <c r="AG1003" s="12" t="s">
        <v>407</v>
      </c>
      <c r="AH1003" s="12" t="s">
        <v>116</v>
      </c>
      <c r="AI1003" s="12" t="s">
        <v>117</v>
      </c>
      <c r="AJ1003" s="12" t="s">
        <v>5450</v>
      </c>
      <c r="AK1003" s="12" t="s">
        <v>4</v>
      </c>
    </row>
    <row r="1004" customFormat="false" ht="15" hidden="false" customHeight="false" outlineLevel="0" collapsed="false">
      <c r="A1004" s="11" t="n">
        <v>1003</v>
      </c>
      <c r="B1004" s="12" t="s">
        <v>5445</v>
      </c>
      <c r="C1004" s="12" t="s">
        <v>5397</v>
      </c>
      <c r="D1004" s="12" t="s">
        <v>5398</v>
      </c>
      <c r="E1004" s="12" t="s">
        <v>759</v>
      </c>
      <c r="F1004" s="12" t="s">
        <v>5421</v>
      </c>
      <c r="G1004" s="12" t="s">
        <v>771</v>
      </c>
      <c r="H1004" s="12" t="s">
        <v>5446</v>
      </c>
      <c r="I1004" s="12" t="s">
        <v>2899</v>
      </c>
      <c r="J1004" s="13" t="s">
        <v>5447</v>
      </c>
      <c r="K1004" s="12"/>
      <c r="L1004" s="12" t="s">
        <v>5435</v>
      </c>
      <c r="M1004" s="12" t="s">
        <v>5436</v>
      </c>
      <c r="N1004" s="12" t="s">
        <v>212</v>
      </c>
      <c r="O1004" s="12" t="s">
        <v>417</v>
      </c>
      <c r="P1004" s="12" t="s">
        <v>856</v>
      </c>
      <c r="Q1004" s="12" t="s">
        <v>5433</v>
      </c>
      <c r="R1004" s="14" t="n">
        <v>152</v>
      </c>
      <c r="S1004" s="14" t="s">
        <v>432</v>
      </c>
      <c r="T1004" s="14" t="s">
        <v>5409</v>
      </c>
      <c r="U1004" s="14" t="n">
        <v>2017</v>
      </c>
      <c r="V1004" s="12" t="s">
        <v>157</v>
      </c>
      <c r="W1004" s="14"/>
      <c r="X1004" s="15" t="n">
        <f aca="false">IF(OR($S1004="%",$R1004=""),"",$R1004*INDEX(Cambi!$J$2:$J$5,MATCH($S1004,Cambi!$I$2:$I$5,0))/IF($T1004="EUR",1,INDEX(Cambi!$D:$D,MATCH($T1004&amp;"|"&amp;$U1004,Cambi!$C:$C,0))))</f>
        <v>0.000173383371165889</v>
      </c>
      <c r="Y1004" s="12" t="s">
        <v>239</v>
      </c>
      <c r="Z1004" s="12" t="s">
        <v>109</v>
      </c>
      <c r="AA1004" s="12" t="s">
        <v>5428</v>
      </c>
      <c r="AB1004" s="12" t="s">
        <v>394</v>
      </c>
      <c r="AC1004" s="12" t="s">
        <v>395</v>
      </c>
      <c r="AD1004" s="12" t="s">
        <v>2399</v>
      </c>
      <c r="AE1004" s="12" t="s">
        <v>5429</v>
      </c>
      <c r="AF1004" s="12" t="s">
        <v>5448</v>
      </c>
      <c r="AG1004" s="12" t="s">
        <v>407</v>
      </c>
      <c r="AH1004" s="12" t="s">
        <v>116</v>
      </c>
      <c r="AI1004" s="12" t="s">
        <v>117</v>
      </c>
      <c r="AJ1004" s="12" t="s">
        <v>5449</v>
      </c>
      <c r="AK1004" s="12" t="s">
        <v>4</v>
      </c>
    </row>
    <row r="1005" customFormat="false" ht="15" hidden="false" customHeight="false" outlineLevel="0" collapsed="false">
      <c r="A1005" s="11" t="n">
        <v>1004</v>
      </c>
      <c r="B1005" s="12" t="s">
        <v>5445</v>
      </c>
      <c r="C1005" s="12" t="s">
        <v>5397</v>
      </c>
      <c r="D1005" s="12" t="s">
        <v>5398</v>
      </c>
      <c r="E1005" s="12" t="s">
        <v>759</v>
      </c>
      <c r="F1005" s="12" t="s">
        <v>5421</v>
      </c>
      <c r="G1005" s="12" t="s">
        <v>771</v>
      </c>
      <c r="H1005" s="12" t="s">
        <v>5446</v>
      </c>
      <c r="I1005" s="12" t="s">
        <v>2899</v>
      </c>
      <c r="J1005" s="13" t="s">
        <v>5447</v>
      </c>
      <c r="K1005" s="12"/>
      <c r="L1005" s="12" t="s">
        <v>5435</v>
      </c>
      <c r="M1005" s="12" t="s">
        <v>5438</v>
      </c>
      <c r="N1005" s="12" t="s">
        <v>212</v>
      </c>
      <c r="O1005" s="12" t="s">
        <v>417</v>
      </c>
      <c r="P1005" s="12" t="s">
        <v>103</v>
      </c>
      <c r="Q1005" s="12" t="s">
        <v>104</v>
      </c>
      <c r="R1005" s="14" t="n">
        <v>152</v>
      </c>
      <c r="S1005" s="14" t="s">
        <v>432</v>
      </c>
      <c r="T1005" s="14" t="s">
        <v>5409</v>
      </c>
      <c r="U1005" s="14" t="n">
        <v>2017</v>
      </c>
      <c r="V1005" s="12" t="s">
        <v>157</v>
      </c>
      <c r="W1005" s="14"/>
      <c r="X1005" s="15" t="n">
        <f aca="false">IF(OR($S1005="%",$R1005=""),"",$R1005*INDEX(Cambi!$J$2:$J$5,MATCH($S1005,Cambi!$I$2:$I$5,0))/IF($T1005="EUR",1,INDEX(Cambi!$D:$D,MATCH($T1005&amp;"|"&amp;$U1005,Cambi!$C:$C,0))))</f>
        <v>0.000173383371165889</v>
      </c>
      <c r="Y1005" s="12" t="s">
        <v>239</v>
      </c>
      <c r="Z1005" s="12" t="s">
        <v>109</v>
      </c>
      <c r="AA1005" s="12" t="s">
        <v>5428</v>
      </c>
      <c r="AB1005" s="12" t="s">
        <v>394</v>
      </c>
      <c r="AC1005" s="12" t="s">
        <v>395</v>
      </c>
      <c r="AD1005" s="12" t="s">
        <v>2399</v>
      </c>
      <c r="AE1005" s="12" t="s">
        <v>5429</v>
      </c>
      <c r="AF1005" s="12" t="s">
        <v>5448</v>
      </c>
      <c r="AG1005" s="12" t="s">
        <v>407</v>
      </c>
      <c r="AH1005" s="12" t="s">
        <v>116</v>
      </c>
      <c r="AI1005" s="12" t="s">
        <v>117</v>
      </c>
      <c r="AJ1005" s="12" t="s">
        <v>5449</v>
      </c>
      <c r="AK1005" s="12" t="s">
        <v>4</v>
      </c>
    </row>
    <row r="1006" customFormat="false" ht="15" hidden="false" customHeight="false" outlineLevel="0" collapsed="false">
      <c r="A1006" s="11" t="n">
        <v>1005</v>
      </c>
      <c r="B1006" s="12" t="s">
        <v>5451</v>
      </c>
      <c r="C1006" s="12" t="s">
        <v>5397</v>
      </c>
      <c r="D1006" s="12" t="s">
        <v>5398</v>
      </c>
      <c r="E1006" s="12" t="s">
        <v>759</v>
      </c>
      <c r="F1006" s="12" t="s">
        <v>5421</v>
      </c>
      <c r="G1006" s="12" t="s">
        <v>771</v>
      </c>
      <c r="H1006" s="12" t="s">
        <v>5452</v>
      </c>
      <c r="I1006" s="12" t="s">
        <v>5453</v>
      </c>
      <c r="J1006" s="13" t="s">
        <v>5454</v>
      </c>
      <c r="K1006" s="12"/>
      <c r="L1006" s="12" t="s">
        <v>5425</v>
      </c>
      <c r="M1006" s="12" t="s">
        <v>5426</v>
      </c>
      <c r="N1006" s="12" t="s">
        <v>212</v>
      </c>
      <c r="O1006" s="12" t="s">
        <v>244</v>
      </c>
      <c r="P1006" s="12" t="s">
        <v>856</v>
      </c>
      <c r="Q1006" s="12" t="s">
        <v>5427</v>
      </c>
      <c r="R1006" s="14" t="n">
        <v>277000</v>
      </c>
      <c r="S1006" s="14" t="s">
        <v>432</v>
      </c>
      <c r="T1006" s="14" t="s">
        <v>5409</v>
      </c>
      <c r="U1006" s="14" t="n">
        <v>2018</v>
      </c>
      <c r="V1006" s="12" t="s">
        <v>157</v>
      </c>
      <c r="W1006" s="14"/>
      <c r="X1006" s="15" t="n">
        <f aca="false">IF(OR($S1006="%",$R1006=""),"",$R1006*INDEX(Cambi!$J$2:$J$5,MATCH($S1006,Cambi!$I$2:$I$5,0))/IF($T1006="EUR",1,INDEX(Cambi!$D:$D,MATCH($T1006&amp;"|"&amp;$U1006,Cambi!$C:$C,0))))</f>
        <v>0.313096947022188</v>
      </c>
      <c r="Y1006" s="12" t="s">
        <v>239</v>
      </c>
      <c r="Z1006" s="12" t="s">
        <v>117</v>
      </c>
      <c r="AA1006" s="12" t="s">
        <v>5428</v>
      </c>
      <c r="AB1006" s="12" t="s">
        <v>394</v>
      </c>
      <c r="AC1006" s="12" t="s">
        <v>395</v>
      </c>
      <c r="AD1006" s="12" t="s">
        <v>2399</v>
      </c>
      <c r="AE1006" s="12" t="s">
        <v>5429</v>
      </c>
      <c r="AF1006" s="12" t="s">
        <v>5455</v>
      </c>
      <c r="AG1006" s="12" t="s">
        <v>407</v>
      </c>
      <c r="AH1006" s="12" t="s">
        <v>116</v>
      </c>
      <c r="AI1006" s="12" t="s">
        <v>117</v>
      </c>
      <c r="AJ1006" s="12" t="s">
        <v>5456</v>
      </c>
      <c r="AK1006" s="12" t="s">
        <v>4</v>
      </c>
    </row>
    <row r="1007" customFormat="false" ht="15" hidden="false" customHeight="false" outlineLevel="0" collapsed="false">
      <c r="A1007" s="11" t="n">
        <v>1006</v>
      </c>
      <c r="B1007" s="12" t="s">
        <v>5451</v>
      </c>
      <c r="C1007" s="12" t="s">
        <v>5397</v>
      </c>
      <c r="D1007" s="12" t="s">
        <v>5398</v>
      </c>
      <c r="E1007" s="12" t="s">
        <v>759</v>
      </c>
      <c r="F1007" s="12" t="s">
        <v>5421</v>
      </c>
      <c r="G1007" s="12" t="s">
        <v>771</v>
      </c>
      <c r="H1007" s="12" t="s">
        <v>5452</v>
      </c>
      <c r="I1007" s="12" t="s">
        <v>5453</v>
      </c>
      <c r="J1007" s="13" t="s">
        <v>5454</v>
      </c>
      <c r="K1007" s="12"/>
      <c r="L1007" s="12" t="s">
        <v>5425</v>
      </c>
      <c r="M1007" s="12" t="s">
        <v>5426</v>
      </c>
      <c r="N1007" s="12" t="s">
        <v>212</v>
      </c>
      <c r="O1007" s="12" t="s">
        <v>244</v>
      </c>
      <c r="P1007" s="12" t="s">
        <v>856</v>
      </c>
      <c r="Q1007" s="12" t="s">
        <v>5432</v>
      </c>
      <c r="R1007" s="14" t="n">
        <v>25100</v>
      </c>
      <c r="S1007" s="14" t="s">
        <v>432</v>
      </c>
      <c r="T1007" s="14" t="s">
        <v>5409</v>
      </c>
      <c r="U1007" s="14" t="n">
        <v>2018</v>
      </c>
      <c r="V1007" s="12" t="s">
        <v>157</v>
      </c>
      <c r="W1007" s="14"/>
      <c r="X1007" s="15" t="n">
        <f aca="false">IF(OR($S1007="%",$R1007=""),"",$R1007*INDEX(Cambi!$J$2:$J$5,MATCH($S1007,Cambi!$I$2:$I$5,0))/IF($T1007="EUR",1,INDEX(Cambi!$D:$D,MATCH($T1007&amp;"|"&amp;$U1007,Cambi!$C:$C,0))))</f>
        <v>0.0283708785929853</v>
      </c>
      <c r="Y1007" s="12" t="s">
        <v>239</v>
      </c>
      <c r="Z1007" s="12" t="s">
        <v>117</v>
      </c>
      <c r="AA1007" s="12" t="s">
        <v>5428</v>
      </c>
      <c r="AB1007" s="12" t="s">
        <v>394</v>
      </c>
      <c r="AC1007" s="12" t="s">
        <v>395</v>
      </c>
      <c r="AD1007" s="12" t="s">
        <v>2399</v>
      </c>
      <c r="AE1007" s="12" t="s">
        <v>5429</v>
      </c>
      <c r="AF1007" s="12" t="s">
        <v>5455</v>
      </c>
      <c r="AG1007" s="12" t="s">
        <v>407</v>
      </c>
      <c r="AH1007" s="12" t="s">
        <v>116</v>
      </c>
      <c r="AI1007" s="12" t="s">
        <v>117</v>
      </c>
      <c r="AJ1007" s="12" t="s">
        <v>5456</v>
      </c>
      <c r="AK1007" s="12" t="s">
        <v>4</v>
      </c>
    </row>
    <row r="1008" customFormat="false" ht="15" hidden="false" customHeight="false" outlineLevel="0" collapsed="false">
      <c r="A1008" s="11" t="n">
        <v>1007</v>
      </c>
      <c r="B1008" s="12" t="s">
        <v>5451</v>
      </c>
      <c r="C1008" s="12" t="s">
        <v>5397</v>
      </c>
      <c r="D1008" s="12" t="s">
        <v>5398</v>
      </c>
      <c r="E1008" s="12" t="s">
        <v>759</v>
      </c>
      <c r="F1008" s="12" t="s">
        <v>5421</v>
      </c>
      <c r="G1008" s="12" t="s">
        <v>771</v>
      </c>
      <c r="H1008" s="12" t="s">
        <v>5452</v>
      </c>
      <c r="I1008" s="12" t="s">
        <v>5453</v>
      </c>
      <c r="J1008" s="13" t="s">
        <v>5454</v>
      </c>
      <c r="K1008" s="12"/>
      <c r="L1008" s="12" t="s">
        <v>5425</v>
      </c>
      <c r="M1008" s="12" t="s">
        <v>5426</v>
      </c>
      <c r="N1008" s="12" t="s">
        <v>212</v>
      </c>
      <c r="O1008" s="12" t="s">
        <v>244</v>
      </c>
      <c r="P1008" s="12" t="s">
        <v>856</v>
      </c>
      <c r="Q1008" s="12" t="s">
        <v>5433</v>
      </c>
      <c r="R1008" s="14" t="n">
        <v>3490</v>
      </c>
      <c r="S1008" s="14" t="s">
        <v>432</v>
      </c>
      <c r="T1008" s="14" t="s">
        <v>5409</v>
      </c>
      <c r="U1008" s="14" t="n">
        <v>2018</v>
      </c>
      <c r="V1008" s="12" t="s">
        <v>157</v>
      </c>
      <c r="W1008" s="14"/>
      <c r="X1008" s="15" t="n">
        <f aca="false">IF(OR($S1008="%",$R1008=""),"",$R1008*INDEX(Cambi!$J$2:$J$5,MATCH($S1008,Cambi!$I$2:$I$5,0))/IF($T1008="EUR",1,INDEX(Cambi!$D:$D,MATCH($T1008&amp;"|"&amp;$U1008,Cambi!$C:$C,0))))</f>
        <v>0.00394479546970194</v>
      </c>
      <c r="Y1008" s="12" t="s">
        <v>239</v>
      </c>
      <c r="Z1008" s="12" t="s">
        <v>117</v>
      </c>
      <c r="AA1008" s="12" t="s">
        <v>5428</v>
      </c>
      <c r="AB1008" s="12" t="s">
        <v>394</v>
      </c>
      <c r="AC1008" s="12" t="s">
        <v>395</v>
      </c>
      <c r="AD1008" s="12" t="s">
        <v>2399</v>
      </c>
      <c r="AE1008" s="12" t="s">
        <v>5429</v>
      </c>
      <c r="AF1008" s="12" t="s">
        <v>5455</v>
      </c>
      <c r="AG1008" s="12" t="s">
        <v>407</v>
      </c>
      <c r="AH1008" s="12" t="s">
        <v>116</v>
      </c>
      <c r="AI1008" s="12" t="s">
        <v>117</v>
      </c>
      <c r="AJ1008" s="12" t="s">
        <v>5456</v>
      </c>
      <c r="AK1008" s="12" t="s">
        <v>4</v>
      </c>
    </row>
    <row r="1009" customFormat="false" ht="15" hidden="false" customHeight="false" outlineLevel="0" collapsed="false">
      <c r="A1009" s="11" t="n">
        <v>1008</v>
      </c>
      <c r="B1009" s="12" t="s">
        <v>5451</v>
      </c>
      <c r="C1009" s="12" t="s">
        <v>5397</v>
      </c>
      <c r="D1009" s="12" t="s">
        <v>5398</v>
      </c>
      <c r="E1009" s="12" t="s">
        <v>759</v>
      </c>
      <c r="F1009" s="12" t="s">
        <v>5421</v>
      </c>
      <c r="G1009" s="12" t="s">
        <v>771</v>
      </c>
      <c r="H1009" s="12" t="s">
        <v>5452</v>
      </c>
      <c r="I1009" s="12" t="s">
        <v>5453</v>
      </c>
      <c r="J1009" s="13" t="s">
        <v>5454</v>
      </c>
      <c r="K1009" s="12"/>
      <c r="L1009" s="12" t="s">
        <v>5425</v>
      </c>
      <c r="M1009" s="12" t="s">
        <v>5434</v>
      </c>
      <c r="N1009" s="12" t="s">
        <v>212</v>
      </c>
      <c r="O1009" s="12" t="s">
        <v>244</v>
      </c>
      <c r="P1009" s="12" t="s">
        <v>103</v>
      </c>
      <c r="Q1009" s="12" t="s">
        <v>104</v>
      </c>
      <c r="R1009" s="14" t="n">
        <v>5100</v>
      </c>
      <c r="S1009" s="14" t="s">
        <v>432</v>
      </c>
      <c r="T1009" s="14" t="s">
        <v>5409</v>
      </c>
      <c r="U1009" s="14" t="n">
        <v>2018</v>
      </c>
      <c r="V1009" s="12" t="s">
        <v>157</v>
      </c>
      <c r="W1009" s="14"/>
      <c r="X1009" s="15" t="n">
        <f aca="false">IF(OR($S1009="%",$R1009=""),"",$R1009*INDEX(Cambi!$J$2:$J$5,MATCH($S1009,Cambi!$I$2:$I$5,0))/IF($T1009="EUR",1,INDEX(Cambi!$D:$D,MATCH($T1009&amp;"|"&amp;$U1009,Cambi!$C:$C,0))))</f>
        <v>0.00576460082965039</v>
      </c>
      <c r="Y1009" s="12" t="s">
        <v>239</v>
      </c>
      <c r="Z1009" s="12" t="s">
        <v>117</v>
      </c>
      <c r="AA1009" s="12" t="s">
        <v>5428</v>
      </c>
      <c r="AB1009" s="12" t="s">
        <v>394</v>
      </c>
      <c r="AC1009" s="12" t="s">
        <v>395</v>
      </c>
      <c r="AD1009" s="12" t="s">
        <v>2399</v>
      </c>
      <c r="AE1009" s="12" t="s">
        <v>5429</v>
      </c>
      <c r="AF1009" s="12" t="s">
        <v>5455</v>
      </c>
      <c r="AG1009" s="12" t="s">
        <v>407</v>
      </c>
      <c r="AH1009" s="12" t="s">
        <v>116</v>
      </c>
      <c r="AI1009" s="12" t="s">
        <v>117</v>
      </c>
      <c r="AJ1009" s="12" t="s">
        <v>5456</v>
      </c>
      <c r="AK1009" s="12" t="s">
        <v>4</v>
      </c>
    </row>
    <row r="1010" customFormat="false" ht="15" hidden="false" customHeight="false" outlineLevel="0" collapsed="false">
      <c r="A1010" s="11" t="n">
        <v>1009</v>
      </c>
      <c r="B1010" s="12" t="s">
        <v>5451</v>
      </c>
      <c r="C1010" s="12" t="s">
        <v>5397</v>
      </c>
      <c r="D1010" s="12" t="s">
        <v>5398</v>
      </c>
      <c r="E1010" s="12" t="s">
        <v>759</v>
      </c>
      <c r="F1010" s="12" t="s">
        <v>5421</v>
      </c>
      <c r="G1010" s="12" t="s">
        <v>771</v>
      </c>
      <c r="H1010" s="12" t="s">
        <v>5452</v>
      </c>
      <c r="I1010" s="12" t="s">
        <v>5453</v>
      </c>
      <c r="J1010" s="13" t="s">
        <v>5454</v>
      </c>
      <c r="K1010" s="12"/>
      <c r="L1010" s="12" t="s">
        <v>5435</v>
      </c>
      <c r="M1010" s="12" t="s">
        <v>5436</v>
      </c>
      <c r="N1010" s="12" t="s">
        <v>212</v>
      </c>
      <c r="O1010" s="12" t="s">
        <v>417</v>
      </c>
      <c r="P1010" s="12" t="s">
        <v>856</v>
      </c>
      <c r="Q1010" s="12" t="s">
        <v>5427</v>
      </c>
      <c r="R1010" s="14" t="n">
        <v>42600</v>
      </c>
      <c r="S1010" s="14" t="s">
        <v>432</v>
      </c>
      <c r="T1010" s="14" t="s">
        <v>5409</v>
      </c>
      <c r="U1010" s="14" t="n">
        <v>2018</v>
      </c>
      <c r="V1010" s="12" t="s">
        <v>157</v>
      </c>
      <c r="W1010" s="14"/>
      <c r="X1010" s="15" t="n">
        <f aca="false">IF(OR($S1010="%",$R1010=""),"",$R1010*INDEX(Cambi!$J$2:$J$5,MATCH($S1010,Cambi!$I$2:$I$5,0))/IF($T1010="EUR",1,INDEX(Cambi!$D:$D,MATCH($T1010&amp;"|"&amp;$U1010,Cambi!$C:$C,0))))</f>
        <v>0.0481513716359033</v>
      </c>
      <c r="Y1010" s="12" t="s">
        <v>239</v>
      </c>
      <c r="Z1010" s="12" t="s">
        <v>117</v>
      </c>
      <c r="AA1010" s="12" t="s">
        <v>5428</v>
      </c>
      <c r="AB1010" s="12" t="s">
        <v>394</v>
      </c>
      <c r="AC1010" s="12" t="s">
        <v>395</v>
      </c>
      <c r="AD1010" s="12" t="s">
        <v>2399</v>
      </c>
      <c r="AE1010" s="12" t="s">
        <v>5429</v>
      </c>
      <c r="AF1010" s="12" t="s">
        <v>5455</v>
      </c>
      <c r="AG1010" s="12" t="s">
        <v>407</v>
      </c>
      <c r="AH1010" s="12" t="s">
        <v>116</v>
      </c>
      <c r="AI1010" s="12" t="s">
        <v>117</v>
      </c>
      <c r="AJ1010" s="12" t="s">
        <v>5456</v>
      </c>
      <c r="AK1010" s="12" t="s">
        <v>4</v>
      </c>
    </row>
    <row r="1011" customFormat="false" ht="15" hidden="false" customHeight="false" outlineLevel="0" collapsed="false">
      <c r="A1011" s="11" t="n">
        <v>1010</v>
      </c>
      <c r="B1011" s="12" t="s">
        <v>5451</v>
      </c>
      <c r="C1011" s="12" t="s">
        <v>5397</v>
      </c>
      <c r="D1011" s="12" t="s">
        <v>5398</v>
      </c>
      <c r="E1011" s="12" t="s">
        <v>759</v>
      </c>
      <c r="F1011" s="12" t="s">
        <v>5421</v>
      </c>
      <c r="G1011" s="12" t="s">
        <v>771</v>
      </c>
      <c r="H1011" s="12" t="s">
        <v>5452</v>
      </c>
      <c r="I1011" s="12" t="s">
        <v>5453</v>
      </c>
      <c r="J1011" s="13" t="s">
        <v>5454</v>
      </c>
      <c r="K1011" s="12"/>
      <c r="L1011" s="12" t="s">
        <v>5435</v>
      </c>
      <c r="M1011" s="12" t="s">
        <v>5436</v>
      </c>
      <c r="N1011" s="12" t="s">
        <v>212</v>
      </c>
      <c r="O1011" s="12" t="s">
        <v>417</v>
      </c>
      <c r="P1011" s="12" t="s">
        <v>856</v>
      </c>
      <c r="Q1011" s="12" t="s">
        <v>5432</v>
      </c>
      <c r="R1011" s="14" t="n">
        <v>5000</v>
      </c>
      <c r="S1011" s="14" t="s">
        <v>432</v>
      </c>
      <c r="T1011" s="14" t="s">
        <v>5409</v>
      </c>
      <c r="U1011" s="14" t="n">
        <v>2018</v>
      </c>
      <c r="V1011" s="12" t="s">
        <v>157</v>
      </c>
      <c r="W1011" s="14"/>
      <c r="X1011" s="15" t="n">
        <f aca="false">IF(OR($S1011="%",$R1011=""),"",$R1011*INDEX(Cambi!$J$2:$J$5,MATCH($S1011,Cambi!$I$2:$I$5,0))/IF($T1011="EUR",1,INDEX(Cambi!$D:$D,MATCH($T1011&amp;"|"&amp;$U1011,Cambi!$C:$C,0))))</f>
        <v>0.00565156944083372</v>
      </c>
      <c r="Y1011" s="12" t="s">
        <v>239</v>
      </c>
      <c r="Z1011" s="12" t="s">
        <v>117</v>
      </c>
      <c r="AA1011" s="12" t="s">
        <v>5428</v>
      </c>
      <c r="AB1011" s="12" t="s">
        <v>394</v>
      </c>
      <c r="AC1011" s="12" t="s">
        <v>395</v>
      </c>
      <c r="AD1011" s="12" t="s">
        <v>2399</v>
      </c>
      <c r="AE1011" s="12" t="s">
        <v>5429</v>
      </c>
      <c r="AF1011" s="12" t="s">
        <v>5455</v>
      </c>
      <c r="AG1011" s="12" t="s">
        <v>407</v>
      </c>
      <c r="AH1011" s="12" t="s">
        <v>116</v>
      </c>
      <c r="AI1011" s="12" t="s">
        <v>117</v>
      </c>
      <c r="AJ1011" s="12" t="s">
        <v>5456</v>
      </c>
      <c r="AK1011" s="12" t="s">
        <v>4</v>
      </c>
    </row>
    <row r="1012" customFormat="false" ht="15" hidden="false" customHeight="false" outlineLevel="0" collapsed="false">
      <c r="A1012" s="11" t="n">
        <v>1011</v>
      </c>
      <c r="B1012" s="12" t="s">
        <v>5451</v>
      </c>
      <c r="C1012" s="12" t="s">
        <v>5397</v>
      </c>
      <c r="D1012" s="12" t="s">
        <v>5398</v>
      </c>
      <c r="E1012" s="12" t="s">
        <v>759</v>
      </c>
      <c r="F1012" s="12" t="s">
        <v>5421</v>
      </c>
      <c r="G1012" s="12" t="s">
        <v>771</v>
      </c>
      <c r="H1012" s="12" t="s">
        <v>5452</v>
      </c>
      <c r="I1012" s="12" t="s">
        <v>5453</v>
      </c>
      <c r="J1012" s="13" t="s">
        <v>5454</v>
      </c>
      <c r="K1012" s="12"/>
      <c r="L1012" s="12" t="s">
        <v>5435</v>
      </c>
      <c r="M1012" s="12" t="s">
        <v>5436</v>
      </c>
      <c r="N1012" s="12" t="s">
        <v>212</v>
      </c>
      <c r="O1012" s="12" t="s">
        <v>417</v>
      </c>
      <c r="P1012" s="12" t="s">
        <v>856</v>
      </c>
      <c r="Q1012" s="12" t="s">
        <v>5433</v>
      </c>
      <c r="R1012" s="14" t="n">
        <v>200</v>
      </c>
      <c r="S1012" s="14" t="s">
        <v>432</v>
      </c>
      <c r="T1012" s="14" t="s">
        <v>5409</v>
      </c>
      <c r="U1012" s="14" t="n">
        <v>2018</v>
      </c>
      <c r="V1012" s="12" t="s">
        <v>157</v>
      </c>
      <c r="W1012" s="14"/>
      <c r="X1012" s="15" t="n">
        <f aca="false">IF(OR($S1012="%",$R1012=""),"",$R1012*INDEX(Cambi!$J$2:$J$5,MATCH($S1012,Cambi!$I$2:$I$5,0))/IF($T1012="EUR",1,INDEX(Cambi!$D:$D,MATCH($T1012&amp;"|"&amp;$U1012,Cambi!$C:$C,0))))</f>
        <v>0.000226062777633349</v>
      </c>
      <c r="Y1012" s="12" t="s">
        <v>239</v>
      </c>
      <c r="Z1012" s="12" t="s">
        <v>117</v>
      </c>
      <c r="AA1012" s="12" t="s">
        <v>5428</v>
      </c>
      <c r="AB1012" s="12" t="s">
        <v>394</v>
      </c>
      <c r="AC1012" s="12" t="s">
        <v>395</v>
      </c>
      <c r="AD1012" s="12" t="s">
        <v>2399</v>
      </c>
      <c r="AE1012" s="12" t="s">
        <v>5429</v>
      </c>
      <c r="AF1012" s="12" t="s">
        <v>5455</v>
      </c>
      <c r="AG1012" s="12" t="s">
        <v>407</v>
      </c>
      <c r="AH1012" s="12" t="s">
        <v>116</v>
      </c>
      <c r="AI1012" s="12" t="s">
        <v>117</v>
      </c>
      <c r="AJ1012" s="12" t="s">
        <v>5456</v>
      </c>
      <c r="AK1012" s="12" t="s">
        <v>4</v>
      </c>
    </row>
    <row r="1013" customFormat="false" ht="15" hidden="false" customHeight="false" outlineLevel="0" collapsed="false">
      <c r="A1013" s="11" t="n">
        <v>1012</v>
      </c>
      <c r="B1013" s="12" t="s">
        <v>5451</v>
      </c>
      <c r="C1013" s="12" t="s">
        <v>5397</v>
      </c>
      <c r="D1013" s="12" t="s">
        <v>5398</v>
      </c>
      <c r="E1013" s="12" t="s">
        <v>759</v>
      </c>
      <c r="F1013" s="12" t="s">
        <v>5421</v>
      </c>
      <c r="G1013" s="12" t="s">
        <v>771</v>
      </c>
      <c r="H1013" s="12" t="s">
        <v>5452</v>
      </c>
      <c r="I1013" s="12" t="s">
        <v>5453</v>
      </c>
      <c r="J1013" s="13" t="s">
        <v>5454</v>
      </c>
      <c r="K1013" s="12"/>
      <c r="L1013" s="12" t="s">
        <v>5435</v>
      </c>
      <c r="M1013" s="12" t="s">
        <v>5438</v>
      </c>
      <c r="N1013" s="12" t="s">
        <v>212</v>
      </c>
      <c r="O1013" s="12" t="s">
        <v>417</v>
      </c>
      <c r="P1013" s="12" t="s">
        <v>103</v>
      </c>
      <c r="Q1013" s="12" t="s">
        <v>104</v>
      </c>
      <c r="R1013" s="14" t="n">
        <v>200</v>
      </c>
      <c r="S1013" s="14" t="s">
        <v>432</v>
      </c>
      <c r="T1013" s="14" t="s">
        <v>5409</v>
      </c>
      <c r="U1013" s="14" t="n">
        <v>2018</v>
      </c>
      <c r="V1013" s="12" t="s">
        <v>157</v>
      </c>
      <c r="W1013" s="14"/>
      <c r="X1013" s="15" t="n">
        <f aca="false">IF(OR($S1013="%",$R1013=""),"",$R1013*INDEX(Cambi!$J$2:$J$5,MATCH($S1013,Cambi!$I$2:$I$5,0))/IF($T1013="EUR",1,INDEX(Cambi!$D:$D,MATCH($T1013&amp;"|"&amp;$U1013,Cambi!$C:$C,0))))</f>
        <v>0.000226062777633349</v>
      </c>
      <c r="Y1013" s="12" t="s">
        <v>239</v>
      </c>
      <c r="Z1013" s="12" t="s">
        <v>117</v>
      </c>
      <c r="AA1013" s="12" t="s">
        <v>5428</v>
      </c>
      <c r="AB1013" s="12" t="s">
        <v>394</v>
      </c>
      <c r="AC1013" s="12" t="s">
        <v>395</v>
      </c>
      <c r="AD1013" s="12" t="s">
        <v>2399</v>
      </c>
      <c r="AE1013" s="12" t="s">
        <v>5429</v>
      </c>
      <c r="AF1013" s="12" t="s">
        <v>5455</v>
      </c>
      <c r="AG1013" s="12" t="s">
        <v>407</v>
      </c>
      <c r="AH1013" s="12" t="s">
        <v>116</v>
      </c>
      <c r="AI1013" s="12" t="s">
        <v>117</v>
      </c>
      <c r="AJ1013" s="12" t="s">
        <v>5456</v>
      </c>
      <c r="AK1013" s="12" t="s">
        <v>4</v>
      </c>
    </row>
    <row r="1014" customFormat="false" ht="15" hidden="false" customHeight="false" outlineLevel="0" collapsed="false">
      <c r="A1014" s="11" t="n">
        <v>1013</v>
      </c>
      <c r="B1014" s="12" t="s">
        <v>5457</v>
      </c>
      <c r="C1014" s="12" t="s">
        <v>5397</v>
      </c>
      <c r="D1014" s="12" t="s">
        <v>5398</v>
      </c>
      <c r="E1014" s="12" t="s">
        <v>759</v>
      </c>
      <c r="F1014" s="12" t="s">
        <v>5458</v>
      </c>
      <c r="G1014" s="12" t="s">
        <v>771</v>
      </c>
      <c r="H1014" s="12" t="s">
        <v>5459</v>
      </c>
      <c r="I1014" s="12" t="s">
        <v>5460</v>
      </c>
      <c r="J1014" s="13" t="s">
        <v>5461</v>
      </c>
      <c r="K1014" s="12"/>
      <c r="L1014" s="12" t="s">
        <v>5407</v>
      </c>
      <c r="M1014" s="12" t="s">
        <v>5462</v>
      </c>
      <c r="N1014" s="12" t="s">
        <v>956</v>
      </c>
      <c r="O1014" s="12" t="s">
        <v>102</v>
      </c>
      <c r="P1014" s="12" t="s">
        <v>103</v>
      </c>
      <c r="Q1014" s="12" t="s">
        <v>104</v>
      </c>
      <c r="R1014" s="14" t="n">
        <v>8293.24</v>
      </c>
      <c r="S1014" s="14" t="s">
        <v>105</v>
      </c>
      <c r="T1014" s="14" t="s">
        <v>5409</v>
      </c>
      <c r="U1014" s="14" t="n">
        <v>2018</v>
      </c>
      <c r="V1014" s="12" t="s">
        <v>157</v>
      </c>
      <c r="W1014" s="14" t="s">
        <v>5463</v>
      </c>
      <c r="X1014" s="15" t="n">
        <f aca="false">IF(OR($S1014="%",$R1014=""),"",$R1014*INDEX(Cambi!$J$2:$J$5,MATCH($S1014,Cambi!$I$2:$I$5,0))/IF($T1014="EUR",1,INDEX(Cambi!$D:$D,MATCH($T1014&amp;"|"&amp;$U1014,Cambi!$C:$C,0))))</f>
        <v>9373.96434989997</v>
      </c>
      <c r="Y1014" s="12" t="s">
        <v>109</v>
      </c>
      <c r="Z1014" s="12" t="s">
        <v>285</v>
      </c>
      <c r="AA1014" s="12" t="s">
        <v>5411</v>
      </c>
      <c r="AB1014" s="12" t="s">
        <v>679</v>
      </c>
      <c r="AC1014" s="12" t="s">
        <v>395</v>
      </c>
      <c r="AD1014" s="12" t="s">
        <v>166</v>
      </c>
      <c r="AE1014" s="12" t="s">
        <v>5412</v>
      </c>
      <c r="AF1014" s="12" t="s">
        <v>5464</v>
      </c>
      <c r="AG1014" s="12" t="s">
        <v>115</v>
      </c>
      <c r="AH1014" s="12" t="s">
        <v>116</v>
      </c>
      <c r="AI1014" s="12" t="s">
        <v>117</v>
      </c>
      <c r="AJ1014" s="12" t="s">
        <v>5465</v>
      </c>
      <c r="AK1014" s="12" t="s">
        <v>4</v>
      </c>
    </row>
    <row r="1015" customFormat="false" ht="15" hidden="false" customHeight="false" outlineLevel="0" collapsed="false">
      <c r="A1015" s="11" t="n">
        <v>1014</v>
      </c>
      <c r="B1015" s="12" t="s">
        <v>5457</v>
      </c>
      <c r="C1015" s="12" t="s">
        <v>5397</v>
      </c>
      <c r="D1015" s="12" t="s">
        <v>5398</v>
      </c>
      <c r="E1015" s="12" t="s">
        <v>759</v>
      </c>
      <c r="F1015" s="12" t="s">
        <v>5458</v>
      </c>
      <c r="G1015" s="12" t="s">
        <v>771</v>
      </c>
      <c r="H1015" s="12" t="s">
        <v>5459</v>
      </c>
      <c r="I1015" s="12" t="s">
        <v>5460</v>
      </c>
      <c r="J1015" s="13" t="s">
        <v>5461</v>
      </c>
      <c r="K1015" s="12"/>
      <c r="L1015" s="12" t="s">
        <v>5466</v>
      </c>
      <c r="M1015" s="12" t="s">
        <v>5467</v>
      </c>
      <c r="N1015" s="12" t="s">
        <v>956</v>
      </c>
      <c r="O1015" s="12" t="s">
        <v>102</v>
      </c>
      <c r="P1015" s="12" t="s">
        <v>103</v>
      </c>
      <c r="Q1015" s="12" t="s">
        <v>104</v>
      </c>
      <c r="R1015" s="14" t="n">
        <v>3.77</v>
      </c>
      <c r="S1015" s="14" t="s">
        <v>129</v>
      </c>
      <c r="T1015" s="14" t="s">
        <v>5409</v>
      </c>
      <c r="U1015" s="14" t="n">
        <v>2018</v>
      </c>
      <c r="V1015" s="12" t="s">
        <v>157</v>
      </c>
      <c r="W1015" s="14" t="s">
        <v>5468</v>
      </c>
      <c r="X1015" s="15" t="n">
        <f aca="false">IF(OR($S1015="%",$R1015=""),"",$R1015*INDEX(Cambi!$J$2:$J$5,MATCH($S1015,Cambi!$I$2:$I$5,0))/IF($T1015="EUR",1,INDEX(Cambi!$D:$D,MATCH($T1015&amp;"|"&amp;$U1015,Cambi!$C:$C,0))))</f>
        <v>4261.28335838863</v>
      </c>
      <c r="Y1015" s="12" t="s">
        <v>109</v>
      </c>
      <c r="Z1015" s="12" t="s">
        <v>285</v>
      </c>
      <c r="AA1015" s="12" t="s">
        <v>5411</v>
      </c>
      <c r="AB1015" s="12" t="s">
        <v>679</v>
      </c>
      <c r="AC1015" s="12" t="s">
        <v>395</v>
      </c>
      <c r="AD1015" s="12" t="s">
        <v>166</v>
      </c>
      <c r="AE1015" s="12" t="s">
        <v>5412</v>
      </c>
      <c r="AF1015" s="12" t="s">
        <v>5469</v>
      </c>
      <c r="AG1015" s="12" t="s">
        <v>115</v>
      </c>
      <c r="AH1015" s="12" t="s">
        <v>116</v>
      </c>
      <c r="AI1015" s="12" t="s">
        <v>117</v>
      </c>
      <c r="AJ1015" s="12" t="s">
        <v>859</v>
      </c>
      <c r="AK1015" s="12" t="s">
        <v>4</v>
      </c>
    </row>
    <row r="1016" customFormat="false" ht="15" hidden="false" customHeight="false" outlineLevel="0" collapsed="false">
      <c r="A1016" s="11" t="n">
        <v>1015</v>
      </c>
      <c r="B1016" s="12" t="s">
        <v>5470</v>
      </c>
      <c r="C1016" s="12" t="s">
        <v>5397</v>
      </c>
      <c r="D1016" s="12" t="s">
        <v>5398</v>
      </c>
      <c r="E1016" s="12" t="s">
        <v>759</v>
      </c>
      <c r="F1016" s="12" t="s">
        <v>5458</v>
      </c>
      <c r="G1016" s="12" t="s">
        <v>771</v>
      </c>
      <c r="H1016" s="12" t="s">
        <v>5471</v>
      </c>
      <c r="I1016" s="12" t="s">
        <v>3420</v>
      </c>
      <c r="J1016" s="13" t="s">
        <v>5472</v>
      </c>
      <c r="K1016" s="12"/>
      <c r="L1016" s="12" t="s">
        <v>5407</v>
      </c>
      <c r="M1016" s="12" t="s">
        <v>5473</v>
      </c>
      <c r="N1016" s="12" t="s">
        <v>956</v>
      </c>
      <c r="O1016" s="12" t="s">
        <v>102</v>
      </c>
      <c r="P1016" s="12" t="s">
        <v>103</v>
      </c>
      <c r="Q1016" s="12" t="s">
        <v>104</v>
      </c>
      <c r="R1016" s="14" t="n">
        <v>8878</v>
      </c>
      <c r="S1016" s="14" t="s">
        <v>105</v>
      </c>
      <c r="T1016" s="14" t="s">
        <v>5409</v>
      </c>
      <c r="U1016" s="14" t="n">
        <v>2020</v>
      </c>
      <c r="V1016" s="12" t="s">
        <v>157</v>
      </c>
      <c r="W1016" s="14" t="s">
        <v>5474</v>
      </c>
      <c r="X1016" s="15" t="n">
        <f aca="false">IF(OR($S1016="%",$R1016=""),"",$R1016*INDEX(Cambi!$J$2:$J$5,MATCH($S1016,Cambi!$I$2:$I$5,0))/IF($T1016="EUR",1,INDEX(Cambi!$D:$D,MATCH($T1016&amp;"|"&amp;$U1016,Cambi!$C:$C,0))))</f>
        <v>9978.6444869057</v>
      </c>
      <c r="Y1016" s="12" t="s">
        <v>109</v>
      </c>
      <c r="Z1016" s="12" t="s">
        <v>285</v>
      </c>
      <c r="AA1016" s="12" t="s">
        <v>5411</v>
      </c>
      <c r="AB1016" s="12" t="s">
        <v>679</v>
      </c>
      <c r="AC1016" s="12" t="s">
        <v>395</v>
      </c>
      <c r="AD1016" s="12" t="s">
        <v>166</v>
      </c>
      <c r="AE1016" s="12" t="s">
        <v>5412</v>
      </c>
      <c r="AF1016" s="12" t="s">
        <v>5475</v>
      </c>
      <c r="AG1016" s="12" t="s">
        <v>407</v>
      </c>
      <c r="AH1016" s="12" t="s">
        <v>116</v>
      </c>
      <c r="AI1016" s="12" t="s">
        <v>117</v>
      </c>
      <c r="AJ1016" s="12" t="s">
        <v>5476</v>
      </c>
      <c r="AK1016" s="12" t="s">
        <v>4</v>
      </c>
    </row>
    <row r="1017" customFormat="false" ht="15" hidden="false" customHeight="false" outlineLevel="0" collapsed="false">
      <c r="A1017" s="11" t="n">
        <v>1016</v>
      </c>
      <c r="B1017" s="12" t="s">
        <v>5470</v>
      </c>
      <c r="C1017" s="12" t="s">
        <v>5397</v>
      </c>
      <c r="D1017" s="12" t="s">
        <v>5398</v>
      </c>
      <c r="E1017" s="12" t="s">
        <v>759</v>
      </c>
      <c r="F1017" s="12" t="s">
        <v>5458</v>
      </c>
      <c r="G1017" s="12" t="s">
        <v>771</v>
      </c>
      <c r="H1017" s="12" t="s">
        <v>5471</v>
      </c>
      <c r="I1017" s="12" t="s">
        <v>3420</v>
      </c>
      <c r="J1017" s="13" t="s">
        <v>5477</v>
      </c>
      <c r="K1017" s="12"/>
      <c r="L1017" s="12" t="s">
        <v>5415</v>
      </c>
      <c r="M1017" s="12" t="s">
        <v>5478</v>
      </c>
      <c r="N1017" s="12" t="s">
        <v>956</v>
      </c>
      <c r="O1017" s="12" t="s">
        <v>102</v>
      </c>
      <c r="P1017" s="12" t="s">
        <v>103</v>
      </c>
      <c r="Q1017" s="12" t="s">
        <v>104</v>
      </c>
      <c r="R1017" s="14" t="n">
        <v>4</v>
      </c>
      <c r="S1017" s="14" t="s">
        <v>129</v>
      </c>
      <c r="T1017" s="14" t="s">
        <v>5409</v>
      </c>
      <c r="U1017" s="14" t="n">
        <v>2020</v>
      </c>
      <c r="V1017" s="12" t="s">
        <v>157</v>
      </c>
      <c r="W1017" s="14" t="s">
        <v>5479</v>
      </c>
      <c r="X1017" s="15" t="n">
        <f aca="false">IF(OR($S1017="%",$R1017=""),"",$R1017*INDEX(Cambi!$J$2:$J$5,MATCH($S1017,Cambi!$I$2:$I$5,0))/IF($T1017="EUR",1,INDEX(Cambi!$D:$D,MATCH($T1017&amp;"|"&amp;$U1017,Cambi!$C:$C,0))))</f>
        <v>4495.89749353715</v>
      </c>
      <c r="Y1017" s="12" t="s">
        <v>109</v>
      </c>
      <c r="Z1017" s="12" t="s">
        <v>285</v>
      </c>
      <c r="AA1017" s="12" t="s">
        <v>5411</v>
      </c>
      <c r="AB1017" s="12" t="s">
        <v>679</v>
      </c>
      <c r="AC1017" s="12" t="s">
        <v>395</v>
      </c>
      <c r="AD1017" s="12" t="s">
        <v>166</v>
      </c>
      <c r="AE1017" s="12" t="s">
        <v>5412</v>
      </c>
      <c r="AF1017" s="12" t="s">
        <v>5480</v>
      </c>
      <c r="AG1017" s="12" t="s">
        <v>407</v>
      </c>
      <c r="AH1017" s="12" t="s">
        <v>116</v>
      </c>
      <c r="AI1017" s="12" t="s">
        <v>117</v>
      </c>
      <c r="AJ1017" s="12" t="s">
        <v>5481</v>
      </c>
      <c r="AK1017" s="12" t="s">
        <v>4</v>
      </c>
    </row>
    <row r="1018" customFormat="false" ht="15" hidden="false" customHeight="false" outlineLevel="0" collapsed="false">
      <c r="A1018" s="11" t="n">
        <v>1017</v>
      </c>
      <c r="B1018" s="12" t="s">
        <v>5482</v>
      </c>
      <c r="C1018" s="12" t="s">
        <v>5397</v>
      </c>
      <c r="D1018" s="12" t="s">
        <v>5398</v>
      </c>
      <c r="E1018" s="12" t="s">
        <v>759</v>
      </c>
      <c r="F1018" s="12" t="s">
        <v>5483</v>
      </c>
      <c r="G1018" s="12" t="s">
        <v>771</v>
      </c>
      <c r="H1018" s="12" t="s">
        <v>5484</v>
      </c>
      <c r="I1018" s="12" t="s">
        <v>5485</v>
      </c>
      <c r="J1018" s="13" t="s">
        <v>5486</v>
      </c>
      <c r="K1018" s="12"/>
      <c r="L1018" s="12" t="s">
        <v>5487</v>
      </c>
      <c r="M1018" s="12" t="s">
        <v>5488</v>
      </c>
      <c r="N1018" s="12" t="s">
        <v>956</v>
      </c>
      <c r="O1018" s="12" t="s">
        <v>102</v>
      </c>
      <c r="P1018" s="12" t="s">
        <v>103</v>
      </c>
      <c r="Q1018" s="12" t="s">
        <v>104</v>
      </c>
      <c r="R1018" s="14" t="n">
        <v>2349.35</v>
      </c>
      <c r="S1018" s="14" t="s">
        <v>105</v>
      </c>
      <c r="T1018" s="14" t="s">
        <v>5409</v>
      </c>
      <c r="U1018" s="14" t="n">
        <v>2016</v>
      </c>
      <c r="V1018" s="12" t="s">
        <v>157</v>
      </c>
      <c r="W1018" s="14"/>
      <c r="X1018" s="15" t="n">
        <f aca="false">IF(OR($S1018="%",$R1018=""),"",$R1018*INDEX(Cambi!$J$2:$J$5,MATCH($S1018,Cambi!$I$2:$I$5,0))/IF($T1018="EUR",1,INDEX(Cambi!$D:$D,MATCH($T1018&amp;"|"&amp;$U1018,Cambi!$C:$C,0))))</f>
        <v>2866.87899643676</v>
      </c>
      <c r="Y1018" s="12" t="s">
        <v>109</v>
      </c>
      <c r="Z1018" s="12" t="s">
        <v>285</v>
      </c>
      <c r="AA1018" s="12" t="s">
        <v>5411</v>
      </c>
      <c r="AB1018" s="12" t="s">
        <v>679</v>
      </c>
      <c r="AC1018" s="12" t="s">
        <v>395</v>
      </c>
      <c r="AD1018" s="12" t="s">
        <v>166</v>
      </c>
      <c r="AE1018" s="12" t="s">
        <v>5489</v>
      </c>
      <c r="AF1018" s="12" t="s">
        <v>5490</v>
      </c>
      <c r="AG1018" s="12" t="s">
        <v>115</v>
      </c>
      <c r="AH1018" s="12" t="s">
        <v>116</v>
      </c>
      <c r="AI1018" s="12" t="s">
        <v>117</v>
      </c>
      <c r="AJ1018" s="12" t="s">
        <v>5491</v>
      </c>
      <c r="AK1018" s="12" t="s">
        <v>4</v>
      </c>
    </row>
    <row r="1019" customFormat="false" ht="15" hidden="false" customHeight="false" outlineLevel="0" collapsed="false">
      <c r="A1019" s="11" t="n">
        <v>1018</v>
      </c>
      <c r="B1019" s="12" t="s">
        <v>5482</v>
      </c>
      <c r="C1019" s="12" t="s">
        <v>5397</v>
      </c>
      <c r="D1019" s="12" t="s">
        <v>5398</v>
      </c>
      <c r="E1019" s="12" t="s">
        <v>759</v>
      </c>
      <c r="F1019" s="12" t="s">
        <v>5483</v>
      </c>
      <c r="G1019" s="12" t="s">
        <v>771</v>
      </c>
      <c r="H1019" s="12" t="s">
        <v>5484</v>
      </c>
      <c r="I1019" s="12" t="s">
        <v>5485</v>
      </c>
      <c r="J1019" s="13" t="s">
        <v>5486</v>
      </c>
      <c r="K1019" s="12"/>
      <c r="L1019" s="12" t="s">
        <v>5492</v>
      </c>
      <c r="M1019" s="12" t="s">
        <v>5493</v>
      </c>
      <c r="N1019" s="12" t="s">
        <v>956</v>
      </c>
      <c r="O1019" s="12" t="s">
        <v>102</v>
      </c>
      <c r="P1019" s="12" t="s">
        <v>103</v>
      </c>
      <c r="Q1019" s="12" t="s">
        <v>104</v>
      </c>
      <c r="R1019" s="14" t="n">
        <v>5681.73</v>
      </c>
      <c r="S1019" s="14" t="s">
        <v>105</v>
      </c>
      <c r="T1019" s="14" t="s">
        <v>5409</v>
      </c>
      <c r="U1019" s="14" t="n">
        <v>2016</v>
      </c>
      <c r="V1019" s="12" t="s">
        <v>157</v>
      </c>
      <c r="W1019" s="14"/>
      <c r="X1019" s="15" t="n">
        <f aca="false">IF(OR($S1019="%",$R1019=""),"",$R1019*INDEX(Cambi!$J$2:$J$5,MATCH($S1019,Cambi!$I$2:$I$5,0))/IF($T1019="EUR",1,INDEX(Cambi!$D:$D,MATCH($T1019&amp;"|"&amp;$U1019,Cambi!$C:$C,0))))</f>
        <v>6933.3357739054</v>
      </c>
      <c r="Y1019" s="12" t="s">
        <v>109</v>
      </c>
      <c r="Z1019" s="12" t="s">
        <v>285</v>
      </c>
      <c r="AA1019" s="12" t="s">
        <v>5411</v>
      </c>
      <c r="AB1019" s="12" t="s">
        <v>679</v>
      </c>
      <c r="AC1019" s="12" t="s">
        <v>395</v>
      </c>
      <c r="AD1019" s="12" t="s">
        <v>166</v>
      </c>
      <c r="AE1019" s="12" t="s">
        <v>5489</v>
      </c>
      <c r="AF1019" s="12" t="s">
        <v>5494</v>
      </c>
      <c r="AG1019" s="12" t="s">
        <v>115</v>
      </c>
      <c r="AH1019" s="12" t="s">
        <v>116</v>
      </c>
      <c r="AI1019" s="12" t="s">
        <v>117</v>
      </c>
      <c r="AJ1019" s="12" t="s">
        <v>5495</v>
      </c>
      <c r="AK1019" s="12" t="s">
        <v>4</v>
      </c>
    </row>
    <row r="1020" customFormat="false" ht="15" hidden="false" customHeight="false" outlineLevel="0" collapsed="false">
      <c r="A1020" s="11" t="n">
        <v>1019</v>
      </c>
      <c r="B1020" s="12" t="s">
        <v>5496</v>
      </c>
      <c r="C1020" s="12" t="s">
        <v>5397</v>
      </c>
      <c r="D1020" s="12" t="s">
        <v>5398</v>
      </c>
      <c r="E1020" s="12" t="s">
        <v>759</v>
      </c>
      <c r="F1020" s="12" t="s">
        <v>5497</v>
      </c>
      <c r="G1020" s="12" t="s">
        <v>771</v>
      </c>
      <c r="H1020" s="12" t="s">
        <v>5498</v>
      </c>
      <c r="I1020" s="12" t="s">
        <v>5499</v>
      </c>
      <c r="J1020" s="13" t="s">
        <v>5500</v>
      </c>
      <c r="K1020" s="12"/>
      <c r="L1020" s="12" t="s">
        <v>5501</v>
      </c>
      <c r="M1020" s="12" t="s">
        <v>5502</v>
      </c>
      <c r="N1020" s="12" t="s">
        <v>101</v>
      </c>
      <c r="O1020" s="12" t="s">
        <v>102</v>
      </c>
      <c r="P1020" s="12" t="s">
        <v>103</v>
      </c>
      <c r="Q1020" s="12" t="s">
        <v>104</v>
      </c>
      <c r="R1020" s="14" t="n">
        <v>210</v>
      </c>
      <c r="S1020" s="14" t="s">
        <v>105</v>
      </c>
      <c r="T1020" s="14" t="s">
        <v>5409</v>
      </c>
      <c r="U1020" s="14" t="n">
        <v>2026</v>
      </c>
      <c r="V1020" s="12" t="s">
        <v>198</v>
      </c>
      <c r="W1020" s="14"/>
      <c r="X1020" s="15" t="n">
        <f aca="false">IF(OR($S1020="%",$R1020=""),"",$R1020*INDEX(Cambi!$J$2:$J$5,MATCH($S1020,Cambi!$I$2:$I$5,0))/IF($T1020="EUR",1,INDEX(Cambi!$D:$D,MATCH($T1020&amp;"|"&amp;$U1020,Cambi!$C:$C,0))))</f>
        <v>245.100899870447</v>
      </c>
      <c r="Y1020" s="12" t="s">
        <v>108</v>
      </c>
      <c r="Z1020" s="12" t="s">
        <v>109</v>
      </c>
      <c r="AA1020" s="12" t="s">
        <v>109</v>
      </c>
      <c r="AB1020" s="16" t="s">
        <v>394</v>
      </c>
      <c r="AC1020" s="16" t="s">
        <v>1438</v>
      </c>
      <c r="AD1020" s="12" t="s">
        <v>112</v>
      </c>
      <c r="AE1020" s="12" t="s">
        <v>5503</v>
      </c>
      <c r="AF1020" s="12" t="s">
        <v>5504</v>
      </c>
      <c r="AG1020" s="12" t="s">
        <v>115</v>
      </c>
      <c r="AH1020" s="12" t="s">
        <v>116</v>
      </c>
      <c r="AI1020" s="12" t="s">
        <v>117</v>
      </c>
      <c r="AJ1020" s="12" t="s">
        <v>5505</v>
      </c>
      <c r="AK1020" s="12" t="s">
        <v>4</v>
      </c>
    </row>
    <row r="1021" customFormat="false" ht="15" hidden="false" customHeight="false" outlineLevel="0" collapsed="false">
      <c r="A1021" s="11" t="n">
        <v>1020</v>
      </c>
      <c r="B1021" s="12" t="s">
        <v>5506</v>
      </c>
      <c r="C1021" s="12" t="s">
        <v>5397</v>
      </c>
      <c r="D1021" s="12" t="s">
        <v>5398</v>
      </c>
      <c r="E1021" s="12" t="s">
        <v>759</v>
      </c>
      <c r="F1021" s="12" t="s">
        <v>5507</v>
      </c>
      <c r="G1021" s="12" t="s">
        <v>771</v>
      </c>
      <c r="H1021" s="12" t="s">
        <v>5508</v>
      </c>
      <c r="I1021" s="12" t="s">
        <v>5509</v>
      </c>
      <c r="J1021" s="13" t="s">
        <v>5510</v>
      </c>
      <c r="K1021" s="12"/>
      <c r="L1021" s="12" t="s">
        <v>5407</v>
      </c>
      <c r="M1021" s="12" t="s">
        <v>5511</v>
      </c>
      <c r="N1021" s="12" t="s">
        <v>956</v>
      </c>
      <c r="O1021" s="12" t="s">
        <v>102</v>
      </c>
      <c r="P1021" s="12" t="s">
        <v>103</v>
      </c>
      <c r="Q1021" s="12" t="s">
        <v>104</v>
      </c>
      <c r="R1021" s="14" t="n">
        <v>10462</v>
      </c>
      <c r="S1021" s="14" t="s">
        <v>105</v>
      </c>
      <c r="T1021" s="14" t="s">
        <v>5409</v>
      </c>
      <c r="U1021" s="14" t="n">
        <v>2022</v>
      </c>
      <c r="V1021" s="12" t="s">
        <v>157</v>
      </c>
      <c r="W1021" s="14" t="s">
        <v>5512</v>
      </c>
      <c r="X1021" s="15" t="n">
        <f aca="false">IF(OR($S1021="%",$R1021=""),"",$R1021*INDEX(Cambi!$J$2:$J$5,MATCH($S1021,Cambi!$I$2:$I$5,0))/IF($T1021="EUR",1,INDEX(Cambi!$D:$D,MATCH($T1021&amp;"|"&amp;$U1021,Cambi!$C:$C,0))))</f>
        <v>12268.3990806323</v>
      </c>
      <c r="Y1021" s="12" t="s">
        <v>109</v>
      </c>
      <c r="Z1021" s="12" t="s">
        <v>285</v>
      </c>
      <c r="AA1021" s="12" t="s">
        <v>5411</v>
      </c>
      <c r="AB1021" s="12" t="s">
        <v>679</v>
      </c>
      <c r="AC1021" s="12" t="s">
        <v>395</v>
      </c>
      <c r="AD1021" s="12" t="s">
        <v>166</v>
      </c>
      <c r="AE1021" s="12" t="s">
        <v>5412</v>
      </c>
      <c r="AF1021" s="12" t="s">
        <v>5513</v>
      </c>
      <c r="AG1021" s="12" t="s">
        <v>407</v>
      </c>
      <c r="AH1021" s="12" t="s">
        <v>116</v>
      </c>
      <c r="AI1021" s="12" t="s">
        <v>117</v>
      </c>
      <c r="AJ1021" s="12" t="s">
        <v>5514</v>
      </c>
      <c r="AK1021" s="12" t="s">
        <v>4</v>
      </c>
    </row>
    <row r="1022" customFormat="false" ht="15" hidden="false" customHeight="false" outlineLevel="0" collapsed="false">
      <c r="A1022" s="11" t="n">
        <v>1021</v>
      </c>
      <c r="B1022" s="12" t="s">
        <v>5506</v>
      </c>
      <c r="C1022" s="12" t="s">
        <v>5397</v>
      </c>
      <c r="D1022" s="12" t="s">
        <v>5398</v>
      </c>
      <c r="E1022" s="12" t="s">
        <v>759</v>
      </c>
      <c r="F1022" s="12" t="s">
        <v>5507</v>
      </c>
      <c r="G1022" s="12" t="s">
        <v>771</v>
      </c>
      <c r="H1022" s="12" t="s">
        <v>5508</v>
      </c>
      <c r="I1022" s="12" t="s">
        <v>5509</v>
      </c>
      <c r="J1022" s="13" t="s">
        <v>5510</v>
      </c>
      <c r="K1022" s="12"/>
      <c r="L1022" s="12" t="s">
        <v>5415</v>
      </c>
      <c r="M1022" s="12" t="s">
        <v>5515</v>
      </c>
      <c r="N1022" s="12" t="s">
        <v>956</v>
      </c>
      <c r="O1022" s="12" t="s">
        <v>102</v>
      </c>
      <c r="P1022" s="12" t="s">
        <v>103</v>
      </c>
      <c r="Q1022" s="12" t="s">
        <v>104</v>
      </c>
      <c r="R1022" s="14" t="n">
        <v>6.2</v>
      </c>
      <c r="S1022" s="14" t="s">
        <v>129</v>
      </c>
      <c r="T1022" s="14" t="s">
        <v>5409</v>
      </c>
      <c r="U1022" s="14" t="n">
        <v>2022</v>
      </c>
      <c r="V1022" s="12" t="s">
        <v>157</v>
      </c>
      <c r="W1022" s="14" t="s">
        <v>5516</v>
      </c>
      <c r="X1022" s="15" t="n">
        <f aca="false">IF(OR($S1022="%",$R1022=""),"",$R1022*INDEX(Cambi!$J$2:$J$5,MATCH($S1022,Cambi!$I$2:$I$5,0))/IF($T1022="EUR",1,INDEX(Cambi!$D:$D,MATCH($T1022&amp;"|"&amp;$U1022,Cambi!$C:$C,0))))</f>
        <v>7270.50987382147</v>
      </c>
      <c r="Y1022" s="12" t="s">
        <v>109</v>
      </c>
      <c r="Z1022" s="12" t="s">
        <v>285</v>
      </c>
      <c r="AA1022" s="12" t="s">
        <v>5411</v>
      </c>
      <c r="AB1022" s="12" t="s">
        <v>679</v>
      </c>
      <c r="AC1022" s="12" t="s">
        <v>395</v>
      </c>
      <c r="AD1022" s="12" t="s">
        <v>166</v>
      </c>
      <c r="AE1022" s="12" t="s">
        <v>5412</v>
      </c>
      <c r="AF1022" s="12" t="s">
        <v>5517</v>
      </c>
      <c r="AG1022" s="12" t="s">
        <v>407</v>
      </c>
      <c r="AH1022" s="12" t="s">
        <v>116</v>
      </c>
      <c r="AI1022" s="12" t="s">
        <v>117</v>
      </c>
      <c r="AJ1022" s="12" t="s">
        <v>5518</v>
      </c>
      <c r="AK1022" s="12" t="s">
        <v>4</v>
      </c>
    </row>
    <row r="1023" customFormat="false" ht="15" hidden="false" customHeight="false" outlineLevel="0" collapsed="false">
      <c r="A1023" s="11" t="n">
        <v>1022</v>
      </c>
      <c r="B1023" s="12" t="s">
        <v>5519</v>
      </c>
      <c r="C1023" s="12" t="s">
        <v>5397</v>
      </c>
      <c r="D1023" s="12" t="s">
        <v>5398</v>
      </c>
      <c r="E1023" s="12" t="s">
        <v>759</v>
      </c>
      <c r="F1023" s="12" t="s">
        <v>5507</v>
      </c>
      <c r="G1023" s="12" t="s">
        <v>771</v>
      </c>
      <c r="H1023" s="12" t="s">
        <v>5520</v>
      </c>
      <c r="I1023" s="12" t="s">
        <v>5521</v>
      </c>
      <c r="J1023" s="13" t="s">
        <v>5522</v>
      </c>
      <c r="K1023" s="12"/>
      <c r="L1023" s="12" t="s">
        <v>5407</v>
      </c>
      <c r="M1023" s="12" t="s">
        <v>5523</v>
      </c>
      <c r="N1023" s="12" t="s">
        <v>956</v>
      </c>
      <c r="O1023" s="12" t="s">
        <v>102</v>
      </c>
      <c r="P1023" s="12" t="s">
        <v>103</v>
      </c>
      <c r="Q1023" s="12" t="s">
        <v>104</v>
      </c>
      <c r="R1023" s="14" t="n">
        <v>11859</v>
      </c>
      <c r="S1023" s="14" t="s">
        <v>105</v>
      </c>
      <c r="T1023" s="14" t="s">
        <v>5409</v>
      </c>
      <c r="U1023" s="14" t="n">
        <v>2023</v>
      </c>
      <c r="V1023" s="12" t="s">
        <v>157</v>
      </c>
      <c r="W1023" s="14" t="s">
        <v>5524</v>
      </c>
      <c r="X1023" s="15" t="n">
        <f aca="false">IF(OR($S1023="%",$R1023=""),"",$R1023*INDEX(Cambi!$J$2:$J$5,MATCH($S1023,Cambi!$I$2:$I$5,0))/IF($T1023="EUR",1,INDEX(Cambi!$D:$D,MATCH($T1023&amp;"|"&amp;$U1023,Cambi!$C:$C,0))))</f>
        <v>13634.3255268513</v>
      </c>
      <c r="Y1023" s="12" t="s">
        <v>109</v>
      </c>
      <c r="Z1023" s="12" t="s">
        <v>285</v>
      </c>
      <c r="AA1023" s="12" t="s">
        <v>5411</v>
      </c>
      <c r="AB1023" s="12" t="s">
        <v>679</v>
      </c>
      <c r="AC1023" s="12" t="s">
        <v>395</v>
      </c>
      <c r="AD1023" s="12" t="s">
        <v>166</v>
      </c>
      <c r="AE1023" s="12" t="s">
        <v>5412</v>
      </c>
      <c r="AF1023" s="12" t="s">
        <v>5525</v>
      </c>
      <c r="AG1023" s="12" t="s">
        <v>407</v>
      </c>
      <c r="AH1023" s="12" t="s">
        <v>116</v>
      </c>
      <c r="AI1023" s="12" t="s">
        <v>117</v>
      </c>
      <c r="AJ1023" s="12" t="s">
        <v>5526</v>
      </c>
      <c r="AK1023" s="12" t="s">
        <v>4</v>
      </c>
    </row>
    <row r="1024" customFormat="false" ht="15" hidden="false" customHeight="false" outlineLevel="0" collapsed="false">
      <c r="A1024" s="11" t="n">
        <v>1023</v>
      </c>
      <c r="B1024" s="12" t="s">
        <v>5519</v>
      </c>
      <c r="C1024" s="12" t="s">
        <v>5397</v>
      </c>
      <c r="D1024" s="12" t="s">
        <v>5398</v>
      </c>
      <c r="E1024" s="12" t="s">
        <v>759</v>
      </c>
      <c r="F1024" s="12" t="s">
        <v>5507</v>
      </c>
      <c r="G1024" s="12" t="s">
        <v>771</v>
      </c>
      <c r="H1024" s="12" t="s">
        <v>5520</v>
      </c>
      <c r="I1024" s="12" t="s">
        <v>5521</v>
      </c>
      <c r="J1024" s="13" t="s">
        <v>5522</v>
      </c>
      <c r="K1024" s="12"/>
      <c r="L1024" s="12" t="s">
        <v>5415</v>
      </c>
      <c r="M1024" s="12" t="s">
        <v>5527</v>
      </c>
      <c r="N1024" s="12" t="s">
        <v>956</v>
      </c>
      <c r="O1024" s="12" t="s">
        <v>102</v>
      </c>
      <c r="P1024" s="12" t="s">
        <v>103</v>
      </c>
      <c r="Q1024" s="12" t="s">
        <v>104</v>
      </c>
      <c r="R1024" s="14" t="n">
        <v>6450</v>
      </c>
      <c r="S1024" s="14" t="s">
        <v>105</v>
      </c>
      <c r="T1024" s="14" t="s">
        <v>5409</v>
      </c>
      <c r="U1024" s="14" t="n">
        <v>2023</v>
      </c>
      <c r="V1024" s="12" t="s">
        <v>157</v>
      </c>
      <c r="W1024" s="14" t="s">
        <v>5528</v>
      </c>
      <c r="X1024" s="15" t="n">
        <f aca="false">IF(OR($S1024="%",$R1024=""),"",$R1024*INDEX(Cambi!$J$2:$J$5,MATCH($S1024,Cambi!$I$2:$I$5,0))/IF($T1024="EUR",1,INDEX(Cambi!$D:$D,MATCH($T1024&amp;"|"&amp;$U1024,Cambi!$C:$C,0))))</f>
        <v>7415.58307177595</v>
      </c>
      <c r="Y1024" s="12" t="s">
        <v>109</v>
      </c>
      <c r="Z1024" s="12" t="s">
        <v>285</v>
      </c>
      <c r="AA1024" s="12" t="s">
        <v>5411</v>
      </c>
      <c r="AB1024" s="12" t="s">
        <v>679</v>
      </c>
      <c r="AC1024" s="12" t="s">
        <v>395</v>
      </c>
      <c r="AD1024" s="12" t="s">
        <v>166</v>
      </c>
      <c r="AE1024" s="12" t="s">
        <v>5412</v>
      </c>
      <c r="AF1024" s="12" t="s">
        <v>5529</v>
      </c>
      <c r="AG1024" s="12" t="s">
        <v>407</v>
      </c>
      <c r="AH1024" s="12" t="s">
        <v>116</v>
      </c>
      <c r="AI1024" s="12" t="s">
        <v>117</v>
      </c>
      <c r="AJ1024" s="12" t="s">
        <v>5419</v>
      </c>
      <c r="AK1024" s="12" t="s">
        <v>4</v>
      </c>
    </row>
    <row r="1025" customFormat="false" ht="15" hidden="false" customHeight="false" outlineLevel="0" collapsed="false">
      <c r="A1025" s="11" t="n">
        <v>1024</v>
      </c>
      <c r="B1025" s="12" t="s">
        <v>5530</v>
      </c>
      <c r="C1025" s="12" t="s">
        <v>5397</v>
      </c>
      <c r="D1025" s="12" t="s">
        <v>5398</v>
      </c>
      <c r="E1025" s="12" t="s">
        <v>759</v>
      </c>
      <c r="F1025" s="12" t="s">
        <v>5507</v>
      </c>
      <c r="G1025" s="12" t="s">
        <v>771</v>
      </c>
      <c r="H1025" s="12" t="s">
        <v>5531</v>
      </c>
      <c r="I1025" s="12" t="s">
        <v>5532</v>
      </c>
      <c r="J1025" s="13" t="s">
        <v>5533</v>
      </c>
      <c r="K1025" s="12"/>
      <c r="L1025" s="12" t="s">
        <v>5407</v>
      </c>
      <c r="M1025" s="12" t="s">
        <v>5534</v>
      </c>
      <c r="N1025" s="12" t="s">
        <v>956</v>
      </c>
      <c r="O1025" s="12" t="s">
        <v>102</v>
      </c>
      <c r="P1025" s="12" t="s">
        <v>103</v>
      </c>
      <c r="Q1025" s="12" t="s">
        <v>104</v>
      </c>
      <c r="R1025" s="14" t="n">
        <v>13234</v>
      </c>
      <c r="S1025" s="14" t="s">
        <v>105</v>
      </c>
      <c r="T1025" s="14" t="s">
        <v>5409</v>
      </c>
      <c r="U1025" s="14" t="n">
        <v>2024</v>
      </c>
      <c r="V1025" s="12" t="s">
        <v>157</v>
      </c>
      <c r="W1025" s="14" t="s">
        <v>5535</v>
      </c>
      <c r="X1025" s="15" t="n">
        <f aca="false">IF(OR($S1025="%",$R1025=""),"",$R1025*INDEX(Cambi!$J$2:$J$5,MATCH($S1025,Cambi!$I$2:$I$5,0))/IF($T1025="EUR",1,INDEX(Cambi!$D:$D,MATCH($T1025&amp;"|"&amp;$U1025,Cambi!$C:$C,0))))</f>
        <v>15631.5702440292</v>
      </c>
      <c r="Y1025" s="12" t="s">
        <v>109</v>
      </c>
      <c r="Z1025" s="12" t="s">
        <v>285</v>
      </c>
      <c r="AA1025" s="12" t="s">
        <v>5411</v>
      </c>
      <c r="AB1025" s="12" t="s">
        <v>679</v>
      </c>
      <c r="AC1025" s="12" t="s">
        <v>395</v>
      </c>
      <c r="AD1025" s="12" t="s">
        <v>166</v>
      </c>
      <c r="AE1025" s="12" t="s">
        <v>5412</v>
      </c>
      <c r="AF1025" s="12" t="s">
        <v>5536</v>
      </c>
      <c r="AG1025" s="12" t="s">
        <v>407</v>
      </c>
      <c r="AH1025" s="12" t="s">
        <v>116</v>
      </c>
      <c r="AI1025" s="12" t="s">
        <v>117</v>
      </c>
      <c r="AJ1025" s="12" t="s">
        <v>5537</v>
      </c>
      <c r="AK1025" s="12" t="s">
        <v>4</v>
      </c>
    </row>
    <row r="1026" customFormat="false" ht="15" hidden="false" customHeight="false" outlineLevel="0" collapsed="false">
      <c r="A1026" s="11" t="n">
        <v>1025</v>
      </c>
      <c r="B1026" s="12" t="s">
        <v>5530</v>
      </c>
      <c r="C1026" s="12" t="s">
        <v>5397</v>
      </c>
      <c r="D1026" s="12" t="s">
        <v>5398</v>
      </c>
      <c r="E1026" s="12" t="s">
        <v>759</v>
      </c>
      <c r="F1026" s="12" t="s">
        <v>5507</v>
      </c>
      <c r="G1026" s="12" t="s">
        <v>771</v>
      </c>
      <c r="H1026" s="12" t="s">
        <v>5531</v>
      </c>
      <c r="I1026" s="12" t="s">
        <v>5532</v>
      </c>
      <c r="J1026" s="13" t="s">
        <v>5533</v>
      </c>
      <c r="K1026" s="12"/>
      <c r="L1026" s="12" t="s">
        <v>5415</v>
      </c>
      <c r="M1026" s="12" t="s">
        <v>5538</v>
      </c>
      <c r="N1026" s="12" t="s">
        <v>956</v>
      </c>
      <c r="O1026" s="12" t="s">
        <v>102</v>
      </c>
      <c r="P1026" s="12" t="s">
        <v>103</v>
      </c>
      <c r="Q1026" s="12" t="s">
        <v>104</v>
      </c>
      <c r="R1026" s="14" t="n">
        <v>7820</v>
      </c>
      <c r="S1026" s="14" t="s">
        <v>105</v>
      </c>
      <c r="T1026" s="14" t="s">
        <v>5409</v>
      </c>
      <c r="U1026" s="14" t="n">
        <v>2024</v>
      </c>
      <c r="V1026" s="12" t="s">
        <v>157</v>
      </c>
      <c r="W1026" s="14" t="s">
        <v>5539</v>
      </c>
      <c r="X1026" s="15" t="n">
        <f aca="false">IF(OR($S1026="%",$R1026=""),"",$R1026*INDEX(Cambi!$J$2:$J$5,MATCH($S1026,Cambi!$I$2:$I$5,0))/IF($T1026="EUR",1,INDEX(Cambi!$D:$D,MATCH($T1026&amp;"|"&amp;$U1026,Cambi!$C:$C,0))))</f>
        <v>9236.72958352035</v>
      </c>
      <c r="Y1026" s="12" t="s">
        <v>109</v>
      </c>
      <c r="Z1026" s="12" t="s">
        <v>285</v>
      </c>
      <c r="AA1026" s="12" t="s">
        <v>5411</v>
      </c>
      <c r="AB1026" s="12" t="s">
        <v>679</v>
      </c>
      <c r="AC1026" s="12" t="s">
        <v>395</v>
      </c>
      <c r="AD1026" s="12" t="s">
        <v>166</v>
      </c>
      <c r="AE1026" s="12" t="s">
        <v>5412</v>
      </c>
      <c r="AF1026" s="12" t="s">
        <v>5540</v>
      </c>
      <c r="AG1026" s="12" t="s">
        <v>407</v>
      </c>
      <c r="AH1026" s="12" t="s">
        <v>116</v>
      </c>
      <c r="AI1026" s="12" t="s">
        <v>117</v>
      </c>
      <c r="AJ1026" s="12" t="s">
        <v>5541</v>
      </c>
      <c r="AK1026" s="12" t="s">
        <v>4</v>
      </c>
    </row>
    <row r="1027" customFormat="false" ht="15" hidden="false" customHeight="false" outlineLevel="0" collapsed="false">
      <c r="A1027" s="11" t="n">
        <v>1026</v>
      </c>
      <c r="B1027" s="12" t="s">
        <v>5530</v>
      </c>
      <c r="C1027" s="12" t="s">
        <v>5397</v>
      </c>
      <c r="D1027" s="12" t="s">
        <v>5398</v>
      </c>
      <c r="E1027" s="12" t="s">
        <v>759</v>
      </c>
      <c r="F1027" s="12" t="s">
        <v>5507</v>
      </c>
      <c r="G1027" s="12" t="s">
        <v>771</v>
      </c>
      <c r="H1027" s="12" t="s">
        <v>5531</v>
      </c>
      <c r="I1027" s="12" t="s">
        <v>5532</v>
      </c>
      <c r="J1027" s="13" t="s">
        <v>5533</v>
      </c>
      <c r="K1027" s="12"/>
      <c r="L1027" s="12" t="s">
        <v>5542</v>
      </c>
      <c r="M1027" s="12" t="s">
        <v>5543</v>
      </c>
      <c r="N1027" s="12" t="s">
        <v>956</v>
      </c>
      <c r="O1027" s="12" t="s">
        <v>102</v>
      </c>
      <c r="P1027" s="12" t="s">
        <v>155</v>
      </c>
      <c r="Q1027" s="12" t="s">
        <v>5544</v>
      </c>
      <c r="R1027" s="14" t="n">
        <v>7.4</v>
      </c>
      <c r="S1027" s="14" t="s">
        <v>129</v>
      </c>
      <c r="T1027" s="14" t="s">
        <v>5409</v>
      </c>
      <c r="U1027" s="14" t="n">
        <v>2024</v>
      </c>
      <c r="V1027" s="12" t="s">
        <v>157</v>
      </c>
      <c r="W1027" s="14" t="s">
        <v>5545</v>
      </c>
      <c r="X1027" s="15" t="n">
        <f aca="false">IF(OR($S1027="%",$R1027=""),"",$R1027*INDEX(Cambi!$J$2:$J$5,MATCH($S1027,Cambi!$I$2:$I$5,0))/IF($T1027="EUR",1,INDEX(Cambi!$D:$D,MATCH($T1027&amp;"|"&amp;$U1027,Cambi!$C:$C,0))))</f>
        <v>8740.63924783256</v>
      </c>
      <c r="Y1027" s="12" t="s">
        <v>109</v>
      </c>
      <c r="Z1027" s="12" t="s">
        <v>285</v>
      </c>
      <c r="AA1027" s="12" t="s">
        <v>5411</v>
      </c>
      <c r="AB1027" s="12" t="s">
        <v>679</v>
      </c>
      <c r="AC1027" s="12" t="s">
        <v>395</v>
      </c>
      <c r="AD1027" s="12" t="s">
        <v>166</v>
      </c>
      <c r="AE1027" s="12" t="s">
        <v>5412</v>
      </c>
      <c r="AF1027" s="12" t="s">
        <v>5546</v>
      </c>
      <c r="AG1027" s="12" t="s">
        <v>407</v>
      </c>
      <c r="AH1027" s="12" t="s">
        <v>116</v>
      </c>
      <c r="AI1027" s="12" t="s">
        <v>117</v>
      </c>
      <c r="AJ1027" s="12" t="s">
        <v>5547</v>
      </c>
      <c r="AK1027" s="12" t="s">
        <v>4</v>
      </c>
    </row>
    <row r="1028" customFormat="false" ht="15" hidden="false" customHeight="false" outlineLevel="0" collapsed="false">
      <c r="A1028" s="11" t="n">
        <v>1027</v>
      </c>
      <c r="B1028" s="12" t="s">
        <v>5548</v>
      </c>
      <c r="C1028" s="12" t="s">
        <v>5397</v>
      </c>
      <c r="D1028" s="12" t="s">
        <v>5398</v>
      </c>
      <c r="E1028" s="12" t="s">
        <v>759</v>
      </c>
      <c r="F1028" s="12" t="s">
        <v>5507</v>
      </c>
      <c r="G1028" s="12" t="s">
        <v>771</v>
      </c>
      <c r="H1028" s="12" t="s">
        <v>5549</v>
      </c>
      <c r="I1028" s="12" t="s">
        <v>5550</v>
      </c>
      <c r="J1028" s="13" t="s">
        <v>5551</v>
      </c>
      <c r="K1028" s="12"/>
      <c r="L1028" s="12" t="s">
        <v>5407</v>
      </c>
      <c r="M1028" s="12" t="s">
        <v>5552</v>
      </c>
      <c r="N1028" s="12" t="s">
        <v>956</v>
      </c>
      <c r="O1028" s="12" t="s">
        <v>102</v>
      </c>
      <c r="P1028" s="12" t="s">
        <v>103</v>
      </c>
      <c r="Q1028" s="12" t="s">
        <v>104</v>
      </c>
      <c r="R1028" s="14" t="n">
        <v>14735</v>
      </c>
      <c r="S1028" s="14" t="s">
        <v>105</v>
      </c>
      <c r="T1028" s="14" t="s">
        <v>5409</v>
      </c>
      <c r="U1028" s="14" t="n">
        <v>2025</v>
      </c>
      <c r="V1028" s="12" t="s">
        <v>157</v>
      </c>
      <c r="W1028" s="14" t="s">
        <v>5553</v>
      </c>
      <c r="X1028" s="15" t="n">
        <f aca="false">IF(OR($S1028="%",$R1028=""),"",$R1028*INDEX(Cambi!$J$2:$J$5,MATCH($S1028,Cambi!$I$2:$I$5,0))/IF($T1028="EUR",1,INDEX(Cambi!$D:$D,MATCH($T1028&amp;"|"&amp;$U1028,Cambi!$C:$C,0))))</f>
        <v>17197.9131409097</v>
      </c>
      <c r="Y1028" s="12" t="s">
        <v>109</v>
      </c>
      <c r="Z1028" s="12" t="s">
        <v>285</v>
      </c>
      <c r="AA1028" s="12" t="s">
        <v>5411</v>
      </c>
      <c r="AB1028" s="12" t="s">
        <v>679</v>
      </c>
      <c r="AC1028" s="12" t="s">
        <v>395</v>
      </c>
      <c r="AD1028" s="12" t="s">
        <v>166</v>
      </c>
      <c r="AE1028" s="12" t="s">
        <v>5412</v>
      </c>
      <c r="AF1028" s="12" t="s">
        <v>5554</v>
      </c>
      <c r="AG1028" s="12" t="s">
        <v>407</v>
      </c>
      <c r="AH1028" s="12" t="s">
        <v>116</v>
      </c>
      <c r="AI1028" s="12" t="s">
        <v>117</v>
      </c>
      <c r="AJ1028" s="12" t="s">
        <v>5555</v>
      </c>
      <c r="AK1028" s="12" t="s">
        <v>4</v>
      </c>
    </row>
    <row r="1029" customFormat="false" ht="15" hidden="false" customHeight="false" outlineLevel="0" collapsed="false">
      <c r="A1029" s="11" t="n">
        <v>1028</v>
      </c>
      <c r="B1029" s="12" t="s">
        <v>5548</v>
      </c>
      <c r="C1029" s="12" t="s">
        <v>5397</v>
      </c>
      <c r="D1029" s="12" t="s">
        <v>5398</v>
      </c>
      <c r="E1029" s="12" t="s">
        <v>759</v>
      </c>
      <c r="F1029" s="12" t="s">
        <v>5507</v>
      </c>
      <c r="G1029" s="12" t="s">
        <v>771</v>
      </c>
      <c r="H1029" s="12" t="s">
        <v>5549</v>
      </c>
      <c r="I1029" s="12" t="s">
        <v>5550</v>
      </c>
      <c r="J1029" s="13" t="s">
        <v>5551</v>
      </c>
      <c r="K1029" s="12"/>
      <c r="L1029" s="12" t="s">
        <v>5415</v>
      </c>
      <c r="M1029" s="12" t="s">
        <v>5556</v>
      </c>
      <c r="N1029" s="12" t="s">
        <v>956</v>
      </c>
      <c r="O1029" s="12" t="s">
        <v>102</v>
      </c>
      <c r="P1029" s="12" t="s">
        <v>103</v>
      </c>
      <c r="Q1029" s="12" t="s">
        <v>104</v>
      </c>
      <c r="R1029" s="14" t="n">
        <v>9131</v>
      </c>
      <c r="S1029" s="14" t="s">
        <v>105</v>
      </c>
      <c r="T1029" s="14" t="s">
        <v>5409</v>
      </c>
      <c r="U1029" s="14" t="n">
        <v>2025</v>
      </c>
      <c r="V1029" s="12" t="s">
        <v>157</v>
      </c>
      <c r="W1029" s="14" t="s">
        <v>5557</v>
      </c>
      <c r="X1029" s="15" t="n">
        <f aca="false">IF(OR($S1029="%",$R1029=""),"",$R1029*INDEX(Cambi!$J$2:$J$5,MATCH($S1029,Cambi!$I$2:$I$5,0))/IF($T1029="EUR",1,INDEX(Cambi!$D:$D,MATCH($T1029&amp;"|"&amp;$U1029,Cambi!$C:$C,0))))</f>
        <v>10657.2205557955</v>
      </c>
      <c r="Y1029" s="12" t="s">
        <v>109</v>
      </c>
      <c r="Z1029" s="12" t="s">
        <v>285</v>
      </c>
      <c r="AA1029" s="12" t="s">
        <v>5411</v>
      </c>
      <c r="AB1029" s="12" t="s">
        <v>679</v>
      </c>
      <c r="AC1029" s="12" t="s">
        <v>395</v>
      </c>
      <c r="AD1029" s="12" t="s">
        <v>166</v>
      </c>
      <c r="AE1029" s="12" t="s">
        <v>5412</v>
      </c>
      <c r="AF1029" s="12" t="s">
        <v>5558</v>
      </c>
      <c r="AG1029" s="12" t="s">
        <v>407</v>
      </c>
      <c r="AH1029" s="12" t="s">
        <v>116</v>
      </c>
      <c r="AI1029" s="12" t="s">
        <v>117</v>
      </c>
      <c r="AJ1029" s="12" t="s">
        <v>5559</v>
      </c>
      <c r="AK1029" s="12" t="s">
        <v>4</v>
      </c>
    </row>
    <row r="1030" customFormat="false" ht="15" hidden="false" customHeight="false" outlineLevel="0" collapsed="false">
      <c r="A1030" s="11" t="n">
        <v>1029</v>
      </c>
      <c r="B1030" s="12" t="s">
        <v>5548</v>
      </c>
      <c r="C1030" s="12" t="s">
        <v>5397</v>
      </c>
      <c r="D1030" s="12" t="s">
        <v>5398</v>
      </c>
      <c r="E1030" s="12" t="s">
        <v>759</v>
      </c>
      <c r="F1030" s="12" t="s">
        <v>5507</v>
      </c>
      <c r="G1030" s="12" t="s">
        <v>771</v>
      </c>
      <c r="H1030" s="12" t="s">
        <v>5549</v>
      </c>
      <c r="I1030" s="12" t="s">
        <v>5550</v>
      </c>
      <c r="J1030" s="13" t="s">
        <v>5551</v>
      </c>
      <c r="K1030" s="12"/>
      <c r="L1030" s="12" t="s">
        <v>5542</v>
      </c>
      <c r="M1030" s="12" t="s">
        <v>5560</v>
      </c>
      <c r="N1030" s="12" t="s">
        <v>956</v>
      </c>
      <c r="O1030" s="12" t="s">
        <v>102</v>
      </c>
      <c r="P1030" s="12" t="s">
        <v>155</v>
      </c>
      <c r="Q1030" s="12" t="s">
        <v>5544</v>
      </c>
      <c r="R1030" s="14" t="n">
        <v>8.4</v>
      </c>
      <c r="S1030" s="14" t="s">
        <v>129</v>
      </c>
      <c r="T1030" s="14" t="s">
        <v>5409</v>
      </c>
      <c r="U1030" s="14" t="n">
        <v>2025</v>
      </c>
      <c r="V1030" s="12" t="s">
        <v>157</v>
      </c>
      <c r="W1030" s="14" t="s">
        <v>5561</v>
      </c>
      <c r="X1030" s="15" t="n">
        <f aca="false">IF(OR($S1030="%",$R1030=""),"",$R1030*INDEX(Cambi!$J$2:$J$5,MATCH($S1030,Cambi!$I$2:$I$5,0))/IF($T1030="EUR",1,INDEX(Cambi!$D:$D,MATCH($T1030&amp;"|"&amp;$U1030,Cambi!$C:$C,0))))</f>
        <v>9804.03599481787</v>
      </c>
      <c r="Y1030" s="12" t="s">
        <v>109</v>
      </c>
      <c r="Z1030" s="12" t="s">
        <v>285</v>
      </c>
      <c r="AA1030" s="12" t="s">
        <v>5411</v>
      </c>
      <c r="AB1030" s="12" t="s">
        <v>679</v>
      </c>
      <c r="AC1030" s="12" t="s">
        <v>395</v>
      </c>
      <c r="AD1030" s="12" t="s">
        <v>166</v>
      </c>
      <c r="AE1030" s="12" t="s">
        <v>5412</v>
      </c>
      <c r="AF1030" s="12" t="s">
        <v>5562</v>
      </c>
      <c r="AG1030" s="12" t="s">
        <v>407</v>
      </c>
      <c r="AH1030" s="12" t="s">
        <v>116</v>
      </c>
      <c r="AI1030" s="12" t="s">
        <v>117</v>
      </c>
      <c r="AJ1030" s="12" t="s">
        <v>266</v>
      </c>
      <c r="AK1030" s="12" t="s">
        <v>4</v>
      </c>
    </row>
    <row r="1031" customFormat="false" ht="15" hidden="false" customHeight="false" outlineLevel="0" collapsed="false">
      <c r="A1031" s="11" t="n">
        <v>1030</v>
      </c>
      <c r="B1031" s="12" t="s">
        <v>5548</v>
      </c>
      <c r="C1031" s="12" t="s">
        <v>5397</v>
      </c>
      <c r="D1031" s="12" t="s">
        <v>5398</v>
      </c>
      <c r="E1031" s="12" t="s">
        <v>759</v>
      </c>
      <c r="F1031" s="12" t="s">
        <v>5507</v>
      </c>
      <c r="G1031" s="12" t="s">
        <v>771</v>
      </c>
      <c r="H1031" s="12" t="s">
        <v>5549</v>
      </c>
      <c r="I1031" s="12" t="s">
        <v>5550</v>
      </c>
      <c r="J1031" s="13" t="s">
        <v>5551</v>
      </c>
      <c r="K1031" s="12"/>
      <c r="L1031" s="12" t="s">
        <v>5563</v>
      </c>
      <c r="M1031" s="12" t="s">
        <v>5564</v>
      </c>
      <c r="N1031" s="12" t="s">
        <v>956</v>
      </c>
      <c r="O1031" s="12" t="s">
        <v>102</v>
      </c>
      <c r="P1031" s="12" t="s">
        <v>856</v>
      </c>
      <c r="Q1031" s="12" t="s">
        <v>5565</v>
      </c>
      <c r="R1031" s="14" t="n">
        <v>10.4</v>
      </c>
      <c r="S1031" s="14" t="s">
        <v>129</v>
      </c>
      <c r="T1031" s="14" t="s">
        <v>5409</v>
      </c>
      <c r="U1031" s="14" t="n">
        <v>2025</v>
      </c>
      <c r="V1031" s="12" t="s">
        <v>157</v>
      </c>
      <c r="W1031" s="14"/>
      <c r="X1031" s="15" t="n">
        <f aca="false">IF(OR($S1031="%",$R1031=""),"",$R1031*INDEX(Cambi!$J$2:$J$5,MATCH($S1031,Cambi!$I$2:$I$5,0))/IF($T1031="EUR",1,INDEX(Cambi!$D:$D,MATCH($T1031&amp;"|"&amp;$U1031,Cambi!$C:$C,0))))</f>
        <v>12138.3302792983</v>
      </c>
      <c r="Y1031" s="12" t="s">
        <v>109</v>
      </c>
      <c r="Z1031" s="12" t="s">
        <v>285</v>
      </c>
      <c r="AA1031" s="12" t="s">
        <v>5411</v>
      </c>
      <c r="AB1031" s="12" t="s">
        <v>679</v>
      </c>
      <c r="AC1031" s="12" t="s">
        <v>395</v>
      </c>
      <c r="AD1031" s="12" t="s">
        <v>166</v>
      </c>
      <c r="AE1031" s="12" t="s">
        <v>5412</v>
      </c>
      <c r="AF1031" s="12" t="s">
        <v>5566</v>
      </c>
      <c r="AG1031" s="12" t="s">
        <v>407</v>
      </c>
      <c r="AH1031" s="12" t="s">
        <v>116</v>
      </c>
      <c r="AI1031" s="12" t="s">
        <v>117</v>
      </c>
      <c r="AJ1031" s="12" t="s">
        <v>5567</v>
      </c>
      <c r="AK1031" s="12" t="s">
        <v>4</v>
      </c>
    </row>
    <row r="1032" customFormat="false" ht="15" hidden="false" customHeight="false" outlineLevel="0" collapsed="false">
      <c r="A1032" s="11" t="n">
        <v>1031</v>
      </c>
      <c r="B1032" s="12" t="s">
        <v>5548</v>
      </c>
      <c r="C1032" s="12" t="s">
        <v>5397</v>
      </c>
      <c r="D1032" s="12" t="s">
        <v>5398</v>
      </c>
      <c r="E1032" s="12" t="s">
        <v>759</v>
      </c>
      <c r="F1032" s="12" t="s">
        <v>5507</v>
      </c>
      <c r="G1032" s="12" t="s">
        <v>771</v>
      </c>
      <c r="H1032" s="12" t="s">
        <v>5549</v>
      </c>
      <c r="I1032" s="12" t="s">
        <v>5550</v>
      </c>
      <c r="J1032" s="13" t="s">
        <v>5551</v>
      </c>
      <c r="K1032" s="12"/>
      <c r="L1032" s="12" t="s">
        <v>5563</v>
      </c>
      <c r="M1032" s="12" t="s">
        <v>5564</v>
      </c>
      <c r="N1032" s="12" t="s">
        <v>956</v>
      </c>
      <c r="O1032" s="12" t="s">
        <v>102</v>
      </c>
      <c r="P1032" s="12" t="s">
        <v>856</v>
      </c>
      <c r="Q1032" s="12" t="s">
        <v>5568</v>
      </c>
      <c r="R1032" s="14" t="n">
        <v>2.9</v>
      </c>
      <c r="S1032" s="14" t="s">
        <v>129</v>
      </c>
      <c r="T1032" s="14" t="s">
        <v>5409</v>
      </c>
      <c r="U1032" s="14" t="n">
        <v>2025</v>
      </c>
      <c r="V1032" s="12" t="s">
        <v>157</v>
      </c>
      <c r="W1032" s="14"/>
      <c r="X1032" s="15" t="n">
        <f aca="false">IF(OR($S1032="%",$R1032=""),"",$R1032*INDEX(Cambi!$J$2:$J$5,MATCH($S1032,Cambi!$I$2:$I$5,0))/IF($T1032="EUR",1,INDEX(Cambi!$D:$D,MATCH($T1032&amp;"|"&amp;$U1032,Cambi!$C:$C,0))))</f>
        <v>3384.72671249664</v>
      </c>
      <c r="Y1032" s="12" t="s">
        <v>109</v>
      </c>
      <c r="Z1032" s="12" t="s">
        <v>285</v>
      </c>
      <c r="AA1032" s="12" t="s">
        <v>5411</v>
      </c>
      <c r="AB1032" s="12" t="s">
        <v>679</v>
      </c>
      <c r="AC1032" s="12" t="s">
        <v>395</v>
      </c>
      <c r="AD1032" s="12" t="s">
        <v>166</v>
      </c>
      <c r="AE1032" s="12" t="s">
        <v>5412</v>
      </c>
      <c r="AF1032" s="12" t="s">
        <v>5569</v>
      </c>
      <c r="AG1032" s="12" t="s">
        <v>407</v>
      </c>
      <c r="AH1032" s="12" t="s">
        <v>116</v>
      </c>
      <c r="AI1032" s="12" t="s">
        <v>117</v>
      </c>
      <c r="AJ1032" s="12" t="s">
        <v>5567</v>
      </c>
      <c r="AK1032" s="12" t="s">
        <v>4</v>
      </c>
    </row>
    <row r="1033" customFormat="false" ht="15" hidden="false" customHeight="false" outlineLevel="0" collapsed="false">
      <c r="A1033" s="11" t="n">
        <v>1032</v>
      </c>
      <c r="B1033" s="12" t="s">
        <v>5548</v>
      </c>
      <c r="C1033" s="12" t="s">
        <v>5397</v>
      </c>
      <c r="D1033" s="12" t="s">
        <v>5398</v>
      </c>
      <c r="E1033" s="12" t="s">
        <v>759</v>
      </c>
      <c r="F1033" s="12" t="s">
        <v>5507</v>
      </c>
      <c r="G1033" s="12" t="s">
        <v>771</v>
      </c>
      <c r="H1033" s="12" t="s">
        <v>5549</v>
      </c>
      <c r="I1033" s="12" t="s">
        <v>5550</v>
      </c>
      <c r="J1033" s="13" t="s">
        <v>5551</v>
      </c>
      <c r="K1033" s="12"/>
      <c r="L1033" s="12" t="s">
        <v>5563</v>
      </c>
      <c r="M1033" s="12" t="s">
        <v>5564</v>
      </c>
      <c r="N1033" s="12" t="s">
        <v>956</v>
      </c>
      <c r="O1033" s="12" t="s">
        <v>102</v>
      </c>
      <c r="P1033" s="12" t="s">
        <v>856</v>
      </c>
      <c r="Q1033" s="12" t="s">
        <v>5570</v>
      </c>
      <c r="R1033" s="14" t="n">
        <v>1269</v>
      </c>
      <c r="S1033" s="14" t="s">
        <v>105</v>
      </c>
      <c r="T1033" s="14" t="s">
        <v>5409</v>
      </c>
      <c r="U1033" s="14" t="n">
        <v>2025</v>
      </c>
      <c r="V1033" s="12" t="s">
        <v>157</v>
      </c>
      <c r="W1033" s="14"/>
      <c r="X1033" s="15" t="n">
        <f aca="false">IF(OR($S1033="%",$R1033=""),"",$R1033*INDEX(Cambi!$J$2:$J$5,MATCH($S1033,Cambi!$I$2:$I$5,0))/IF($T1033="EUR",1,INDEX(Cambi!$D:$D,MATCH($T1033&amp;"|"&amp;$U1033,Cambi!$C:$C,0))))</f>
        <v>1481.10972350284</v>
      </c>
      <c r="Y1033" s="12" t="s">
        <v>109</v>
      </c>
      <c r="Z1033" s="12" t="s">
        <v>285</v>
      </c>
      <c r="AA1033" s="12" t="s">
        <v>5411</v>
      </c>
      <c r="AB1033" s="12" t="s">
        <v>679</v>
      </c>
      <c r="AC1033" s="12" t="s">
        <v>395</v>
      </c>
      <c r="AD1033" s="12" t="s">
        <v>166</v>
      </c>
      <c r="AE1033" s="12" t="s">
        <v>5412</v>
      </c>
      <c r="AF1033" s="12" t="s">
        <v>5571</v>
      </c>
      <c r="AG1033" s="12" t="s">
        <v>407</v>
      </c>
      <c r="AH1033" s="12" t="s">
        <v>116</v>
      </c>
      <c r="AI1033" s="12" t="s">
        <v>117</v>
      </c>
      <c r="AJ1033" s="12" t="s">
        <v>5567</v>
      </c>
      <c r="AK1033" s="12" t="s">
        <v>4</v>
      </c>
    </row>
    <row r="1034" customFormat="false" ht="15" hidden="false" customHeight="false" outlineLevel="0" collapsed="false">
      <c r="A1034" s="11" t="n">
        <v>1033</v>
      </c>
      <c r="B1034" s="12" t="s">
        <v>5548</v>
      </c>
      <c r="C1034" s="12" t="s">
        <v>5397</v>
      </c>
      <c r="D1034" s="12" t="s">
        <v>5398</v>
      </c>
      <c r="E1034" s="12" t="s">
        <v>759</v>
      </c>
      <c r="F1034" s="12" t="s">
        <v>5507</v>
      </c>
      <c r="G1034" s="12" t="s">
        <v>771</v>
      </c>
      <c r="H1034" s="12" t="s">
        <v>5549</v>
      </c>
      <c r="I1034" s="12" t="s">
        <v>5550</v>
      </c>
      <c r="J1034" s="13" t="s">
        <v>5551</v>
      </c>
      <c r="K1034" s="12"/>
      <c r="L1034" s="12" t="s">
        <v>5572</v>
      </c>
      <c r="M1034" s="12" t="s">
        <v>5573</v>
      </c>
      <c r="N1034" s="12" t="s">
        <v>956</v>
      </c>
      <c r="O1034" s="12" t="s">
        <v>102</v>
      </c>
      <c r="P1034" s="12" t="s">
        <v>155</v>
      </c>
      <c r="Q1034" s="12" t="s">
        <v>5574</v>
      </c>
      <c r="R1034" s="14" t="n">
        <v>6.4</v>
      </c>
      <c r="S1034" s="14" t="s">
        <v>129</v>
      </c>
      <c r="T1034" s="14" t="s">
        <v>5409</v>
      </c>
      <c r="U1034" s="14" t="n">
        <v>2025</v>
      </c>
      <c r="V1034" s="12" t="s">
        <v>157</v>
      </c>
      <c r="W1034" s="14" t="s">
        <v>5575</v>
      </c>
      <c r="X1034" s="15" t="n">
        <f aca="false">IF(OR($S1034="%",$R1034=""),"",$R1034*INDEX(Cambi!$J$2:$J$5,MATCH($S1034,Cambi!$I$2:$I$5,0))/IF($T1034="EUR",1,INDEX(Cambi!$D:$D,MATCH($T1034&amp;"|"&amp;$U1034,Cambi!$C:$C,0))))</f>
        <v>7469.74171033742</v>
      </c>
      <c r="Y1034" s="12" t="s">
        <v>109</v>
      </c>
      <c r="Z1034" s="12" t="s">
        <v>285</v>
      </c>
      <c r="AA1034" s="12" t="s">
        <v>5411</v>
      </c>
      <c r="AB1034" s="12" t="s">
        <v>679</v>
      </c>
      <c r="AC1034" s="12" t="s">
        <v>395</v>
      </c>
      <c r="AD1034" s="12" t="s">
        <v>166</v>
      </c>
      <c r="AE1034" s="12" t="s">
        <v>5412</v>
      </c>
      <c r="AF1034" s="12" t="s">
        <v>5576</v>
      </c>
      <c r="AG1034" s="12" t="s">
        <v>407</v>
      </c>
      <c r="AH1034" s="12" t="s">
        <v>116</v>
      </c>
      <c r="AI1034" s="12" t="s">
        <v>117</v>
      </c>
      <c r="AJ1034" s="12" t="s">
        <v>5577</v>
      </c>
      <c r="AK1034" s="12" t="s">
        <v>4</v>
      </c>
    </row>
    <row r="1035" customFormat="false" ht="15" hidden="false" customHeight="false" outlineLevel="0" collapsed="false">
      <c r="A1035" s="11" t="n">
        <v>1034</v>
      </c>
      <c r="B1035" s="12" t="s">
        <v>5578</v>
      </c>
      <c r="C1035" s="12" t="s">
        <v>5397</v>
      </c>
      <c r="D1035" s="12" t="s">
        <v>5398</v>
      </c>
      <c r="E1035" s="12" t="s">
        <v>759</v>
      </c>
      <c r="F1035" s="12" t="s">
        <v>5579</v>
      </c>
      <c r="G1035" s="12" t="s">
        <v>830</v>
      </c>
      <c r="H1035" s="12" t="s">
        <v>5580</v>
      </c>
      <c r="I1035" s="12" t="s">
        <v>847</v>
      </c>
      <c r="J1035" s="13" t="s">
        <v>5581</v>
      </c>
      <c r="K1035" s="12"/>
      <c r="L1035" s="12" t="s">
        <v>5582</v>
      </c>
      <c r="M1035" s="12" t="s">
        <v>5583</v>
      </c>
      <c r="N1035" s="12" t="s">
        <v>352</v>
      </c>
      <c r="O1035" s="12" t="s">
        <v>102</v>
      </c>
      <c r="P1035" s="12" t="s">
        <v>103</v>
      </c>
      <c r="Q1035" s="12" t="s">
        <v>104</v>
      </c>
      <c r="R1035" s="14" t="n">
        <v>11.55</v>
      </c>
      <c r="S1035" s="14" t="s">
        <v>129</v>
      </c>
      <c r="T1035" s="14" t="s">
        <v>653</v>
      </c>
      <c r="U1035" s="14" t="n">
        <v>2026</v>
      </c>
      <c r="V1035" s="12" t="s">
        <v>198</v>
      </c>
      <c r="W1035" s="14"/>
      <c r="X1035" s="15" t="n">
        <f aca="false">IF(OR($S1035="%",$R1035=""),"",$R1035*INDEX(Cambi!$J$2:$J$5,MATCH($S1035,Cambi!$I$2:$I$5,0))/IF($T1035="EUR",1,INDEX(Cambi!$D:$D,MATCH($T1035&amp;"|"&amp;$U1035,Cambi!$C:$C,0))))</f>
        <v>10221.2389380531</v>
      </c>
      <c r="Y1035" s="12" t="s">
        <v>109</v>
      </c>
      <c r="Z1035" s="12" t="s">
        <v>109</v>
      </c>
      <c r="AA1035" s="12" t="s">
        <v>109</v>
      </c>
      <c r="AB1035" s="16" t="s">
        <v>110</v>
      </c>
      <c r="AC1035" s="16" t="s">
        <v>836</v>
      </c>
      <c r="AD1035" s="12" t="s">
        <v>112</v>
      </c>
      <c r="AE1035" s="12" t="s">
        <v>282</v>
      </c>
      <c r="AF1035" s="12" t="s">
        <v>5584</v>
      </c>
      <c r="AG1035" s="12" t="s">
        <v>284</v>
      </c>
      <c r="AH1035" s="12" t="s">
        <v>838</v>
      </c>
      <c r="AI1035" s="12" t="s">
        <v>117</v>
      </c>
      <c r="AJ1035" s="12" t="s">
        <v>5585</v>
      </c>
      <c r="AK1035" s="12" t="s">
        <v>4</v>
      </c>
    </row>
    <row r="1036" customFormat="false" ht="15" hidden="false" customHeight="false" outlineLevel="0" collapsed="false">
      <c r="A1036" s="11" t="n">
        <v>1035</v>
      </c>
      <c r="B1036" s="12" t="s">
        <v>5586</v>
      </c>
      <c r="C1036" s="12" t="s">
        <v>5397</v>
      </c>
      <c r="D1036" s="12" t="s">
        <v>5398</v>
      </c>
      <c r="E1036" s="12" t="s">
        <v>759</v>
      </c>
      <c r="F1036" s="12" t="s">
        <v>5587</v>
      </c>
      <c r="G1036" s="12" t="s">
        <v>830</v>
      </c>
      <c r="H1036" s="12" t="s">
        <v>5588</v>
      </c>
      <c r="I1036" s="12" t="s">
        <v>5589</v>
      </c>
      <c r="J1036" s="13" t="s">
        <v>5590</v>
      </c>
      <c r="K1036" s="12"/>
      <c r="L1036" s="12" t="s">
        <v>5591</v>
      </c>
      <c r="M1036" s="12" t="s">
        <v>5592</v>
      </c>
      <c r="N1036" s="12" t="s">
        <v>352</v>
      </c>
      <c r="O1036" s="12" t="s">
        <v>102</v>
      </c>
      <c r="P1036" s="12" t="s">
        <v>155</v>
      </c>
      <c r="Q1036" s="12" t="s">
        <v>787</v>
      </c>
      <c r="R1036" s="14" t="n">
        <v>5228.8</v>
      </c>
      <c r="S1036" s="14" t="s">
        <v>105</v>
      </c>
      <c r="T1036" s="14" t="s">
        <v>653</v>
      </c>
      <c r="U1036" s="14" t="n">
        <v>2024</v>
      </c>
      <c r="V1036" s="12" t="s">
        <v>157</v>
      </c>
      <c r="W1036" s="14" t="s">
        <v>5593</v>
      </c>
      <c r="X1036" s="15" t="n">
        <f aca="false">IF(OR($S1036="%",$R1036=""),"",$R1036*INDEX(Cambi!$J$2:$J$5,MATCH($S1036,Cambi!$I$2:$I$5,0))/IF($T1036="EUR",1,INDEX(Cambi!$D:$D,MATCH($T1036&amp;"|"&amp;$U1036,Cambi!$C:$C,0))))</f>
        <v>4830.74648928308</v>
      </c>
      <c r="Y1036" s="12" t="s">
        <v>109</v>
      </c>
      <c r="Z1036" s="12" t="s">
        <v>109</v>
      </c>
      <c r="AA1036" s="12" t="s">
        <v>2112</v>
      </c>
      <c r="AB1036" s="16" t="s">
        <v>110</v>
      </c>
      <c r="AC1036" s="16" t="s">
        <v>836</v>
      </c>
      <c r="AD1036" s="12" t="s">
        <v>112</v>
      </c>
      <c r="AE1036" s="12" t="s">
        <v>282</v>
      </c>
      <c r="AF1036" s="12" t="s">
        <v>5594</v>
      </c>
      <c r="AG1036" s="12" t="s">
        <v>284</v>
      </c>
      <c r="AH1036" s="12" t="s">
        <v>838</v>
      </c>
      <c r="AI1036" s="12" t="s">
        <v>117</v>
      </c>
      <c r="AJ1036" s="12" t="s">
        <v>839</v>
      </c>
      <c r="AK1036" s="12" t="s">
        <v>4</v>
      </c>
    </row>
    <row r="1037" customFormat="false" ht="15" hidden="false" customHeight="false" outlineLevel="0" collapsed="false">
      <c r="A1037" s="11" t="n">
        <v>1036</v>
      </c>
      <c r="B1037" s="12" t="s">
        <v>5586</v>
      </c>
      <c r="C1037" s="12" t="s">
        <v>5397</v>
      </c>
      <c r="D1037" s="12" t="s">
        <v>5398</v>
      </c>
      <c r="E1037" s="12" t="s">
        <v>759</v>
      </c>
      <c r="F1037" s="12" t="s">
        <v>5587</v>
      </c>
      <c r="G1037" s="12" t="s">
        <v>830</v>
      </c>
      <c r="H1037" s="12" t="s">
        <v>5588</v>
      </c>
      <c r="I1037" s="12" t="s">
        <v>5589</v>
      </c>
      <c r="J1037" s="13" t="s">
        <v>5590</v>
      </c>
      <c r="K1037" s="12"/>
      <c r="L1037" s="12" t="s">
        <v>5595</v>
      </c>
      <c r="M1037" s="12" t="s">
        <v>5596</v>
      </c>
      <c r="N1037" s="12" t="s">
        <v>352</v>
      </c>
      <c r="O1037" s="12" t="s">
        <v>102</v>
      </c>
      <c r="P1037" s="12" t="s">
        <v>155</v>
      </c>
      <c r="Q1037" s="12" t="s">
        <v>787</v>
      </c>
      <c r="R1037" s="14" t="n">
        <v>11326.5</v>
      </c>
      <c r="S1037" s="14" t="s">
        <v>105</v>
      </c>
      <c r="T1037" s="14" t="s">
        <v>653</v>
      </c>
      <c r="U1037" s="14" t="n">
        <v>2030</v>
      </c>
      <c r="V1037" s="12" t="s">
        <v>107</v>
      </c>
      <c r="W1037" s="14" t="s">
        <v>5593</v>
      </c>
      <c r="X1037" s="15" t="n">
        <f aca="false">IF(OR($S1037="%",$R1037=""),"",$R1037*INDEX(Cambi!$J$2:$J$5,MATCH($S1037,Cambi!$I$2:$I$5,0))/IF($T1037="EUR",1,INDEX(Cambi!$D:$D,MATCH($T1037&amp;"|"&amp;$U1037,Cambi!$C:$C,0))))</f>
        <v>10023.4513274336</v>
      </c>
      <c r="Y1037" s="12" t="s">
        <v>109</v>
      </c>
      <c r="Z1037" s="12" t="s">
        <v>109</v>
      </c>
      <c r="AA1037" s="12" t="s">
        <v>2112</v>
      </c>
      <c r="AB1037" s="16" t="s">
        <v>110</v>
      </c>
      <c r="AC1037" s="16" t="s">
        <v>836</v>
      </c>
      <c r="AD1037" s="12" t="s">
        <v>112</v>
      </c>
      <c r="AE1037" s="12" t="s">
        <v>282</v>
      </c>
      <c r="AF1037" s="12" t="s">
        <v>5597</v>
      </c>
      <c r="AG1037" s="12" t="s">
        <v>284</v>
      </c>
      <c r="AH1037" s="12" t="s">
        <v>838</v>
      </c>
      <c r="AI1037" s="12" t="s">
        <v>117</v>
      </c>
      <c r="AJ1037" s="12" t="s">
        <v>5598</v>
      </c>
      <c r="AK1037" s="12" t="s">
        <v>4</v>
      </c>
    </row>
    <row r="1038" customFormat="false" ht="15" hidden="false" customHeight="false" outlineLevel="0" collapsed="false">
      <c r="A1038" s="11" t="n">
        <v>1037</v>
      </c>
      <c r="B1038" s="12" t="s">
        <v>5599</v>
      </c>
      <c r="C1038" s="12" t="s">
        <v>5397</v>
      </c>
      <c r="D1038" s="12" t="s">
        <v>5398</v>
      </c>
      <c r="E1038" s="12" t="s">
        <v>759</v>
      </c>
      <c r="F1038" s="12" t="s">
        <v>5587</v>
      </c>
      <c r="G1038" s="12" t="s">
        <v>830</v>
      </c>
      <c r="H1038" s="12" t="s">
        <v>5600</v>
      </c>
      <c r="I1038" s="12" t="s">
        <v>847</v>
      </c>
      <c r="J1038" s="13" t="s">
        <v>5601</v>
      </c>
      <c r="K1038" s="12"/>
      <c r="L1038" s="12" t="s">
        <v>5602</v>
      </c>
      <c r="M1038" s="12" t="s">
        <v>5603</v>
      </c>
      <c r="N1038" s="12" t="s">
        <v>352</v>
      </c>
      <c r="O1038" s="12" t="s">
        <v>102</v>
      </c>
      <c r="P1038" s="12" t="s">
        <v>103</v>
      </c>
      <c r="Q1038" s="12" t="s">
        <v>104</v>
      </c>
      <c r="R1038" s="14" t="n">
        <v>14820</v>
      </c>
      <c r="S1038" s="14" t="s">
        <v>105</v>
      </c>
      <c r="T1038" s="14" t="s">
        <v>653</v>
      </c>
      <c r="U1038" s="14" t="n">
        <v>2025</v>
      </c>
      <c r="V1038" s="12" t="s">
        <v>157</v>
      </c>
      <c r="W1038" s="14" t="s">
        <v>5604</v>
      </c>
      <c r="X1038" s="15" t="n">
        <f aca="false">IF(OR($S1038="%",$R1038=""),"",$R1038*INDEX(Cambi!$J$2:$J$5,MATCH($S1038,Cambi!$I$2:$I$5,0))/IF($T1038="EUR",1,INDEX(Cambi!$D:$D,MATCH($T1038&amp;"|"&amp;$U1038,Cambi!$C:$C,0))))</f>
        <v>13115.0442477876</v>
      </c>
      <c r="Y1038" s="12" t="s">
        <v>109</v>
      </c>
      <c r="Z1038" s="12" t="s">
        <v>109</v>
      </c>
      <c r="AA1038" s="12" t="s">
        <v>109</v>
      </c>
      <c r="AB1038" s="16" t="s">
        <v>110</v>
      </c>
      <c r="AC1038" s="16" t="s">
        <v>836</v>
      </c>
      <c r="AD1038" s="12" t="s">
        <v>112</v>
      </c>
      <c r="AE1038" s="12" t="s">
        <v>282</v>
      </c>
      <c r="AF1038" s="12" t="s">
        <v>5605</v>
      </c>
      <c r="AG1038" s="12" t="s">
        <v>284</v>
      </c>
      <c r="AH1038" s="12" t="s">
        <v>838</v>
      </c>
      <c r="AI1038" s="12" t="s">
        <v>117</v>
      </c>
      <c r="AJ1038" s="12" t="s">
        <v>1904</v>
      </c>
      <c r="AK1038" s="12" t="s">
        <v>4</v>
      </c>
    </row>
    <row r="1039" customFormat="false" ht="15" hidden="false" customHeight="false" outlineLevel="0" collapsed="false">
      <c r="A1039" s="11" t="n">
        <v>1038</v>
      </c>
      <c r="B1039" s="12" t="s">
        <v>5599</v>
      </c>
      <c r="C1039" s="12" t="s">
        <v>5397</v>
      </c>
      <c r="D1039" s="12" t="s">
        <v>5398</v>
      </c>
      <c r="E1039" s="12" t="s">
        <v>759</v>
      </c>
      <c r="F1039" s="12" t="s">
        <v>5587</v>
      </c>
      <c r="G1039" s="12" t="s">
        <v>830</v>
      </c>
      <c r="H1039" s="12" t="s">
        <v>5600</v>
      </c>
      <c r="I1039" s="12" t="s">
        <v>847</v>
      </c>
      <c r="J1039" s="13" t="s">
        <v>5601</v>
      </c>
      <c r="K1039" s="12"/>
      <c r="L1039" s="12" t="s">
        <v>5606</v>
      </c>
      <c r="M1039" s="12" t="s">
        <v>5607</v>
      </c>
      <c r="N1039" s="12" t="s">
        <v>352</v>
      </c>
      <c r="O1039" s="12" t="s">
        <v>102</v>
      </c>
      <c r="P1039" s="12" t="s">
        <v>103</v>
      </c>
      <c r="Q1039" s="12" t="s">
        <v>104</v>
      </c>
      <c r="R1039" s="14" t="n">
        <v>37221.3</v>
      </c>
      <c r="S1039" s="14" t="s">
        <v>105</v>
      </c>
      <c r="T1039" s="14" t="s">
        <v>653</v>
      </c>
      <c r="U1039" s="14" t="n">
        <v>2033</v>
      </c>
      <c r="V1039" s="12" t="s">
        <v>107</v>
      </c>
      <c r="W1039" s="14" t="s">
        <v>5604</v>
      </c>
      <c r="X1039" s="15" t="n">
        <f aca="false">IF(OR($S1039="%",$R1039=""),"",$R1039*INDEX(Cambi!$J$2:$J$5,MATCH($S1039,Cambi!$I$2:$I$5,0))/IF($T1039="EUR",1,INDEX(Cambi!$D:$D,MATCH($T1039&amp;"|"&amp;$U1039,Cambi!$C:$C,0))))</f>
        <v>32939.203539823</v>
      </c>
      <c r="Y1039" s="12" t="s">
        <v>109</v>
      </c>
      <c r="Z1039" s="12" t="s">
        <v>109</v>
      </c>
      <c r="AA1039" s="12" t="s">
        <v>109</v>
      </c>
      <c r="AB1039" s="16" t="s">
        <v>110</v>
      </c>
      <c r="AC1039" s="16" t="s">
        <v>836</v>
      </c>
      <c r="AD1039" s="12" t="s">
        <v>112</v>
      </c>
      <c r="AE1039" s="12" t="s">
        <v>282</v>
      </c>
      <c r="AF1039" s="12" t="s">
        <v>5608</v>
      </c>
      <c r="AG1039" s="12" t="s">
        <v>284</v>
      </c>
      <c r="AH1039" s="12" t="s">
        <v>838</v>
      </c>
      <c r="AI1039" s="12" t="s">
        <v>117</v>
      </c>
      <c r="AJ1039" s="12" t="s">
        <v>5609</v>
      </c>
      <c r="AK1039" s="12" t="s">
        <v>4</v>
      </c>
    </row>
    <row r="1040" customFormat="false" ht="15" hidden="false" customHeight="false" outlineLevel="0" collapsed="false">
      <c r="A1040" s="11" t="n">
        <v>1039</v>
      </c>
      <c r="B1040" s="12" t="s">
        <v>5610</v>
      </c>
      <c r="C1040" s="12" t="s">
        <v>5397</v>
      </c>
      <c r="D1040" s="12" t="s">
        <v>5398</v>
      </c>
      <c r="E1040" s="12" t="s">
        <v>759</v>
      </c>
      <c r="F1040" s="12" t="s">
        <v>5611</v>
      </c>
      <c r="G1040" s="12" t="s">
        <v>771</v>
      </c>
      <c r="H1040" s="12" t="s">
        <v>5612</v>
      </c>
      <c r="I1040" s="12" t="s">
        <v>5613</v>
      </c>
      <c r="J1040" s="13" t="s">
        <v>5614</v>
      </c>
      <c r="K1040" s="12"/>
      <c r="L1040" s="12" t="s">
        <v>5615</v>
      </c>
      <c r="M1040" s="12" t="s">
        <v>5616</v>
      </c>
      <c r="N1040" s="12" t="s">
        <v>101</v>
      </c>
      <c r="O1040" s="12" t="s">
        <v>102</v>
      </c>
      <c r="P1040" s="12" t="s">
        <v>103</v>
      </c>
      <c r="Q1040" s="12" t="s">
        <v>104</v>
      </c>
      <c r="R1040" s="14" t="n">
        <v>114</v>
      </c>
      <c r="S1040" s="14" t="s">
        <v>105</v>
      </c>
      <c r="T1040" s="14" t="s">
        <v>5409</v>
      </c>
      <c r="U1040" s="14" t="n">
        <v>2025</v>
      </c>
      <c r="V1040" s="12" t="s">
        <v>157</v>
      </c>
      <c r="W1040" s="14"/>
      <c r="X1040" s="15" t="n">
        <f aca="false">IF(OR($S1040="%",$R1040=""),"",$R1040*INDEX(Cambi!$J$2:$J$5,MATCH($S1040,Cambi!$I$2:$I$5,0))/IF($T1040="EUR",1,INDEX(Cambi!$D:$D,MATCH($T1040&amp;"|"&amp;$U1040,Cambi!$C:$C,0))))</f>
        <v>133.054774215385</v>
      </c>
      <c r="Y1040" s="12" t="s">
        <v>654</v>
      </c>
      <c r="Z1040" s="12" t="s">
        <v>109</v>
      </c>
      <c r="AA1040" s="12" t="s">
        <v>109</v>
      </c>
      <c r="AB1040" s="16" t="s">
        <v>394</v>
      </c>
      <c r="AC1040" s="16" t="s">
        <v>1438</v>
      </c>
      <c r="AD1040" s="12" t="s">
        <v>112</v>
      </c>
      <c r="AE1040" s="12" t="s">
        <v>5617</v>
      </c>
      <c r="AF1040" s="12" t="s">
        <v>5618</v>
      </c>
      <c r="AG1040" s="12" t="s">
        <v>115</v>
      </c>
      <c r="AH1040" s="12" t="s">
        <v>116</v>
      </c>
      <c r="AI1040" s="12" t="s">
        <v>117</v>
      </c>
      <c r="AJ1040" s="12" t="s">
        <v>5619</v>
      </c>
      <c r="AK1040" s="12" t="s">
        <v>4</v>
      </c>
    </row>
    <row r="1041" customFormat="false" ht="15" hidden="false" customHeight="false" outlineLevel="0" collapsed="false">
      <c r="A1041" s="11" t="n">
        <v>1040</v>
      </c>
      <c r="B1041" s="12" t="s">
        <v>5610</v>
      </c>
      <c r="C1041" s="12" t="s">
        <v>5397</v>
      </c>
      <c r="D1041" s="12" t="s">
        <v>5398</v>
      </c>
      <c r="E1041" s="12" t="s">
        <v>759</v>
      </c>
      <c r="F1041" s="12" t="s">
        <v>5611</v>
      </c>
      <c r="G1041" s="12" t="s">
        <v>771</v>
      </c>
      <c r="H1041" s="12" t="s">
        <v>5612</v>
      </c>
      <c r="I1041" s="12" t="s">
        <v>5613</v>
      </c>
      <c r="J1041" s="13" t="s">
        <v>5614</v>
      </c>
      <c r="K1041" s="12"/>
      <c r="L1041" s="12" t="s">
        <v>5620</v>
      </c>
      <c r="M1041" s="12" t="s">
        <v>5621</v>
      </c>
      <c r="N1041" s="12" t="s">
        <v>101</v>
      </c>
      <c r="O1041" s="12" t="s">
        <v>102</v>
      </c>
      <c r="P1041" s="12" t="s">
        <v>103</v>
      </c>
      <c r="Q1041" s="12" t="s">
        <v>104</v>
      </c>
      <c r="R1041" s="14" t="n">
        <v>2.6</v>
      </c>
      <c r="S1041" s="14" t="s">
        <v>129</v>
      </c>
      <c r="T1041" s="14" t="s">
        <v>5409</v>
      </c>
      <c r="U1041" s="14" t="n">
        <v>2025</v>
      </c>
      <c r="V1041" s="12" t="s">
        <v>157</v>
      </c>
      <c r="W1041" s="14"/>
      <c r="X1041" s="15" t="n">
        <f aca="false">IF(OR($S1041="%",$R1041=""),"",$R1041*INDEX(Cambi!$J$2:$J$5,MATCH($S1041,Cambi!$I$2:$I$5,0))/IF($T1041="EUR",1,INDEX(Cambi!$D:$D,MATCH($T1041&amp;"|"&amp;$U1041,Cambi!$C:$C,0))))</f>
        <v>3034.58256982458</v>
      </c>
      <c r="Y1041" s="12" t="s">
        <v>654</v>
      </c>
      <c r="Z1041" s="12" t="s">
        <v>109</v>
      </c>
      <c r="AA1041" s="12" t="s">
        <v>109</v>
      </c>
      <c r="AB1041" s="16" t="s">
        <v>394</v>
      </c>
      <c r="AC1041" s="16" t="s">
        <v>1438</v>
      </c>
      <c r="AD1041" s="12" t="s">
        <v>112</v>
      </c>
      <c r="AE1041" s="12" t="s">
        <v>5617</v>
      </c>
      <c r="AF1041" s="12" t="s">
        <v>5622</v>
      </c>
      <c r="AG1041" s="12" t="s">
        <v>115</v>
      </c>
      <c r="AH1041" s="12" t="s">
        <v>116</v>
      </c>
      <c r="AI1041" s="12" t="s">
        <v>117</v>
      </c>
      <c r="AJ1041" s="12" t="s">
        <v>5623</v>
      </c>
      <c r="AK1041" s="12" t="s">
        <v>4</v>
      </c>
    </row>
    <row r="1042" customFormat="false" ht="15" hidden="false" customHeight="false" outlineLevel="0" collapsed="false">
      <c r="A1042" s="11" t="n">
        <v>1041</v>
      </c>
      <c r="B1042" s="12" t="s">
        <v>5624</v>
      </c>
      <c r="C1042" s="12" t="s">
        <v>5397</v>
      </c>
      <c r="D1042" s="12" t="s">
        <v>5398</v>
      </c>
      <c r="E1042" s="12" t="s">
        <v>759</v>
      </c>
      <c r="F1042" s="12" t="s">
        <v>5611</v>
      </c>
      <c r="G1042" s="12" t="s">
        <v>771</v>
      </c>
      <c r="H1042" s="12" t="s">
        <v>5625</v>
      </c>
      <c r="I1042" s="12" t="s">
        <v>5626</v>
      </c>
      <c r="J1042" s="13" t="s">
        <v>5627</v>
      </c>
      <c r="K1042" s="12"/>
      <c r="L1042" s="12" t="s">
        <v>5628</v>
      </c>
      <c r="M1042" s="12" t="s">
        <v>5629</v>
      </c>
      <c r="N1042" s="12" t="s">
        <v>101</v>
      </c>
      <c r="O1042" s="12" t="s">
        <v>102</v>
      </c>
      <c r="P1042" s="12" t="s">
        <v>103</v>
      </c>
      <c r="Q1042" s="12" t="s">
        <v>104</v>
      </c>
      <c r="R1042" s="14" t="n">
        <v>1.9</v>
      </c>
      <c r="S1042" s="14" t="s">
        <v>129</v>
      </c>
      <c r="T1042" s="14" t="s">
        <v>5409</v>
      </c>
      <c r="U1042" s="14" t="n">
        <v>2021</v>
      </c>
      <c r="V1042" s="12" t="s">
        <v>157</v>
      </c>
      <c r="W1042" s="14"/>
      <c r="X1042" s="15" t="n">
        <f aca="false">IF(OR($S1042="%",$R1042=""),"",$R1042*INDEX(Cambi!$J$2:$J$5,MATCH($S1042,Cambi!$I$2:$I$5,0))/IF($T1042="EUR",1,INDEX(Cambi!$D:$D,MATCH($T1042&amp;"|"&amp;$U1042,Cambi!$C:$C,0))))</f>
        <v>2210.33038622615</v>
      </c>
      <c r="Y1042" s="12" t="s">
        <v>654</v>
      </c>
      <c r="Z1042" s="12" t="s">
        <v>109</v>
      </c>
      <c r="AA1042" s="12" t="s">
        <v>109</v>
      </c>
      <c r="AB1042" s="16" t="s">
        <v>394</v>
      </c>
      <c r="AC1042" s="16" t="s">
        <v>1438</v>
      </c>
      <c r="AD1042" s="12" t="s">
        <v>112</v>
      </c>
      <c r="AE1042" s="12" t="s">
        <v>5630</v>
      </c>
      <c r="AF1042" s="12" t="s">
        <v>5631</v>
      </c>
      <c r="AG1042" s="12" t="s">
        <v>115</v>
      </c>
      <c r="AH1042" s="12" t="s">
        <v>116</v>
      </c>
      <c r="AI1042" s="12" t="s">
        <v>117</v>
      </c>
      <c r="AJ1042" s="12" t="s">
        <v>5632</v>
      </c>
      <c r="AK1042" s="12" t="s">
        <v>4</v>
      </c>
    </row>
    <row r="1043" customFormat="false" ht="15" hidden="false" customHeight="false" outlineLevel="0" collapsed="false">
      <c r="A1043" s="11" t="n">
        <v>1042</v>
      </c>
      <c r="B1043" s="12" t="s">
        <v>5633</v>
      </c>
      <c r="C1043" s="12" t="s">
        <v>5397</v>
      </c>
      <c r="D1043" s="12" t="s">
        <v>5398</v>
      </c>
      <c r="E1043" s="12" t="s">
        <v>759</v>
      </c>
      <c r="F1043" s="12" t="s">
        <v>2500</v>
      </c>
      <c r="G1043" s="12" t="s">
        <v>830</v>
      </c>
      <c r="H1043" s="12" t="s">
        <v>5634</v>
      </c>
      <c r="I1043" s="12" t="s">
        <v>847</v>
      </c>
      <c r="J1043" s="13" t="s">
        <v>5635</v>
      </c>
      <c r="K1043" s="12"/>
      <c r="L1043" s="12" t="s">
        <v>5636</v>
      </c>
      <c r="M1043" s="12" t="s">
        <v>5637</v>
      </c>
      <c r="N1043" s="12" t="s">
        <v>352</v>
      </c>
      <c r="O1043" s="12" t="s">
        <v>102</v>
      </c>
      <c r="P1043" s="12" t="s">
        <v>103</v>
      </c>
      <c r="Q1043" s="12" t="s">
        <v>104</v>
      </c>
      <c r="R1043" s="14" t="n">
        <v>17.4</v>
      </c>
      <c r="S1043" s="14" t="s">
        <v>129</v>
      </c>
      <c r="T1043" s="14" t="s">
        <v>653</v>
      </c>
      <c r="U1043" s="14" t="n">
        <v>2025</v>
      </c>
      <c r="V1043" s="12" t="s">
        <v>157</v>
      </c>
      <c r="W1043" s="14" t="s">
        <v>5638</v>
      </c>
      <c r="X1043" s="15" t="n">
        <f aca="false">IF(OR($S1043="%",$R1043=""),"",$R1043*INDEX(Cambi!$J$2:$J$5,MATCH($S1043,Cambi!$I$2:$I$5,0))/IF($T1043="EUR",1,INDEX(Cambi!$D:$D,MATCH($T1043&amp;"|"&amp;$U1043,Cambi!$C:$C,0))))</f>
        <v>15398.2300884956</v>
      </c>
      <c r="Y1043" s="12" t="s">
        <v>109</v>
      </c>
      <c r="Z1043" s="12" t="s">
        <v>109</v>
      </c>
      <c r="AA1043" s="12" t="s">
        <v>109</v>
      </c>
      <c r="AB1043" s="16" t="s">
        <v>110</v>
      </c>
      <c r="AC1043" s="16" t="s">
        <v>836</v>
      </c>
      <c r="AD1043" s="12" t="s">
        <v>112</v>
      </c>
      <c r="AE1043" s="12" t="s">
        <v>282</v>
      </c>
      <c r="AF1043" s="12" t="s">
        <v>5639</v>
      </c>
      <c r="AG1043" s="12" t="s">
        <v>284</v>
      </c>
      <c r="AH1043" s="12" t="s">
        <v>838</v>
      </c>
      <c r="AI1043" s="12" t="s">
        <v>117</v>
      </c>
      <c r="AJ1043" s="12" t="s">
        <v>5640</v>
      </c>
      <c r="AK1043" s="12" t="s">
        <v>4</v>
      </c>
    </row>
    <row r="1044" customFormat="false" ht="15" hidden="false" customHeight="false" outlineLevel="0" collapsed="false">
      <c r="A1044" s="11" t="n">
        <v>1043</v>
      </c>
      <c r="B1044" s="12" t="s">
        <v>5633</v>
      </c>
      <c r="C1044" s="12" t="s">
        <v>5397</v>
      </c>
      <c r="D1044" s="12" t="s">
        <v>5398</v>
      </c>
      <c r="E1044" s="12" t="s">
        <v>759</v>
      </c>
      <c r="F1044" s="12" t="s">
        <v>2500</v>
      </c>
      <c r="G1044" s="12" t="s">
        <v>830</v>
      </c>
      <c r="H1044" s="12" t="s">
        <v>5634</v>
      </c>
      <c r="I1044" s="12" t="s">
        <v>847</v>
      </c>
      <c r="J1044" s="13" t="s">
        <v>5635</v>
      </c>
      <c r="K1044" s="12"/>
      <c r="L1044" s="12" t="s">
        <v>5636</v>
      </c>
      <c r="M1044" s="12" t="s">
        <v>5637</v>
      </c>
      <c r="N1044" s="12" t="s">
        <v>352</v>
      </c>
      <c r="O1044" s="12" t="s">
        <v>102</v>
      </c>
      <c r="P1044" s="12" t="s">
        <v>103</v>
      </c>
      <c r="Q1044" s="12" t="s">
        <v>104</v>
      </c>
      <c r="R1044" s="14" t="n">
        <v>20.3</v>
      </c>
      <c r="S1044" s="14" t="s">
        <v>129</v>
      </c>
      <c r="T1044" s="14" t="s">
        <v>653</v>
      </c>
      <c r="U1044" s="14" t="n">
        <v>2026</v>
      </c>
      <c r="V1044" s="12" t="s">
        <v>198</v>
      </c>
      <c r="W1044" s="14" t="s">
        <v>5638</v>
      </c>
      <c r="X1044" s="15" t="n">
        <f aca="false">IF(OR($S1044="%",$R1044=""),"",$R1044*INDEX(Cambi!$J$2:$J$5,MATCH($S1044,Cambi!$I$2:$I$5,0))/IF($T1044="EUR",1,INDEX(Cambi!$D:$D,MATCH($T1044&amp;"|"&amp;$U1044,Cambi!$C:$C,0))))</f>
        <v>17964.6017699115</v>
      </c>
      <c r="Y1044" s="12" t="s">
        <v>109</v>
      </c>
      <c r="Z1044" s="12" t="s">
        <v>109</v>
      </c>
      <c r="AA1044" s="12" t="s">
        <v>109</v>
      </c>
      <c r="AB1044" s="16" t="s">
        <v>110</v>
      </c>
      <c r="AC1044" s="16" t="s">
        <v>836</v>
      </c>
      <c r="AD1044" s="12" t="s">
        <v>112</v>
      </c>
      <c r="AE1044" s="12" t="s">
        <v>282</v>
      </c>
      <c r="AF1044" s="12" t="s">
        <v>5639</v>
      </c>
      <c r="AG1044" s="12" t="s">
        <v>284</v>
      </c>
      <c r="AH1044" s="12" t="s">
        <v>838</v>
      </c>
      <c r="AI1044" s="12" t="s">
        <v>117</v>
      </c>
      <c r="AJ1044" s="12" t="s">
        <v>5641</v>
      </c>
      <c r="AK1044" s="12" t="s">
        <v>4</v>
      </c>
    </row>
    <row r="1045" customFormat="false" ht="15" hidden="false" customHeight="false" outlineLevel="0" collapsed="false">
      <c r="A1045" s="11" t="n">
        <v>1044</v>
      </c>
      <c r="B1045" s="12" t="s">
        <v>5633</v>
      </c>
      <c r="C1045" s="12" t="s">
        <v>5397</v>
      </c>
      <c r="D1045" s="12" t="s">
        <v>5398</v>
      </c>
      <c r="E1045" s="12" t="s">
        <v>759</v>
      </c>
      <c r="F1045" s="12" t="s">
        <v>2500</v>
      </c>
      <c r="G1045" s="12" t="s">
        <v>830</v>
      </c>
      <c r="H1045" s="12" t="s">
        <v>5634</v>
      </c>
      <c r="I1045" s="12" t="s">
        <v>847</v>
      </c>
      <c r="J1045" s="13" t="s">
        <v>5635</v>
      </c>
      <c r="K1045" s="12"/>
      <c r="L1045" s="12" t="s">
        <v>5636</v>
      </c>
      <c r="M1045" s="12" t="s">
        <v>5637</v>
      </c>
      <c r="N1045" s="12" t="s">
        <v>352</v>
      </c>
      <c r="O1045" s="12" t="s">
        <v>102</v>
      </c>
      <c r="P1045" s="12" t="s">
        <v>103</v>
      </c>
      <c r="Q1045" s="12" t="s">
        <v>104</v>
      </c>
      <c r="R1045" s="14" t="n">
        <v>46.5</v>
      </c>
      <c r="S1045" s="14" t="s">
        <v>129</v>
      </c>
      <c r="T1045" s="14" t="s">
        <v>653</v>
      </c>
      <c r="U1045" s="14" t="n">
        <v>2034</v>
      </c>
      <c r="V1045" s="12" t="s">
        <v>107</v>
      </c>
      <c r="W1045" s="14" t="s">
        <v>5638</v>
      </c>
      <c r="X1045" s="15" t="n">
        <f aca="false">IF(OR($S1045="%",$R1045=""),"",$R1045*INDEX(Cambi!$J$2:$J$5,MATCH($S1045,Cambi!$I$2:$I$5,0))/IF($T1045="EUR",1,INDEX(Cambi!$D:$D,MATCH($T1045&amp;"|"&amp;$U1045,Cambi!$C:$C,0))))</f>
        <v>41150.4424778761</v>
      </c>
      <c r="Y1045" s="12" t="s">
        <v>109</v>
      </c>
      <c r="Z1045" s="12" t="s">
        <v>109</v>
      </c>
      <c r="AA1045" s="12" t="s">
        <v>109</v>
      </c>
      <c r="AB1045" s="16" t="s">
        <v>110</v>
      </c>
      <c r="AC1045" s="16" t="s">
        <v>836</v>
      </c>
      <c r="AD1045" s="12" t="s">
        <v>112</v>
      </c>
      <c r="AE1045" s="12" t="s">
        <v>282</v>
      </c>
      <c r="AF1045" s="12" t="s">
        <v>5642</v>
      </c>
      <c r="AG1045" s="12" t="s">
        <v>284</v>
      </c>
      <c r="AH1045" s="12" t="s">
        <v>838</v>
      </c>
      <c r="AI1045" s="12" t="s">
        <v>117</v>
      </c>
      <c r="AJ1045" s="12" t="s">
        <v>5641</v>
      </c>
      <c r="AK1045" s="12" t="s">
        <v>4</v>
      </c>
    </row>
    <row r="1046" customFormat="false" ht="15" hidden="false" customHeight="false" outlineLevel="0" collapsed="false">
      <c r="A1046" s="11" t="n">
        <v>1045</v>
      </c>
      <c r="B1046" s="12" t="s">
        <v>5643</v>
      </c>
      <c r="C1046" s="12" t="s">
        <v>5397</v>
      </c>
      <c r="D1046" s="12" t="s">
        <v>5398</v>
      </c>
      <c r="E1046" s="12" t="s">
        <v>759</v>
      </c>
      <c r="F1046" s="12" t="s">
        <v>2513</v>
      </c>
      <c r="G1046" s="12" t="s">
        <v>830</v>
      </c>
      <c r="H1046" s="12" t="s">
        <v>5644</v>
      </c>
      <c r="I1046" s="12" t="s">
        <v>5645</v>
      </c>
      <c r="J1046" s="13" t="s">
        <v>5646</v>
      </c>
      <c r="K1046" s="12"/>
      <c r="L1046" s="12" t="s">
        <v>5647</v>
      </c>
      <c r="M1046" s="12" t="s">
        <v>5648</v>
      </c>
      <c r="N1046" s="12" t="s">
        <v>352</v>
      </c>
      <c r="O1046" s="12" t="s">
        <v>102</v>
      </c>
      <c r="P1046" s="12" t="s">
        <v>366</v>
      </c>
      <c r="Q1046" s="12" t="s">
        <v>108</v>
      </c>
      <c r="R1046" s="14" t="n">
        <v>8.5</v>
      </c>
      <c r="S1046" s="14" t="s">
        <v>129</v>
      </c>
      <c r="T1046" s="14" t="s">
        <v>653</v>
      </c>
      <c r="U1046" s="14" t="n">
        <v>2024</v>
      </c>
      <c r="V1046" s="12" t="s">
        <v>157</v>
      </c>
      <c r="W1046" s="14"/>
      <c r="X1046" s="15" t="n">
        <f aca="false">IF(OR($S1046="%",$R1046=""),"",$R1046*INDEX(Cambi!$J$2:$J$5,MATCH($S1046,Cambi!$I$2:$I$5,0))/IF($T1046="EUR",1,INDEX(Cambi!$D:$D,MATCH($T1046&amp;"|"&amp;$U1046,Cambi!$C:$C,0))))</f>
        <v>7852.91943828529</v>
      </c>
      <c r="Y1046" s="12" t="s">
        <v>108</v>
      </c>
      <c r="Z1046" s="12" t="s">
        <v>109</v>
      </c>
      <c r="AA1046" s="12" t="s">
        <v>109</v>
      </c>
      <c r="AB1046" s="16" t="s">
        <v>110</v>
      </c>
      <c r="AC1046" s="16" t="s">
        <v>836</v>
      </c>
      <c r="AD1046" s="12" t="s">
        <v>112</v>
      </c>
      <c r="AE1046" s="12" t="s">
        <v>5649</v>
      </c>
      <c r="AF1046" s="12" t="s">
        <v>5650</v>
      </c>
      <c r="AG1046" s="12" t="s">
        <v>284</v>
      </c>
      <c r="AH1046" s="12" t="s">
        <v>838</v>
      </c>
      <c r="AI1046" s="12" t="s">
        <v>117</v>
      </c>
      <c r="AJ1046" s="12" t="s">
        <v>5651</v>
      </c>
      <c r="AK1046" s="12" t="s">
        <v>4</v>
      </c>
    </row>
    <row r="1047" customFormat="false" ht="15" hidden="false" customHeight="false" outlineLevel="0" collapsed="false">
      <c r="A1047" s="11" t="n">
        <v>1046</v>
      </c>
      <c r="B1047" s="12" t="s">
        <v>5652</v>
      </c>
      <c r="C1047" s="12" t="s">
        <v>5397</v>
      </c>
      <c r="D1047" s="12" t="s">
        <v>5398</v>
      </c>
      <c r="E1047" s="12" t="s">
        <v>759</v>
      </c>
      <c r="F1047" s="12" t="s">
        <v>2513</v>
      </c>
      <c r="G1047" s="12" t="s">
        <v>830</v>
      </c>
      <c r="H1047" s="12" t="s">
        <v>5653</v>
      </c>
      <c r="I1047" s="12" t="s">
        <v>5654</v>
      </c>
      <c r="J1047" s="13" t="s">
        <v>5655</v>
      </c>
      <c r="K1047" s="12"/>
      <c r="L1047" s="12" t="s">
        <v>5656</v>
      </c>
      <c r="M1047" s="12" t="s">
        <v>5657</v>
      </c>
      <c r="N1047" s="12" t="s">
        <v>352</v>
      </c>
      <c r="O1047" s="12" t="s">
        <v>102</v>
      </c>
      <c r="P1047" s="12" t="s">
        <v>103</v>
      </c>
      <c r="Q1047" s="12" t="s">
        <v>104</v>
      </c>
      <c r="R1047" s="14" t="n">
        <v>15</v>
      </c>
      <c r="S1047" s="14" t="s">
        <v>129</v>
      </c>
      <c r="T1047" s="14" t="s">
        <v>653</v>
      </c>
      <c r="U1047" s="14" t="n">
        <v>2024</v>
      </c>
      <c r="V1047" s="12" t="s">
        <v>157</v>
      </c>
      <c r="W1047" s="14"/>
      <c r="X1047" s="15" t="n">
        <f aca="false">IF(OR($S1047="%",$R1047=""),"",$R1047*INDEX(Cambi!$J$2:$J$5,MATCH($S1047,Cambi!$I$2:$I$5,0))/IF($T1047="EUR",1,INDEX(Cambi!$D:$D,MATCH($T1047&amp;"|"&amp;$U1047,Cambi!$C:$C,0))))</f>
        <v>13858.0931263858</v>
      </c>
      <c r="Y1047" s="12" t="s">
        <v>109</v>
      </c>
      <c r="Z1047" s="12" t="s">
        <v>109</v>
      </c>
      <c r="AA1047" s="12" t="s">
        <v>109</v>
      </c>
      <c r="AB1047" s="16" t="s">
        <v>110</v>
      </c>
      <c r="AC1047" s="16" t="s">
        <v>836</v>
      </c>
      <c r="AD1047" s="12" t="s">
        <v>112</v>
      </c>
      <c r="AE1047" s="12" t="s">
        <v>5649</v>
      </c>
      <c r="AF1047" s="12" t="s">
        <v>5658</v>
      </c>
      <c r="AG1047" s="12" t="s">
        <v>284</v>
      </c>
      <c r="AH1047" s="12" t="s">
        <v>838</v>
      </c>
      <c r="AI1047" s="12" t="s">
        <v>117</v>
      </c>
      <c r="AJ1047" s="12" t="s">
        <v>5659</v>
      </c>
      <c r="AK1047" s="12" t="s">
        <v>4</v>
      </c>
    </row>
    <row r="1048" customFormat="false" ht="15" hidden="false" customHeight="false" outlineLevel="0" collapsed="false">
      <c r="A1048" s="11" t="n">
        <v>1047</v>
      </c>
      <c r="B1048" s="12" t="s">
        <v>5660</v>
      </c>
      <c r="C1048" s="12" t="s">
        <v>5397</v>
      </c>
      <c r="D1048" s="12" t="s">
        <v>5398</v>
      </c>
      <c r="E1048" s="12" t="s">
        <v>759</v>
      </c>
      <c r="F1048" s="12" t="s">
        <v>845</v>
      </c>
      <c r="G1048" s="12" t="s">
        <v>830</v>
      </c>
      <c r="H1048" s="12" t="s">
        <v>5661</v>
      </c>
      <c r="I1048" s="12" t="s">
        <v>847</v>
      </c>
      <c r="J1048" s="13" t="s">
        <v>5662</v>
      </c>
      <c r="K1048" s="12"/>
      <c r="L1048" s="12" t="s">
        <v>5663</v>
      </c>
      <c r="M1048" s="12" t="s">
        <v>5664</v>
      </c>
      <c r="N1048" s="12" t="s">
        <v>352</v>
      </c>
      <c r="O1048" s="12" t="s">
        <v>196</v>
      </c>
      <c r="P1048" s="12" t="s">
        <v>214</v>
      </c>
      <c r="Q1048" s="12" t="s">
        <v>5665</v>
      </c>
      <c r="R1048" s="14" t="n">
        <v>29.73</v>
      </c>
      <c r="S1048" s="14" t="s">
        <v>197</v>
      </c>
      <c r="T1048" s="14"/>
      <c r="U1048" s="14" t="n">
        <v>2025</v>
      </c>
      <c r="V1048" s="12" t="s">
        <v>157</v>
      </c>
      <c r="W1048" s="14"/>
      <c r="X1048" s="15" t="str">
        <f aca="false">IF(OR($S1048="%",$R1048=""),"",$R1048*INDEX(Cambi!$J$2:$J$5,MATCH($S1048,Cambi!$I$2:$I$5,0))/IF($T1048="EUR",1,INDEX(Cambi!$D:$D,MATCH($T1048&amp;"|"&amp;$U1048,Cambi!$C:$C,0))))</f>
        <v/>
      </c>
      <c r="Y1048" s="12" t="s">
        <v>109</v>
      </c>
      <c r="Z1048" s="12" t="s">
        <v>109</v>
      </c>
      <c r="AA1048" s="12" t="s">
        <v>109</v>
      </c>
      <c r="AB1048" s="16" t="s">
        <v>110</v>
      </c>
      <c r="AC1048" s="16" t="s">
        <v>836</v>
      </c>
      <c r="AD1048" s="12" t="s">
        <v>112</v>
      </c>
      <c r="AE1048" s="12" t="s">
        <v>282</v>
      </c>
      <c r="AF1048" s="12" t="s">
        <v>5666</v>
      </c>
      <c r="AG1048" s="12" t="s">
        <v>284</v>
      </c>
      <c r="AH1048" s="12" t="s">
        <v>838</v>
      </c>
      <c r="AI1048" s="12" t="s">
        <v>117</v>
      </c>
      <c r="AJ1048" s="12" t="s">
        <v>266</v>
      </c>
      <c r="AK1048" s="12" t="s">
        <v>4</v>
      </c>
    </row>
    <row r="1049" customFormat="false" ht="15" hidden="false" customHeight="false" outlineLevel="0" collapsed="false">
      <c r="A1049" s="11" t="n">
        <v>1048</v>
      </c>
      <c r="B1049" s="12" t="s">
        <v>5660</v>
      </c>
      <c r="C1049" s="12" t="s">
        <v>5397</v>
      </c>
      <c r="D1049" s="12" t="s">
        <v>5398</v>
      </c>
      <c r="E1049" s="12" t="s">
        <v>759</v>
      </c>
      <c r="F1049" s="12" t="s">
        <v>845</v>
      </c>
      <c r="G1049" s="12" t="s">
        <v>830</v>
      </c>
      <c r="H1049" s="12" t="s">
        <v>5661</v>
      </c>
      <c r="I1049" s="12" t="s">
        <v>847</v>
      </c>
      <c r="J1049" s="13" t="s">
        <v>5662</v>
      </c>
      <c r="K1049" s="12"/>
      <c r="L1049" s="12" t="s">
        <v>5663</v>
      </c>
      <c r="M1049" s="12" t="s">
        <v>5667</v>
      </c>
      <c r="N1049" s="12" t="s">
        <v>352</v>
      </c>
      <c r="O1049" s="12" t="s">
        <v>196</v>
      </c>
      <c r="P1049" s="12" t="s">
        <v>856</v>
      </c>
      <c r="Q1049" s="12" t="s">
        <v>857</v>
      </c>
      <c r="R1049" s="14" t="n">
        <v>61.74</v>
      </c>
      <c r="S1049" s="14" t="s">
        <v>197</v>
      </c>
      <c r="T1049" s="14"/>
      <c r="U1049" s="14" t="n">
        <v>2025</v>
      </c>
      <c r="V1049" s="12" t="s">
        <v>157</v>
      </c>
      <c r="W1049" s="14"/>
      <c r="X1049" s="15" t="str">
        <f aca="false">IF(OR($S1049="%",$R1049=""),"",$R1049*INDEX(Cambi!$J$2:$J$5,MATCH($S1049,Cambi!$I$2:$I$5,0))/IF($T1049="EUR",1,INDEX(Cambi!$D:$D,MATCH($T1049&amp;"|"&amp;$U1049,Cambi!$C:$C,0))))</f>
        <v/>
      </c>
      <c r="Y1049" s="12" t="s">
        <v>109</v>
      </c>
      <c r="Z1049" s="12" t="s">
        <v>109</v>
      </c>
      <c r="AA1049" s="12" t="s">
        <v>109</v>
      </c>
      <c r="AB1049" s="16" t="s">
        <v>110</v>
      </c>
      <c r="AC1049" s="16" t="s">
        <v>836</v>
      </c>
      <c r="AD1049" s="12" t="s">
        <v>112</v>
      </c>
      <c r="AE1049" s="12" t="s">
        <v>282</v>
      </c>
      <c r="AF1049" s="12" t="s">
        <v>5668</v>
      </c>
      <c r="AG1049" s="12" t="s">
        <v>284</v>
      </c>
      <c r="AH1049" s="12" t="s">
        <v>838</v>
      </c>
      <c r="AI1049" s="12" t="s">
        <v>117</v>
      </c>
      <c r="AJ1049" s="12" t="s">
        <v>266</v>
      </c>
      <c r="AK1049" s="12" t="s">
        <v>4</v>
      </c>
    </row>
    <row r="1050" customFormat="false" ht="15" hidden="false" customHeight="false" outlineLevel="0" collapsed="false">
      <c r="A1050" s="11" t="n">
        <v>1049</v>
      </c>
      <c r="B1050" s="12" t="s">
        <v>5660</v>
      </c>
      <c r="C1050" s="12" t="s">
        <v>5397</v>
      </c>
      <c r="D1050" s="12" t="s">
        <v>5398</v>
      </c>
      <c r="E1050" s="12" t="s">
        <v>759</v>
      </c>
      <c r="F1050" s="12" t="s">
        <v>845</v>
      </c>
      <c r="G1050" s="12" t="s">
        <v>830</v>
      </c>
      <c r="H1050" s="12" t="s">
        <v>5661</v>
      </c>
      <c r="I1050" s="12" t="s">
        <v>847</v>
      </c>
      <c r="J1050" s="13" t="s">
        <v>5662</v>
      </c>
      <c r="K1050" s="12"/>
      <c r="L1050" s="12" t="s">
        <v>5663</v>
      </c>
      <c r="M1050" s="12" t="s">
        <v>5669</v>
      </c>
      <c r="N1050" s="12" t="s">
        <v>352</v>
      </c>
      <c r="O1050" s="12" t="s">
        <v>196</v>
      </c>
      <c r="P1050" s="12" t="s">
        <v>155</v>
      </c>
      <c r="Q1050" s="12" t="s">
        <v>1027</v>
      </c>
      <c r="R1050" s="14" t="n">
        <v>62.73</v>
      </c>
      <c r="S1050" s="14" t="s">
        <v>197</v>
      </c>
      <c r="T1050" s="14"/>
      <c r="U1050" s="14" t="n">
        <v>2025</v>
      </c>
      <c r="V1050" s="12" t="s">
        <v>157</v>
      </c>
      <c r="W1050" s="14"/>
      <c r="X1050" s="15" t="str">
        <f aca="false">IF(OR($S1050="%",$R1050=""),"",$R1050*INDEX(Cambi!$J$2:$J$5,MATCH($S1050,Cambi!$I$2:$I$5,0))/IF($T1050="EUR",1,INDEX(Cambi!$D:$D,MATCH($T1050&amp;"|"&amp;$U1050,Cambi!$C:$C,0))))</f>
        <v/>
      </c>
      <c r="Y1050" s="12" t="s">
        <v>109</v>
      </c>
      <c r="Z1050" s="12" t="s">
        <v>109</v>
      </c>
      <c r="AA1050" s="12" t="s">
        <v>109</v>
      </c>
      <c r="AB1050" s="16" t="s">
        <v>110</v>
      </c>
      <c r="AC1050" s="16" t="s">
        <v>836</v>
      </c>
      <c r="AD1050" s="12" t="s">
        <v>112</v>
      </c>
      <c r="AE1050" s="12" t="s">
        <v>282</v>
      </c>
      <c r="AF1050" s="12" t="s">
        <v>5670</v>
      </c>
      <c r="AG1050" s="12" t="s">
        <v>284</v>
      </c>
      <c r="AH1050" s="12" t="s">
        <v>838</v>
      </c>
      <c r="AI1050" s="12" t="s">
        <v>117</v>
      </c>
      <c r="AJ1050" s="12" t="s">
        <v>266</v>
      </c>
      <c r="AK1050" s="12" t="s">
        <v>4</v>
      </c>
    </row>
    <row r="1051" customFormat="false" ht="15" hidden="false" customHeight="false" outlineLevel="0" collapsed="false">
      <c r="A1051" s="11" t="n">
        <v>1050</v>
      </c>
      <c r="B1051" s="12" t="s">
        <v>5660</v>
      </c>
      <c r="C1051" s="12" t="s">
        <v>5397</v>
      </c>
      <c r="D1051" s="12" t="s">
        <v>5398</v>
      </c>
      <c r="E1051" s="12" t="s">
        <v>759</v>
      </c>
      <c r="F1051" s="12" t="s">
        <v>845</v>
      </c>
      <c r="G1051" s="12" t="s">
        <v>830</v>
      </c>
      <c r="H1051" s="12" t="s">
        <v>5661</v>
      </c>
      <c r="I1051" s="12" t="s">
        <v>847</v>
      </c>
      <c r="J1051" s="13" t="s">
        <v>5662</v>
      </c>
      <c r="K1051" s="12"/>
      <c r="L1051" s="12" t="s">
        <v>5636</v>
      </c>
      <c r="M1051" s="12" t="s">
        <v>5671</v>
      </c>
      <c r="N1051" s="12" t="s">
        <v>352</v>
      </c>
      <c r="O1051" s="12" t="s">
        <v>102</v>
      </c>
      <c r="P1051" s="12" t="s">
        <v>103</v>
      </c>
      <c r="Q1051" s="12" t="s">
        <v>104</v>
      </c>
      <c r="R1051" s="14" t="n">
        <v>14.77</v>
      </c>
      <c r="S1051" s="14" t="s">
        <v>129</v>
      </c>
      <c r="T1051" s="14" t="s">
        <v>653</v>
      </c>
      <c r="U1051" s="14" t="n">
        <v>2025</v>
      </c>
      <c r="V1051" s="12" t="s">
        <v>157</v>
      </c>
      <c r="W1051" s="14" t="s">
        <v>5672</v>
      </c>
      <c r="X1051" s="15" t="n">
        <f aca="false">IF(OR($S1051="%",$R1051=""),"",$R1051*INDEX(Cambi!$J$2:$J$5,MATCH($S1051,Cambi!$I$2:$I$5,0))/IF($T1051="EUR",1,INDEX(Cambi!$D:$D,MATCH($T1051&amp;"|"&amp;$U1051,Cambi!$C:$C,0))))</f>
        <v>13070.796460177</v>
      </c>
      <c r="Y1051" s="12" t="s">
        <v>109</v>
      </c>
      <c r="Z1051" s="12" t="s">
        <v>109</v>
      </c>
      <c r="AA1051" s="12" t="s">
        <v>109</v>
      </c>
      <c r="AB1051" s="16" t="s">
        <v>110</v>
      </c>
      <c r="AC1051" s="16" t="s">
        <v>836</v>
      </c>
      <c r="AD1051" s="12" t="s">
        <v>112</v>
      </c>
      <c r="AE1051" s="12" t="s">
        <v>282</v>
      </c>
      <c r="AF1051" s="12" t="s">
        <v>5673</v>
      </c>
      <c r="AG1051" s="12" t="s">
        <v>284</v>
      </c>
      <c r="AH1051" s="12" t="s">
        <v>838</v>
      </c>
      <c r="AI1051" s="12" t="s">
        <v>117</v>
      </c>
      <c r="AJ1051" s="12" t="s">
        <v>5674</v>
      </c>
      <c r="AK1051" s="12" t="s">
        <v>4</v>
      </c>
    </row>
    <row r="1052" customFormat="false" ht="15" hidden="false" customHeight="false" outlineLevel="0" collapsed="false">
      <c r="A1052" s="11" t="n">
        <v>1051</v>
      </c>
      <c r="B1052" s="12" t="s">
        <v>5660</v>
      </c>
      <c r="C1052" s="12" t="s">
        <v>5397</v>
      </c>
      <c r="D1052" s="12" t="s">
        <v>5398</v>
      </c>
      <c r="E1052" s="12" t="s">
        <v>759</v>
      </c>
      <c r="F1052" s="12" t="s">
        <v>845</v>
      </c>
      <c r="G1052" s="12" t="s">
        <v>830</v>
      </c>
      <c r="H1052" s="12" t="s">
        <v>5661</v>
      </c>
      <c r="I1052" s="12" t="s">
        <v>847</v>
      </c>
      <c r="J1052" s="13" t="s">
        <v>5662</v>
      </c>
      <c r="K1052" s="12"/>
      <c r="L1052" s="12" t="s">
        <v>5636</v>
      </c>
      <c r="M1052" s="12" t="s">
        <v>5671</v>
      </c>
      <c r="N1052" s="12" t="s">
        <v>352</v>
      </c>
      <c r="O1052" s="12" t="s">
        <v>102</v>
      </c>
      <c r="P1052" s="12" t="s">
        <v>103</v>
      </c>
      <c r="Q1052" s="12" t="s">
        <v>104</v>
      </c>
      <c r="R1052" s="14" t="n">
        <v>16.27</v>
      </c>
      <c r="S1052" s="14" t="s">
        <v>129</v>
      </c>
      <c r="T1052" s="14" t="s">
        <v>653</v>
      </c>
      <c r="U1052" s="14" t="n">
        <v>2026</v>
      </c>
      <c r="V1052" s="12" t="s">
        <v>198</v>
      </c>
      <c r="W1052" s="14" t="s">
        <v>5672</v>
      </c>
      <c r="X1052" s="15" t="n">
        <f aca="false">IF(OR($S1052="%",$R1052=""),"",$R1052*INDEX(Cambi!$J$2:$J$5,MATCH($S1052,Cambi!$I$2:$I$5,0))/IF($T1052="EUR",1,INDEX(Cambi!$D:$D,MATCH($T1052&amp;"|"&amp;$U1052,Cambi!$C:$C,0))))</f>
        <v>14398.2300884956</v>
      </c>
      <c r="Y1052" s="12" t="s">
        <v>109</v>
      </c>
      <c r="Z1052" s="12" t="s">
        <v>109</v>
      </c>
      <c r="AA1052" s="12" t="s">
        <v>109</v>
      </c>
      <c r="AB1052" s="16" t="s">
        <v>110</v>
      </c>
      <c r="AC1052" s="16" t="s">
        <v>836</v>
      </c>
      <c r="AD1052" s="12" t="s">
        <v>112</v>
      </c>
      <c r="AE1052" s="12" t="s">
        <v>282</v>
      </c>
      <c r="AF1052" s="12" t="s">
        <v>5675</v>
      </c>
      <c r="AG1052" s="12" t="s">
        <v>284</v>
      </c>
      <c r="AH1052" s="12" t="s">
        <v>838</v>
      </c>
      <c r="AI1052" s="12" t="s">
        <v>117</v>
      </c>
      <c r="AJ1052" s="12" t="s">
        <v>5676</v>
      </c>
      <c r="AK1052" s="12" t="s">
        <v>4</v>
      </c>
    </row>
    <row r="1053" customFormat="false" ht="15" hidden="false" customHeight="false" outlineLevel="0" collapsed="false">
      <c r="A1053" s="11" t="n">
        <v>1052</v>
      </c>
      <c r="B1053" s="12" t="s">
        <v>5660</v>
      </c>
      <c r="C1053" s="12" t="s">
        <v>5397</v>
      </c>
      <c r="D1053" s="12" t="s">
        <v>5398</v>
      </c>
      <c r="E1053" s="12" t="s">
        <v>759</v>
      </c>
      <c r="F1053" s="12" t="s">
        <v>845</v>
      </c>
      <c r="G1053" s="12" t="s">
        <v>830</v>
      </c>
      <c r="H1053" s="12" t="s">
        <v>5661</v>
      </c>
      <c r="I1053" s="12" t="s">
        <v>847</v>
      </c>
      <c r="J1053" s="13" t="s">
        <v>5662</v>
      </c>
      <c r="K1053" s="12"/>
      <c r="L1053" s="12" t="s">
        <v>5636</v>
      </c>
      <c r="M1053" s="12" t="s">
        <v>5671</v>
      </c>
      <c r="N1053" s="12" t="s">
        <v>352</v>
      </c>
      <c r="O1053" s="12" t="s">
        <v>102</v>
      </c>
      <c r="P1053" s="12" t="s">
        <v>103</v>
      </c>
      <c r="Q1053" s="12" t="s">
        <v>104</v>
      </c>
      <c r="R1053" s="14" t="n">
        <v>25.13</v>
      </c>
      <c r="S1053" s="14" t="s">
        <v>129</v>
      </c>
      <c r="T1053" s="14" t="s">
        <v>653</v>
      </c>
      <c r="U1053" s="14" t="n">
        <v>2031</v>
      </c>
      <c r="V1053" s="12" t="s">
        <v>107</v>
      </c>
      <c r="W1053" s="14" t="s">
        <v>5672</v>
      </c>
      <c r="X1053" s="15" t="n">
        <f aca="false">IF(OR($S1053="%",$R1053=""),"",$R1053*INDEX(Cambi!$J$2:$J$5,MATCH($S1053,Cambi!$I$2:$I$5,0))/IF($T1053="EUR",1,INDEX(Cambi!$D:$D,MATCH($T1053&amp;"|"&amp;$U1053,Cambi!$C:$C,0))))</f>
        <v>22238.9380530973</v>
      </c>
      <c r="Y1053" s="12" t="s">
        <v>109</v>
      </c>
      <c r="Z1053" s="12" t="s">
        <v>109</v>
      </c>
      <c r="AA1053" s="12" t="s">
        <v>109</v>
      </c>
      <c r="AB1053" s="16" t="s">
        <v>110</v>
      </c>
      <c r="AC1053" s="16" t="s">
        <v>836</v>
      </c>
      <c r="AD1053" s="12" t="s">
        <v>112</v>
      </c>
      <c r="AE1053" s="12" t="s">
        <v>282</v>
      </c>
      <c r="AF1053" s="12" t="s">
        <v>5677</v>
      </c>
      <c r="AG1053" s="12" t="s">
        <v>284</v>
      </c>
      <c r="AH1053" s="12" t="s">
        <v>838</v>
      </c>
      <c r="AI1053" s="12" t="s">
        <v>117</v>
      </c>
      <c r="AJ1053" s="12" t="s">
        <v>5678</v>
      </c>
      <c r="AK1053" s="12" t="s">
        <v>4</v>
      </c>
    </row>
    <row r="1054" customFormat="false" ht="15" hidden="false" customHeight="false" outlineLevel="0" collapsed="false">
      <c r="A1054" s="11" t="n">
        <v>1053</v>
      </c>
      <c r="B1054" s="12" t="s">
        <v>5679</v>
      </c>
      <c r="C1054" s="12" t="s">
        <v>5397</v>
      </c>
      <c r="D1054" s="12" t="s">
        <v>5398</v>
      </c>
      <c r="E1054" s="12" t="s">
        <v>759</v>
      </c>
      <c r="F1054" s="12" t="s">
        <v>5680</v>
      </c>
      <c r="G1054" s="12" t="s">
        <v>771</v>
      </c>
      <c r="H1054" s="12" t="s">
        <v>5681</v>
      </c>
      <c r="I1054" s="12" t="s">
        <v>3665</v>
      </c>
      <c r="J1054" s="13" t="s">
        <v>5682</v>
      </c>
      <c r="K1054" s="12"/>
      <c r="L1054" s="12" t="s">
        <v>5683</v>
      </c>
      <c r="M1054" s="12" t="s">
        <v>5684</v>
      </c>
      <c r="N1054" s="12" t="s">
        <v>101</v>
      </c>
      <c r="O1054" s="12" t="s">
        <v>102</v>
      </c>
      <c r="P1054" s="12" t="s">
        <v>103</v>
      </c>
      <c r="Q1054" s="12" t="s">
        <v>104</v>
      </c>
      <c r="R1054" s="14" t="n">
        <v>1.3</v>
      </c>
      <c r="S1054" s="14" t="s">
        <v>129</v>
      </c>
      <c r="T1054" s="14" t="s">
        <v>5409</v>
      </c>
      <c r="U1054" s="14" t="n">
        <v>2025</v>
      </c>
      <c r="V1054" s="12" t="s">
        <v>157</v>
      </c>
      <c r="W1054" s="14"/>
      <c r="X1054" s="15" t="n">
        <f aca="false">IF(OR($S1054="%",$R1054=""),"",$R1054*INDEX(Cambi!$J$2:$J$5,MATCH($S1054,Cambi!$I$2:$I$5,0))/IF($T1054="EUR",1,INDEX(Cambi!$D:$D,MATCH($T1054&amp;"|"&amp;$U1054,Cambi!$C:$C,0))))</f>
        <v>1517.29128491229</v>
      </c>
      <c r="Y1054" s="12" t="s">
        <v>108</v>
      </c>
      <c r="Z1054" s="12" t="s">
        <v>109</v>
      </c>
      <c r="AA1054" s="12" t="s">
        <v>109</v>
      </c>
      <c r="AB1054" s="16" t="s">
        <v>394</v>
      </c>
      <c r="AC1054" s="16" t="s">
        <v>1438</v>
      </c>
      <c r="AD1054" s="12" t="s">
        <v>112</v>
      </c>
      <c r="AE1054" s="12" t="s">
        <v>5685</v>
      </c>
      <c r="AF1054" s="12" t="s">
        <v>5686</v>
      </c>
      <c r="AG1054" s="12" t="s">
        <v>115</v>
      </c>
      <c r="AH1054" s="12" t="s">
        <v>116</v>
      </c>
      <c r="AI1054" s="12" t="s">
        <v>117</v>
      </c>
      <c r="AJ1054" s="12" t="s">
        <v>5687</v>
      </c>
      <c r="AK1054" s="12" t="s">
        <v>4</v>
      </c>
    </row>
    <row r="1055" customFormat="false" ht="15" hidden="false" customHeight="false" outlineLevel="0" collapsed="false">
      <c r="A1055" s="11" t="n">
        <v>1054</v>
      </c>
      <c r="B1055" s="12" t="s">
        <v>5688</v>
      </c>
      <c r="C1055" s="12" t="s">
        <v>5397</v>
      </c>
      <c r="D1055" s="12" t="s">
        <v>5398</v>
      </c>
      <c r="E1055" s="12" t="s">
        <v>759</v>
      </c>
      <c r="F1055" s="12" t="s">
        <v>5680</v>
      </c>
      <c r="G1055" s="12" t="s">
        <v>771</v>
      </c>
      <c r="H1055" s="12" t="s">
        <v>5689</v>
      </c>
      <c r="I1055" s="12" t="s">
        <v>5690</v>
      </c>
      <c r="J1055" s="13" t="s">
        <v>5691</v>
      </c>
      <c r="K1055" s="12"/>
      <c r="L1055" s="12" t="s">
        <v>5692</v>
      </c>
      <c r="M1055" s="12" t="s">
        <v>5693</v>
      </c>
      <c r="N1055" s="12" t="s">
        <v>101</v>
      </c>
      <c r="O1055" s="12" t="s">
        <v>102</v>
      </c>
      <c r="P1055" s="12" t="s">
        <v>103</v>
      </c>
      <c r="Q1055" s="12" t="s">
        <v>104</v>
      </c>
      <c r="R1055" s="14" t="n">
        <v>632</v>
      </c>
      <c r="S1055" s="14" t="s">
        <v>105</v>
      </c>
      <c r="T1055" s="14" t="s">
        <v>5409</v>
      </c>
      <c r="U1055" s="14" t="n">
        <v>2019</v>
      </c>
      <c r="V1055" s="12" t="s">
        <v>157</v>
      </c>
      <c r="W1055" s="14"/>
      <c r="X1055" s="15" t="n">
        <f aca="false">IF(OR($S1055="%",$R1055=""),"",$R1055*INDEX(Cambi!$J$2:$J$5,MATCH($S1055,Cambi!$I$2:$I$5,0))/IF($T1055="EUR",1,INDEX(Cambi!$D:$D,MATCH($T1055&amp;"|"&amp;$U1055,Cambi!$C:$C,0))))</f>
        <v>720.006379803365</v>
      </c>
      <c r="Y1055" s="12" t="s">
        <v>654</v>
      </c>
      <c r="Z1055" s="12" t="s">
        <v>109</v>
      </c>
      <c r="AA1055" s="12" t="s">
        <v>109</v>
      </c>
      <c r="AB1055" s="16" t="s">
        <v>394</v>
      </c>
      <c r="AC1055" s="16" t="s">
        <v>1438</v>
      </c>
      <c r="AD1055" s="12" t="s">
        <v>112</v>
      </c>
      <c r="AE1055" s="12" t="s">
        <v>5694</v>
      </c>
      <c r="AF1055" s="12" t="s">
        <v>5695</v>
      </c>
      <c r="AG1055" s="12" t="s">
        <v>407</v>
      </c>
      <c r="AH1055" s="12" t="s">
        <v>116</v>
      </c>
      <c r="AI1055" s="12" t="s">
        <v>117</v>
      </c>
      <c r="AJ1055" s="12" t="s">
        <v>5696</v>
      </c>
      <c r="AK1055" s="12" t="s">
        <v>4</v>
      </c>
    </row>
    <row r="1056" customFormat="false" ht="15" hidden="false" customHeight="false" outlineLevel="0" collapsed="false">
      <c r="A1056" s="11" t="n">
        <v>1055</v>
      </c>
      <c r="B1056" s="12" t="s">
        <v>5688</v>
      </c>
      <c r="C1056" s="12" t="s">
        <v>5397</v>
      </c>
      <c r="D1056" s="12" t="s">
        <v>5398</v>
      </c>
      <c r="E1056" s="12" t="s">
        <v>759</v>
      </c>
      <c r="F1056" s="12" t="s">
        <v>5680</v>
      </c>
      <c r="G1056" s="12" t="s">
        <v>771</v>
      </c>
      <c r="H1056" s="12" t="s">
        <v>5689</v>
      </c>
      <c r="I1056" s="12" t="s">
        <v>5690</v>
      </c>
      <c r="J1056" s="13" t="s">
        <v>5691</v>
      </c>
      <c r="K1056" s="12"/>
      <c r="L1056" s="12" t="s">
        <v>5697</v>
      </c>
      <c r="M1056" s="12" t="s">
        <v>5698</v>
      </c>
      <c r="N1056" s="12" t="s">
        <v>101</v>
      </c>
      <c r="O1056" s="12" t="s">
        <v>102</v>
      </c>
      <c r="P1056" s="12" t="s">
        <v>103</v>
      </c>
      <c r="Q1056" s="12" t="s">
        <v>104</v>
      </c>
      <c r="R1056" s="14" t="n">
        <v>1287</v>
      </c>
      <c r="S1056" s="14" t="s">
        <v>105</v>
      </c>
      <c r="T1056" s="14" t="s">
        <v>5409</v>
      </c>
      <c r="U1056" s="14" t="n">
        <v>2021</v>
      </c>
      <c r="V1056" s="12" t="s">
        <v>157</v>
      </c>
      <c r="W1056" s="14"/>
      <c r="X1056" s="15" t="n">
        <f aca="false">IF(OR($S1056="%",$R1056=""),"",$R1056*INDEX(Cambi!$J$2:$J$5,MATCH($S1056,Cambi!$I$2:$I$5,0))/IF($T1056="EUR",1,INDEX(Cambi!$D:$D,MATCH($T1056&amp;"|"&amp;$U1056,Cambi!$C:$C,0))))</f>
        <v>1497.20800372266</v>
      </c>
      <c r="Y1056" s="12" t="s">
        <v>654</v>
      </c>
      <c r="Z1056" s="12" t="s">
        <v>109</v>
      </c>
      <c r="AA1056" s="12" t="s">
        <v>109</v>
      </c>
      <c r="AB1056" s="16" t="s">
        <v>394</v>
      </c>
      <c r="AC1056" s="16" t="s">
        <v>1438</v>
      </c>
      <c r="AD1056" s="12" t="s">
        <v>112</v>
      </c>
      <c r="AE1056" s="12" t="s">
        <v>5694</v>
      </c>
      <c r="AF1056" s="12" t="s">
        <v>5699</v>
      </c>
      <c r="AG1056" s="12" t="s">
        <v>407</v>
      </c>
      <c r="AH1056" s="12" t="s">
        <v>116</v>
      </c>
      <c r="AI1056" s="12" t="s">
        <v>117</v>
      </c>
      <c r="AJ1056" s="12" t="s">
        <v>5700</v>
      </c>
      <c r="AK1056" s="12" t="s">
        <v>4</v>
      </c>
    </row>
    <row r="1057" customFormat="false" ht="15" hidden="false" customHeight="false" outlineLevel="0" collapsed="false">
      <c r="A1057" s="11" t="n">
        <v>1056</v>
      </c>
      <c r="B1057" s="12" t="s">
        <v>5701</v>
      </c>
      <c r="C1057" s="12" t="s">
        <v>5397</v>
      </c>
      <c r="D1057" s="12" t="s">
        <v>5398</v>
      </c>
      <c r="E1057" s="12" t="s">
        <v>759</v>
      </c>
      <c r="F1057" s="12" t="s">
        <v>5702</v>
      </c>
      <c r="G1057" s="12" t="s">
        <v>581</v>
      </c>
      <c r="H1057" s="12" t="s">
        <v>5703</v>
      </c>
      <c r="I1057" s="12" t="s">
        <v>5704</v>
      </c>
      <c r="J1057" s="13" t="s">
        <v>5705</v>
      </c>
      <c r="K1057" s="12"/>
      <c r="L1057" s="12" t="s">
        <v>5706</v>
      </c>
      <c r="M1057" s="12" t="s">
        <v>5707</v>
      </c>
      <c r="N1057" s="12" t="s">
        <v>212</v>
      </c>
      <c r="O1057" s="12" t="s">
        <v>244</v>
      </c>
      <c r="P1057" s="12" t="s">
        <v>856</v>
      </c>
      <c r="Q1057" s="12" t="s">
        <v>5708</v>
      </c>
      <c r="R1057" s="14" t="n">
        <v>1.5</v>
      </c>
      <c r="S1057" s="14" t="s">
        <v>105</v>
      </c>
      <c r="T1057" s="14" t="s">
        <v>5409</v>
      </c>
      <c r="U1057" s="14" t="n">
        <v>2024</v>
      </c>
      <c r="V1057" s="12" t="s">
        <v>157</v>
      </c>
      <c r="W1057" s="14" t="s">
        <v>5709</v>
      </c>
      <c r="X1057" s="15" t="n">
        <f aca="false">IF(OR($S1057="%",$R1057=""),"",$R1057*INDEX(Cambi!$J$2:$J$5,MATCH($S1057,Cambi!$I$2:$I$5,0))/IF($T1057="EUR",1,INDEX(Cambi!$D:$D,MATCH($T1057&amp;"|"&amp;$U1057,Cambi!$C:$C,0))))</f>
        <v>1.77175119888498</v>
      </c>
      <c r="Y1057" s="12" t="s">
        <v>239</v>
      </c>
      <c r="Z1057" s="12" t="s">
        <v>109</v>
      </c>
      <c r="AA1057" s="12" t="s">
        <v>109</v>
      </c>
      <c r="AB1057" s="16" t="s">
        <v>394</v>
      </c>
      <c r="AC1057" s="16" t="s">
        <v>5710</v>
      </c>
      <c r="AD1057" s="12" t="s">
        <v>112</v>
      </c>
      <c r="AE1057" s="12" t="s">
        <v>5711</v>
      </c>
      <c r="AF1057" s="12" t="s">
        <v>5712</v>
      </c>
      <c r="AG1057" s="12" t="s">
        <v>498</v>
      </c>
      <c r="AH1057" s="12" t="s">
        <v>116</v>
      </c>
      <c r="AI1057" s="12" t="s">
        <v>117</v>
      </c>
      <c r="AJ1057" s="12" t="s">
        <v>5713</v>
      </c>
      <c r="AK1057" s="12" t="s">
        <v>4</v>
      </c>
    </row>
    <row r="1058" customFormat="false" ht="15" hidden="false" customHeight="false" outlineLevel="0" collapsed="false">
      <c r="A1058" s="11" t="n">
        <v>1057</v>
      </c>
      <c r="B1058" s="12" t="s">
        <v>5701</v>
      </c>
      <c r="C1058" s="12" t="s">
        <v>5397</v>
      </c>
      <c r="D1058" s="12" t="s">
        <v>5398</v>
      </c>
      <c r="E1058" s="12" t="s">
        <v>759</v>
      </c>
      <c r="F1058" s="12" t="s">
        <v>5702</v>
      </c>
      <c r="G1058" s="12" t="s">
        <v>581</v>
      </c>
      <c r="H1058" s="12" t="s">
        <v>5703</v>
      </c>
      <c r="I1058" s="12" t="s">
        <v>5704</v>
      </c>
      <c r="J1058" s="13" t="s">
        <v>5705</v>
      </c>
      <c r="K1058" s="12"/>
      <c r="L1058" s="12" t="s">
        <v>5706</v>
      </c>
      <c r="M1058" s="12" t="s">
        <v>5707</v>
      </c>
      <c r="N1058" s="12" t="s">
        <v>212</v>
      </c>
      <c r="O1058" s="12" t="s">
        <v>244</v>
      </c>
      <c r="P1058" s="12" t="s">
        <v>856</v>
      </c>
      <c r="Q1058" s="12" t="s">
        <v>5714</v>
      </c>
      <c r="R1058" s="14" t="n">
        <v>1.1</v>
      </c>
      <c r="S1058" s="14" t="s">
        <v>105</v>
      </c>
      <c r="T1058" s="14" t="s">
        <v>5409</v>
      </c>
      <c r="U1058" s="14" t="n">
        <v>2024</v>
      </c>
      <c r="V1058" s="12" t="s">
        <v>157</v>
      </c>
      <c r="W1058" s="14" t="s">
        <v>5715</v>
      </c>
      <c r="X1058" s="15" t="n">
        <f aca="false">IF(OR($S1058="%",$R1058=""),"",$R1058*INDEX(Cambi!$J$2:$J$5,MATCH($S1058,Cambi!$I$2:$I$5,0))/IF($T1058="EUR",1,INDEX(Cambi!$D:$D,MATCH($T1058&amp;"|"&amp;$U1058,Cambi!$C:$C,0))))</f>
        <v>1.29928421251565</v>
      </c>
      <c r="Y1058" s="12" t="s">
        <v>239</v>
      </c>
      <c r="Z1058" s="12" t="s">
        <v>109</v>
      </c>
      <c r="AA1058" s="12" t="s">
        <v>109</v>
      </c>
      <c r="AB1058" s="16" t="s">
        <v>394</v>
      </c>
      <c r="AC1058" s="16" t="s">
        <v>5710</v>
      </c>
      <c r="AD1058" s="12" t="s">
        <v>112</v>
      </c>
      <c r="AE1058" s="12" t="s">
        <v>5711</v>
      </c>
      <c r="AF1058" s="12" t="s">
        <v>5716</v>
      </c>
      <c r="AG1058" s="12" t="s">
        <v>498</v>
      </c>
      <c r="AH1058" s="12" t="s">
        <v>116</v>
      </c>
      <c r="AI1058" s="12" t="s">
        <v>117</v>
      </c>
      <c r="AJ1058" s="12" t="s">
        <v>5713</v>
      </c>
      <c r="AK1058" s="12" t="s">
        <v>4</v>
      </c>
    </row>
    <row r="1059" customFormat="false" ht="15" hidden="false" customHeight="false" outlineLevel="0" collapsed="false">
      <c r="A1059" s="11" t="n">
        <v>1058</v>
      </c>
      <c r="B1059" s="12" t="s">
        <v>5701</v>
      </c>
      <c r="C1059" s="12" t="s">
        <v>5397</v>
      </c>
      <c r="D1059" s="12" t="s">
        <v>5398</v>
      </c>
      <c r="E1059" s="12" t="s">
        <v>759</v>
      </c>
      <c r="F1059" s="12" t="s">
        <v>5702</v>
      </c>
      <c r="G1059" s="12" t="s">
        <v>581</v>
      </c>
      <c r="H1059" s="12" t="s">
        <v>5703</v>
      </c>
      <c r="I1059" s="12" t="s">
        <v>5704</v>
      </c>
      <c r="J1059" s="13" t="s">
        <v>5705</v>
      </c>
      <c r="K1059" s="12"/>
      <c r="L1059" s="12" t="s">
        <v>5706</v>
      </c>
      <c r="M1059" s="12" t="s">
        <v>5707</v>
      </c>
      <c r="N1059" s="12" t="s">
        <v>212</v>
      </c>
      <c r="O1059" s="12" t="s">
        <v>244</v>
      </c>
      <c r="P1059" s="12" t="s">
        <v>856</v>
      </c>
      <c r="Q1059" s="12" t="s">
        <v>5717</v>
      </c>
      <c r="R1059" s="14" t="n">
        <v>7.4</v>
      </c>
      <c r="S1059" s="14" t="s">
        <v>105</v>
      </c>
      <c r="T1059" s="14" t="s">
        <v>5409</v>
      </c>
      <c r="U1059" s="14" t="n">
        <v>2024</v>
      </c>
      <c r="V1059" s="12" t="s">
        <v>157</v>
      </c>
      <c r="W1059" s="14" t="s">
        <v>5718</v>
      </c>
      <c r="X1059" s="15" t="n">
        <f aca="false">IF(OR($S1059="%",$R1059=""),"",$R1059*INDEX(Cambi!$J$2:$J$5,MATCH($S1059,Cambi!$I$2:$I$5,0))/IF($T1059="EUR",1,INDEX(Cambi!$D:$D,MATCH($T1059&amp;"|"&amp;$U1059,Cambi!$C:$C,0))))</f>
        <v>8.74063924783256</v>
      </c>
      <c r="Y1059" s="12" t="s">
        <v>239</v>
      </c>
      <c r="Z1059" s="12" t="s">
        <v>109</v>
      </c>
      <c r="AA1059" s="12" t="s">
        <v>109</v>
      </c>
      <c r="AB1059" s="16" t="s">
        <v>394</v>
      </c>
      <c r="AC1059" s="16" t="s">
        <v>5710</v>
      </c>
      <c r="AD1059" s="12" t="s">
        <v>112</v>
      </c>
      <c r="AE1059" s="12" t="s">
        <v>5711</v>
      </c>
      <c r="AF1059" s="12" t="s">
        <v>5719</v>
      </c>
      <c r="AG1059" s="12" t="s">
        <v>498</v>
      </c>
      <c r="AH1059" s="12" t="s">
        <v>116</v>
      </c>
      <c r="AI1059" s="12" t="s">
        <v>117</v>
      </c>
      <c r="AJ1059" s="12" t="s">
        <v>5713</v>
      </c>
      <c r="AK1059" s="12" t="s">
        <v>4</v>
      </c>
    </row>
    <row r="1060" customFormat="false" ht="15" hidden="false" customHeight="false" outlineLevel="0" collapsed="false">
      <c r="A1060" s="11" t="n">
        <v>1059</v>
      </c>
      <c r="B1060" s="12" t="s">
        <v>5720</v>
      </c>
      <c r="C1060" s="12" t="s">
        <v>5397</v>
      </c>
      <c r="D1060" s="12" t="s">
        <v>5398</v>
      </c>
      <c r="E1060" s="12" t="s">
        <v>759</v>
      </c>
      <c r="F1060" s="12" t="s">
        <v>5702</v>
      </c>
      <c r="G1060" s="12" t="s">
        <v>581</v>
      </c>
      <c r="H1060" s="12" t="s">
        <v>5721</v>
      </c>
      <c r="I1060" s="12" t="s">
        <v>978</v>
      </c>
      <c r="J1060" s="13" t="s">
        <v>5722</v>
      </c>
      <c r="K1060" s="12"/>
      <c r="L1060" s="12" t="s">
        <v>5723</v>
      </c>
      <c r="M1060" s="12" t="s">
        <v>5724</v>
      </c>
      <c r="N1060" s="12" t="s">
        <v>212</v>
      </c>
      <c r="O1060" s="12" t="s">
        <v>244</v>
      </c>
      <c r="P1060" s="12" t="s">
        <v>856</v>
      </c>
      <c r="Q1060" s="12" t="s">
        <v>5717</v>
      </c>
      <c r="R1060" s="14" t="n">
        <v>7.75</v>
      </c>
      <c r="S1060" s="14" t="s">
        <v>105</v>
      </c>
      <c r="T1060" s="14" t="s">
        <v>5409</v>
      </c>
      <c r="U1060" s="14" t="n">
        <v>2025</v>
      </c>
      <c r="V1060" s="12" t="s">
        <v>157</v>
      </c>
      <c r="W1060" s="14" t="s">
        <v>5725</v>
      </c>
      <c r="X1060" s="15" t="n">
        <f aca="false">IF(OR($S1060="%",$R1060=""),"",$R1060*INDEX(Cambi!$J$2:$J$5,MATCH($S1060,Cambi!$I$2:$I$5,0))/IF($T1060="EUR",1,INDEX(Cambi!$D:$D,MATCH($T1060&amp;"|"&amp;$U1060,Cambi!$C:$C,0))))</f>
        <v>9.04539035236172</v>
      </c>
      <c r="Y1060" s="12" t="s">
        <v>239</v>
      </c>
      <c r="Z1060" s="12" t="s">
        <v>109</v>
      </c>
      <c r="AA1060" s="12" t="s">
        <v>109</v>
      </c>
      <c r="AB1060" s="16" t="s">
        <v>394</v>
      </c>
      <c r="AC1060" s="16" t="s">
        <v>5710</v>
      </c>
      <c r="AD1060" s="12" t="s">
        <v>112</v>
      </c>
      <c r="AE1060" s="12" t="s">
        <v>5711</v>
      </c>
      <c r="AF1060" s="12" t="s">
        <v>5726</v>
      </c>
      <c r="AG1060" s="12" t="s">
        <v>498</v>
      </c>
      <c r="AH1060" s="12" t="s">
        <v>116</v>
      </c>
      <c r="AI1060" s="12" t="s">
        <v>117</v>
      </c>
      <c r="AJ1060" s="12" t="s">
        <v>5727</v>
      </c>
      <c r="AK1060" s="12" t="s">
        <v>4</v>
      </c>
    </row>
    <row r="1061" customFormat="false" ht="15" hidden="false" customHeight="false" outlineLevel="0" collapsed="false">
      <c r="A1061" s="11" t="n">
        <v>1060</v>
      </c>
      <c r="B1061" s="12" t="s">
        <v>5720</v>
      </c>
      <c r="C1061" s="12" t="s">
        <v>5397</v>
      </c>
      <c r="D1061" s="12" t="s">
        <v>5398</v>
      </c>
      <c r="E1061" s="12" t="s">
        <v>759</v>
      </c>
      <c r="F1061" s="12" t="s">
        <v>5702</v>
      </c>
      <c r="G1061" s="12" t="s">
        <v>581</v>
      </c>
      <c r="H1061" s="12" t="s">
        <v>5721</v>
      </c>
      <c r="I1061" s="12" t="s">
        <v>978</v>
      </c>
      <c r="J1061" s="13" t="s">
        <v>5722</v>
      </c>
      <c r="K1061" s="12"/>
      <c r="L1061" s="12" t="s">
        <v>5728</v>
      </c>
      <c r="M1061" s="12" t="s">
        <v>5729</v>
      </c>
      <c r="N1061" s="12" t="s">
        <v>212</v>
      </c>
      <c r="O1061" s="12" t="s">
        <v>244</v>
      </c>
      <c r="P1061" s="12" t="s">
        <v>856</v>
      </c>
      <c r="Q1061" s="12" t="s">
        <v>5708</v>
      </c>
      <c r="R1061" s="14" t="n">
        <v>1.85</v>
      </c>
      <c r="S1061" s="14" t="s">
        <v>105</v>
      </c>
      <c r="T1061" s="14" t="s">
        <v>5409</v>
      </c>
      <c r="U1061" s="14" t="n">
        <v>2025</v>
      </c>
      <c r="V1061" s="12" t="s">
        <v>157</v>
      </c>
      <c r="W1061" s="14" t="s">
        <v>5730</v>
      </c>
      <c r="X1061" s="15" t="n">
        <f aca="false">IF(OR($S1061="%",$R1061=""),"",$R1061*INDEX(Cambi!$J$2:$J$5,MATCH($S1061,Cambi!$I$2:$I$5,0))/IF($T1061="EUR",1,INDEX(Cambi!$D:$D,MATCH($T1061&amp;"|"&amp;$U1061,Cambi!$C:$C,0))))</f>
        <v>2.15922221314441</v>
      </c>
      <c r="Y1061" s="12" t="s">
        <v>239</v>
      </c>
      <c r="Z1061" s="12" t="s">
        <v>109</v>
      </c>
      <c r="AA1061" s="12" t="s">
        <v>109</v>
      </c>
      <c r="AB1061" s="16" t="s">
        <v>394</v>
      </c>
      <c r="AC1061" s="16" t="s">
        <v>5710</v>
      </c>
      <c r="AD1061" s="12" t="s">
        <v>112</v>
      </c>
      <c r="AE1061" s="12" t="s">
        <v>5711</v>
      </c>
      <c r="AF1061" s="12" t="s">
        <v>5731</v>
      </c>
      <c r="AG1061" s="12" t="s">
        <v>498</v>
      </c>
      <c r="AH1061" s="12" t="s">
        <v>116</v>
      </c>
      <c r="AI1061" s="12" t="s">
        <v>117</v>
      </c>
      <c r="AJ1061" s="12" t="s">
        <v>5727</v>
      </c>
      <c r="AK1061" s="12" t="s">
        <v>4</v>
      </c>
    </row>
    <row r="1062" customFormat="false" ht="15" hidden="false" customHeight="false" outlineLevel="0" collapsed="false">
      <c r="A1062" s="11" t="n">
        <v>1061</v>
      </c>
      <c r="B1062" s="12" t="s">
        <v>3601</v>
      </c>
      <c r="C1062" s="12" t="s">
        <v>5397</v>
      </c>
      <c r="D1062" s="12" t="s">
        <v>5398</v>
      </c>
      <c r="E1062" s="12" t="s">
        <v>759</v>
      </c>
      <c r="F1062" s="12" t="s">
        <v>56</v>
      </c>
      <c r="G1062" s="12" t="s">
        <v>830</v>
      </c>
      <c r="H1062" s="12" t="s">
        <v>5732</v>
      </c>
      <c r="I1062" s="12" t="s">
        <v>5733</v>
      </c>
      <c r="J1062" s="13" t="s">
        <v>5734</v>
      </c>
      <c r="K1062" s="12"/>
      <c r="L1062" s="12" t="s">
        <v>5735</v>
      </c>
      <c r="M1062" s="12" t="s">
        <v>5736</v>
      </c>
      <c r="N1062" s="12" t="s">
        <v>352</v>
      </c>
      <c r="O1062" s="12" t="s">
        <v>102</v>
      </c>
      <c r="P1062" s="12" t="s">
        <v>103</v>
      </c>
      <c r="Q1062" s="12" t="s">
        <v>104</v>
      </c>
      <c r="R1062" s="14" t="n">
        <v>12</v>
      </c>
      <c r="S1062" s="14" t="s">
        <v>129</v>
      </c>
      <c r="T1062" s="14" t="s">
        <v>5409</v>
      </c>
      <c r="U1062" s="14" t="n">
        <v>2029</v>
      </c>
      <c r="V1062" s="12" t="s">
        <v>107</v>
      </c>
      <c r="W1062" s="14" t="s">
        <v>5737</v>
      </c>
      <c r="X1062" s="15" t="n">
        <f aca="false">IF(OR($S1062="%",$R1062=""),"",$R1062*INDEX(Cambi!$J$2:$J$5,MATCH($S1062,Cambi!$I$2:$I$5,0))/IF($T1062="EUR",1,INDEX(Cambi!$D:$D,MATCH($T1062&amp;"|"&amp;$U1062,Cambi!$C:$C,0))))</f>
        <v>14005.7657068827</v>
      </c>
      <c r="Y1062" s="12" t="s">
        <v>654</v>
      </c>
      <c r="Z1062" s="12" t="s">
        <v>109</v>
      </c>
      <c r="AA1062" s="12" t="s">
        <v>5738</v>
      </c>
      <c r="AB1062" s="16" t="s">
        <v>679</v>
      </c>
      <c r="AC1062" s="16" t="s">
        <v>5739</v>
      </c>
      <c r="AD1062" s="12" t="s">
        <v>112</v>
      </c>
      <c r="AE1062" s="12" t="s">
        <v>5740</v>
      </c>
      <c r="AF1062" s="12" t="s">
        <v>5741</v>
      </c>
      <c r="AG1062" s="12" t="s">
        <v>498</v>
      </c>
      <c r="AH1062" s="12" t="s">
        <v>838</v>
      </c>
      <c r="AI1062" s="12" t="s">
        <v>117</v>
      </c>
      <c r="AJ1062" s="12" t="s">
        <v>5742</v>
      </c>
      <c r="AK1062" s="12" t="s">
        <v>4</v>
      </c>
    </row>
    <row r="1063" customFormat="false" ht="15" hidden="false" customHeight="false" outlineLevel="0" collapsed="false">
      <c r="A1063" s="11" t="n">
        <v>1062</v>
      </c>
      <c r="B1063" s="12" t="s">
        <v>1292</v>
      </c>
      <c r="C1063" s="12" t="s">
        <v>5397</v>
      </c>
      <c r="D1063" s="12" t="s">
        <v>5398</v>
      </c>
      <c r="E1063" s="12" t="s">
        <v>759</v>
      </c>
      <c r="F1063" s="12" t="s">
        <v>56</v>
      </c>
      <c r="G1063" s="12" t="s">
        <v>830</v>
      </c>
      <c r="H1063" s="12" t="s">
        <v>5743</v>
      </c>
      <c r="I1063" s="12" t="s">
        <v>5744</v>
      </c>
      <c r="J1063" s="13" t="s">
        <v>5745</v>
      </c>
      <c r="K1063" s="12"/>
      <c r="L1063" s="12" t="s">
        <v>5746</v>
      </c>
      <c r="M1063" s="12" t="s">
        <v>5747</v>
      </c>
      <c r="N1063" s="12" t="s">
        <v>352</v>
      </c>
      <c r="O1063" s="12" t="s">
        <v>102</v>
      </c>
      <c r="P1063" s="12" t="s">
        <v>103</v>
      </c>
      <c r="Q1063" s="12" t="s">
        <v>104</v>
      </c>
      <c r="R1063" s="14" t="n">
        <v>10</v>
      </c>
      <c r="S1063" s="14" t="s">
        <v>129</v>
      </c>
      <c r="T1063" s="14" t="s">
        <v>653</v>
      </c>
      <c r="U1063" s="14" t="n">
        <v>2023</v>
      </c>
      <c r="V1063" s="12" t="s">
        <v>157</v>
      </c>
      <c r="W1063" s="14"/>
      <c r="X1063" s="15" t="n">
        <f aca="false">IF(OR($S1063="%",$R1063=""),"",$R1063*INDEX(Cambi!$J$2:$J$5,MATCH($S1063,Cambi!$I$2:$I$5,0))/IF($T1063="EUR",1,INDEX(Cambi!$D:$D,MATCH($T1063&amp;"|"&amp;$U1063,Cambi!$C:$C,0))))</f>
        <v>9248.12725423102</v>
      </c>
      <c r="Y1063" s="12" t="s">
        <v>654</v>
      </c>
      <c r="Z1063" s="12" t="s">
        <v>109</v>
      </c>
      <c r="AA1063" s="12" t="s">
        <v>5738</v>
      </c>
      <c r="AB1063" s="16" t="s">
        <v>679</v>
      </c>
      <c r="AC1063" s="16" t="s">
        <v>5748</v>
      </c>
      <c r="AD1063" s="12" t="s">
        <v>112</v>
      </c>
      <c r="AE1063" s="12" t="s">
        <v>5749</v>
      </c>
      <c r="AF1063" s="12" t="s">
        <v>5750</v>
      </c>
      <c r="AG1063" s="12" t="s">
        <v>498</v>
      </c>
      <c r="AH1063" s="12" t="s">
        <v>838</v>
      </c>
      <c r="AI1063" s="12" t="s">
        <v>117</v>
      </c>
      <c r="AJ1063" s="12" t="s">
        <v>5751</v>
      </c>
      <c r="AK1063" s="12" t="s">
        <v>4</v>
      </c>
    </row>
    <row r="1064" customFormat="false" ht="15" hidden="false" customHeight="false" outlineLevel="0" collapsed="false">
      <c r="A1064" s="11" t="n">
        <v>1063</v>
      </c>
      <c r="B1064" s="12" t="s">
        <v>5752</v>
      </c>
      <c r="C1064" s="12" t="s">
        <v>106</v>
      </c>
      <c r="D1064" s="12" t="s">
        <v>5753</v>
      </c>
      <c r="E1064" s="12" t="s">
        <v>5753</v>
      </c>
      <c r="F1064" s="12" t="s">
        <v>2127</v>
      </c>
      <c r="G1064" s="12" t="s">
        <v>830</v>
      </c>
      <c r="H1064" s="12" t="s">
        <v>5754</v>
      </c>
      <c r="I1064" s="12" t="s">
        <v>847</v>
      </c>
      <c r="J1064" s="13" t="s">
        <v>5755</v>
      </c>
      <c r="K1064" s="12"/>
      <c r="L1064" s="12" t="s">
        <v>5756</v>
      </c>
      <c r="M1064" s="12" t="s">
        <v>5757</v>
      </c>
      <c r="N1064" s="12" t="s">
        <v>352</v>
      </c>
      <c r="O1064" s="12" t="s">
        <v>102</v>
      </c>
      <c r="P1064" s="12" t="s">
        <v>103</v>
      </c>
      <c r="Q1064" s="12" t="s">
        <v>104</v>
      </c>
      <c r="R1064" s="14" t="n">
        <v>46</v>
      </c>
      <c r="S1064" s="14" t="s">
        <v>129</v>
      </c>
      <c r="T1064" s="14" t="s">
        <v>653</v>
      </c>
      <c r="U1064" s="14" t="n">
        <v>2025</v>
      </c>
      <c r="V1064" s="12" t="s">
        <v>157</v>
      </c>
      <c r="W1064" s="14"/>
      <c r="X1064" s="15" t="n">
        <f aca="false">IF(OR($S1064="%",$R1064=""),"",$R1064*INDEX(Cambi!$J$2:$J$5,MATCH($S1064,Cambi!$I$2:$I$5,0))/IF($T1064="EUR",1,INDEX(Cambi!$D:$D,MATCH($T1064&amp;"|"&amp;$U1064,Cambi!$C:$C,0))))</f>
        <v>40707.9646017699</v>
      </c>
      <c r="Y1064" s="12" t="s">
        <v>109</v>
      </c>
      <c r="Z1064" s="12" t="s">
        <v>285</v>
      </c>
      <c r="AA1064" s="12" t="s">
        <v>109</v>
      </c>
      <c r="AB1064" s="16" t="s">
        <v>110</v>
      </c>
      <c r="AC1064" s="16" t="s">
        <v>5758</v>
      </c>
      <c r="AD1064" s="12" t="s">
        <v>201</v>
      </c>
      <c r="AE1064" s="12" t="s">
        <v>5759</v>
      </c>
      <c r="AF1064" s="12" t="s">
        <v>5760</v>
      </c>
      <c r="AG1064" s="12" t="s">
        <v>498</v>
      </c>
      <c r="AH1064" s="12" t="s">
        <v>838</v>
      </c>
      <c r="AI1064" s="12" t="s">
        <v>117</v>
      </c>
      <c r="AJ1064" s="12" t="s">
        <v>5761</v>
      </c>
      <c r="AK1064" s="12" t="s">
        <v>4</v>
      </c>
    </row>
    <row r="1065" customFormat="false" ht="15" hidden="false" customHeight="false" outlineLevel="0" collapsed="false">
      <c r="A1065" s="11" t="n">
        <v>1064</v>
      </c>
      <c r="B1065" s="12" t="s">
        <v>5752</v>
      </c>
      <c r="C1065" s="12" t="s">
        <v>106</v>
      </c>
      <c r="D1065" s="12" t="s">
        <v>5753</v>
      </c>
      <c r="E1065" s="12" t="s">
        <v>5753</v>
      </c>
      <c r="F1065" s="12" t="s">
        <v>2127</v>
      </c>
      <c r="G1065" s="12" t="s">
        <v>830</v>
      </c>
      <c r="H1065" s="12" t="s">
        <v>5754</v>
      </c>
      <c r="I1065" s="12" t="s">
        <v>847</v>
      </c>
      <c r="J1065" s="13" t="s">
        <v>5755</v>
      </c>
      <c r="K1065" s="12"/>
      <c r="L1065" s="12" t="s">
        <v>5756</v>
      </c>
      <c r="M1065" s="12" t="s">
        <v>5762</v>
      </c>
      <c r="N1065" s="12" t="s">
        <v>352</v>
      </c>
      <c r="O1065" s="12" t="s">
        <v>102</v>
      </c>
      <c r="P1065" s="12" t="s">
        <v>103</v>
      </c>
      <c r="Q1065" s="12" t="s">
        <v>104</v>
      </c>
      <c r="R1065" s="14" t="n">
        <v>80</v>
      </c>
      <c r="S1065" s="14" t="s">
        <v>129</v>
      </c>
      <c r="T1065" s="14" t="s">
        <v>653</v>
      </c>
      <c r="U1065" s="14" t="n">
        <v>2032</v>
      </c>
      <c r="V1065" s="12" t="s">
        <v>107</v>
      </c>
      <c r="W1065" s="14" t="s">
        <v>5763</v>
      </c>
      <c r="X1065" s="15" t="n">
        <f aca="false">IF(OR($S1065="%",$R1065=""),"",$R1065*INDEX(Cambi!$J$2:$J$5,MATCH($S1065,Cambi!$I$2:$I$5,0))/IF($T1065="EUR",1,INDEX(Cambi!$D:$D,MATCH($T1065&amp;"|"&amp;$U1065,Cambi!$C:$C,0))))</f>
        <v>70796.4601769912</v>
      </c>
      <c r="Y1065" s="12" t="s">
        <v>109</v>
      </c>
      <c r="Z1065" s="12" t="s">
        <v>285</v>
      </c>
      <c r="AA1065" s="12" t="s">
        <v>109</v>
      </c>
      <c r="AB1065" s="16" t="s">
        <v>110</v>
      </c>
      <c r="AC1065" s="16" t="s">
        <v>5758</v>
      </c>
      <c r="AD1065" s="12" t="s">
        <v>201</v>
      </c>
      <c r="AE1065" s="12" t="s">
        <v>5759</v>
      </c>
      <c r="AF1065" s="12" t="s">
        <v>5764</v>
      </c>
      <c r="AG1065" s="12" t="s">
        <v>498</v>
      </c>
      <c r="AH1065" s="12" t="s">
        <v>838</v>
      </c>
      <c r="AI1065" s="12" t="s">
        <v>117</v>
      </c>
      <c r="AJ1065" s="12" t="s">
        <v>266</v>
      </c>
      <c r="AK1065" s="12" t="s">
        <v>4</v>
      </c>
    </row>
    <row r="1066" customFormat="false" ht="15" hidden="false" customHeight="false" outlineLevel="0" collapsed="false">
      <c r="A1066" s="11" t="n">
        <v>1065</v>
      </c>
      <c r="B1066" s="12" t="s">
        <v>5765</v>
      </c>
      <c r="C1066" s="12" t="s">
        <v>106</v>
      </c>
      <c r="D1066" s="12" t="s">
        <v>5753</v>
      </c>
      <c r="E1066" s="12" t="s">
        <v>5753</v>
      </c>
      <c r="F1066" s="12" t="s">
        <v>5766</v>
      </c>
      <c r="G1066" s="12" t="s">
        <v>581</v>
      </c>
      <c r="H1066" s="12" t="s">
        <v>5767</v>
      </c>
      <c r="I1066" s="12" t="s">
        <v>1012</v>
      </c>
      <c r="J1066" s="13" t="s">
        <v>1013</v>
      </c>
      <c r="K1066" s="12" t="s">
        <v>5768</v>
      </c>
      <c r="L1066" s="12" t="s">
        <v>5769</v>
      </c>
      <c r="M1066" s="12" t="s">
        <v>5770</v>
      </c>
      <c r="N1066" s="12" t="s">
        <v>352</v>
      </c>
      <c r="O1066" s="12" t="s">
        <v>102</v>
      </c>
      <c r="P1066" s="12" t="s">
        <v>103</v>
      </c>
      <c r="Q1066" s="12" t="s">
        <v>104</v>
      </c>
      <c r="R1066" s="14" t="n">
        <v>35</v>
      </c>
      <c r="S1066" s="14" t="s">
        <v>129</v>
      </c>
      <c r="T1066" s="14" t="s">
        <v>106</v>
      </c>
      <c r="U1066" s="14" t="n">
        <v>2022</v>
      </c>
      <c r="V1066" s="12" t="s">
        <v>157</v>
      </c>
      <c r="W1066" s="14"/>
      <c r="X1066" s="15" t="n">
        <f aca="false">IF(OR($S1066="%",$R1066=""),"",$R1066*INDEX(Cambi!$J$2:$J$5,MATCH($S1066,Cambi!$I$2:$I$5,0))/IF($T1066="EUR",1,INDEX(Cambi!$D:$D,MATCH($T1066&amp;"|"&amp;$U1066,Cambi!$C:$C,0))))</f>
        <v>35000</v>
      </c>
      <c r="Y1066" s="12" t="s">
        <v>109</v>
      </c>
      <c r="Z1066" s="12" t="s">
        <v>285</v>
      </c>
      <c r="AA1066" s="12" t="s">
        <v>5771</v>
      </c>
      <c r="AB1066" s="16" t="s">
        <v>110</v>
      </c>
      <c r="AC1066" s="16" t="s">
        <v>5772</v>
      </c>
      <c r="AD1066" s="12" t="s">
        <v>112</v>
      </c>
      <c r="AE1066" s="12" t="s">
        <v>5773</v>
      </c>
      <c r="AF1066" s="12" t="s">
        <v>5774</v>
      </c>
      <c r="AG1066" s="12" t="s">
        <v>284</v>
      </c>
      <c r="AH1066" s="12" t="s">
        <v>116</v>
      </c>
      <c r="AI1066" s="12" t="s">
        <v>285</v>
      </c>
      <c r="AJ1066" s="12" t="s">
        <v>5775</v>
      </c>
      <c r="AK1066" s="12" t="s">
        <v>4</v>
      </c>
    </row>
    <row r="1067" customFormat="false" ht="15" hidden="false" customHeight="false" outlineLevel="0" collapsed="false">
      <c r="A1067" s="11" t="n">
        <v>1066</v>
      </c>
      <c r="B1067" s="12" t="s">
        <v>5765</v>
      </c>
      <c r="C1067" s="12" t="s">
        <v>106</v>
      </c>
      <c r="D1067" s="12" t="s">
        <v>5753</v>
      </c>
      <c r="E1067" s="12" t="s">
        <v>5753</v>
      </c>
      <c r="F1067" s="12" t="s">
        <v>5766</v>
      </c>
      <c r="G1067" s="12" t="s">
        <v>581</v>
      </c>
      <c r="H1067" s="12" t="s">
        <v>5767</v>
      </c>
      <c r="I1067" s="12" t="s">
        <v>1012</v>
      </c>
      <c r="J1067" s="13" t="s">
        <v>1013</v>
      </c>
      <c r="K1067" s="12" t="s">
        <v>5768</v>
      </c>
      <c r="L1067" s="12" t="s">
        <v>5769</v>
      </c>
      <c r="M1067" s="12" t="s">
        <v>5776</v>
      </c>
      <c r="N1067" s="12" t="s">
        <v>352</v>
      </c>
      <c r="O1067" s="12" t="s">
        <v>102</v>
      </c>
      <c r="P1067" s="12" t="s">
        <v>103</v>
      </c>
      <c r="Q1067" s="12" t="s">
        <v>104</v>
      </c>
      <c r="R1067" s="14" t="n">
        <v>38.4</v>
      </c>
      <c r="S1067" s="14" t="s">
        <v>129</v>
      </c>
      <c r="T1067" s="14" t="s">
        <v>106</v>
      </c>
      <c r="U1067" s="14" t="n">
        <v>2023</v>
      </c>
      <c r="V1067" s="12" t="s">
        <v>157</v>
      </c>
      <c r="W1067" s="14"/>
      <c r="X1067" s="15" t="n">
        <f aca="false">IF(OR($S1067="%",$R1067=""),"",$R1067*INDEX(Cambi!$J$2:$J$5,MATCH($S1067,Cambi!$I$2:$I$5,0))/IF($T1067="EUR",1,INDEX(Cambi!$D:$D,MATCH($T1067&amp;"|"&amp;$U1067,Cambi!$C:$C,0))))</f>
        <v>38400</v>
      </c>
      <c r="Y1067" s="12" t="s">
        <v>109</v>
      </c>
      <c r="Z1067" s="12" t="s">
        <v>285</v>
      </c>
      <c r="AA1067" s="12" t="s">
        <v>5771</v>
      </c>
      <c r="AB1067" s="16" t="s">
        <v>110</v>
      </c>
      <c r="AC1067" s="16" t="s">
        <v>5772</v>
      </c>
      <c r="AD1067" s="12" t="s">
        <v>112</v>
      </c>
      <c r="AE1067" s="12" t="s">
        <v>5773</v>
      </c>
      <c r="AF1067" s="12" t="s">
        <v>5774</v>
      </c>
      <c r="AG1067" s="12" t="s">
        <v>284</v>
      </c>
      <c r="AH1067" s="12" t="s">
        <v>116</v>
      </c>
      <c r="AI1067" s="12" t="s">
        <v>285</v>
      </c>
      <c r="AJ1067" s="12" t="s">
        <v>5777</v>
      </c>
      <c r="AK1067" s="12" t="s">
        <v>4</v>
      </c>
    </row>
    <row r="1068" customFormat="false" ht="15" hidden="false" customHeight="false" outlineLevel="0" collapsed="false">
      <c r="A1068" s="11" t="n">
        <v>1067</v>
      </c>
      <c r="B1068" s="12" t="s">
        <v>5765</v>
      </c>
      <c r="C1068" s="12" t="s">
        <v>106</v>
      </c>
      <c r="D1068" s="12" t="s">
        <v>5753</v>
      </c>
      <c r="E1068" s="12" t="s">
        <v>5753</v>
      </c>
      <c r="F1068" s="12" t="s">
        <v>5766</v>
      </c>
      <c r="G1068" s="12" t="s">
        <v>581</v>
      </c>
      <c r="H1068" s="12" t="s">
        <v>5767</v>
      </c>
      <c r="I1068" s="12" t="s">
        <v>1012</v>
      </c>
      <c r="J1068" s="13" t="s">
        <v>1013</v>
      </c>
      <c r="K1068" s="12" t="s">
        <v>5768</v>
      </c>
      <c r="L1068" s="12" t="s">
        <v>5769</v>
      </c>
      <c r="M1068" s="12" t="s">
        <v>5778</v>
      </c>
      <c r="N1068" s="12" t="s">
        <v>352</v>
      </c>
      <c r="O1068" s="12" t="s">
        <v>102</v>
      </c>
      <c r="P1068" s="12" t="s">
        <v>103</v>
      </c>
      <c r="Q1068" s="12" t="s">
        <v>104</v>
      </c>
      <c r="R1068" s="14" t="n">
        <v>42.1</v>
      </c>
      <c r="S1068" s="14" t="s">
        <v>129</v>
      </c>
      <c r="T1068" s="14" t="s">
        <v>106</v>
      </c>
      <c r="U1068" s="14" t="n">
        <v>2024</v>
      </c>
      <c r="V1068" s="12" t="s">
        <v>157</v>
      </c>
      <c r="W1068" s="14"/>
      <c r="X1068" s="15" t="n">
        <f aca="false">IF(OR($S1068="%",$R1068=""),"",$R1068*INDEX(Cambi!$J$2:$J$5,MATCH($S1068,Cambi!$I$2:$I$5,0))/IF($T1068="EUR",1,INDEX(Cambi!$D:$D,MATCH($T1068&amp;"|"&amp;$U1068,Cambi!$C:$C,0))))</f>
        <v>42100</v>
      </c>
      <c r="Y1068" s="12" t="s">
        <v>109</v>
      </c>
      <c r="Z1068" s="12" t="s">
        <v>285</v>
      </c>
      <c r="AA1068" s="12" t="s">
        <v>5771</v>
      </c>
      <c r="AB1068" s="16" t="s">
        <v>110</v>
      </c>
      <c r="AC1068" s="16" t="s">
        <v>5772</v>
      </c>
      <c r="AD1068" s="12" t="s">
        <v>112</v>
      </c>
      <c r="AE1068" s="12" t="s">
        <v>5773</v>
      </c>
      <c r="AF1068" s="12" t="s">
        <v>5774</v>
      </c>
      <c r="AG1068" s="12" t="s">
        <v>284</v>
      </c>
      <c r="AH1068" s="12" t="s">
        <v>116</v>
      </c>
      <c r="AI1068" s="12" t="s">
        <v>285</v>
      </c>
      <c r="AJ1068" s="12" t="s">
        <v>5779</v>
      </c>
      <c r="AK1068" s="12" t="s">
        <v>4</v>
      </c>
    </row>
    <row r="1069" customFormat="false" ht="15" hidden="false" customHeight="false" outlineLevel="0" collapsed="false">
      <c r="A1069" s="11" t="n">
        <v>1068</v>
      </c>
      <c r="B1069" s="12" t="s">
        <v>5765</v>
      </c>
      <c r="C1069" s="12" t="s">
        <v>106</v>
      </c>
      <c r="D1069" s="12" t="s">
        <v>5753</v>
      </c>
      <c r="E1069" s="12" t="s">
        <v>5753</v>
      </c>
      <c r="F1069" s="12" t="s">
        <v>5766</v>
      </c>
      <c r="G1069" s="12" t="s">
        <v>581</v>
      </c>
      <c r="H1069" s="12" t="s">
        <v>5767</v>
      </c>
      <c r="I1069" s="12" t="s">
        <v>1012</v>
      </c>
      <c r="J1069" s="13" t="s">
        <v>1013</v>
      </c>
      <c r="K1069" s="12" t="s">
        <v>5768</v>
      </c>
      <c r="L1069" s="12" t="s">
        <v>5769</v>
      </c>
      <c r="M1069" s="12" t="s">
        <v>5780</v>
      </c>
      <c r="N1069" s="12" t="s">
        <v>352</v>
      </c>
      <c r="O1069" s="12" t="s">
        <v>102</v>
      </c>
      <c r="P1069" s="12" t="s">
        <v>103</v>
      </c>
      <c r="Q1069" s="12" t="s">
        <v>104</v>
      </c>
      <c r="R1069" s="14" t="n">
        <v>45.7</v>
      </c>
      <c r="S1069" s="14" t="s">
        <v>129</v>
      </c>
      <c r="T1069" s="14" t="s">
        <v>106</v>
      </c>
      <c r="U1069" s="14" t="n">
        <v>2025</v>
      </c>
      <c r="V1069" s="12" t="s">
        <v>198</v>
      </c>
      <c r="W1069" s="14"/>
      <c r="X1069" s="15" t="n">
        <f aca="false">IF(OR($S1069="%",$R1069=""),"",$R1069*INDEX(Cambi!$J$2:$J$5,MATCH($S1069,Cambi!$I$2:$I$5,0))/IF($T1069="EUR",1,INDEX(Cambi!$D:$D,MATCH($T1069&amp;"|"&amp;$U1069,Cambi!$C:$C,0))))</f>
        <v>45700</v>
      </c>
      <c r="Y1069" s="12" t="s">
        <v>109</v>
      </c>
      <c r="Z1069" s="12" t="s">
        <v>285</v>
      </c>
      <c r="AA1069" s="12" t="s">
        <v>5771</v>
      </c>
      <c r="AB1069" s="16" t="s">
        <v>110</v>
      </c>
      <c r="AC1069" s="16" t="s">
        <v>5772</v>
      </c>
      <c r="AD1069" s="12" t="s">
        <v>112</v>
      </c>
      <c r="AE1069" s="12" t="s">
        <v>5773</v>
      </c>
      <c r="AF1069" s="12" t="s">
        <v>5774</v>
      </c>
      <c r="AG1069" s="12" t="s">
        <v>284</v>
      </c>
      <c r="AH1069" s="12" t="s">
        <v>116</v>
      </c>
      <c r="AI1069" s="12" t="s">
        <v>285</v>
      </c>
      <c r="AJ1069" s="12" t="s">
        <v>5781</v>
      </c>
      <c r="AK1069" s="12" t="s">
        <v>4</v>
      </c>
    </row>
    <row r="1070" customFormat="false" ht="15" hidden="false" customHeight="false" outlineLevel="0" collapsed="false">
      <c r="A1070" s="11" t="n">
        <v>1069</v>
      </c>
      <c r="B1070" s="12" t="s">
        <v>5765</v>
      </c>
      <c r="C1070" s="12" t="s">
        <v>106</v>
      </c>
      <c r="D1070" s="12" t="s">
        <v>5753</v>
      </c>
      <c r="E1070" s="12" t="s">
        <v>5753</v>
      </c>
      <c r="F1070" s="12" t="s">
        <v>5766</v>
      </c>
      <c r="G1070" s="12" t="s">
        <v>581</v>
      </c>
      <c r="H1070" s="12" t="s">
        <v>5767</v>
      </c>
      <c r="I1070" s="12" t="s">
        <v>1012</v>
      </c>
      <c r="J1070" s="13" t="s">
        <v>1013</v>
      </c>
      <c r="K1070" s="12" t="s">
        <v>5768</v>
      </c>
      <c r="L1070" s="12" t="s">
        <v>5769</v>
      </c>
      <c r="M1070" s="12" t="s">
        <v>5782</v>
      </c>
      <c r="N1070" s="12" t="s">
        <v>352</v>
      </c>
      <c r="O1070" s="12" t="s">
        <v>102</v>
      </c>
      <c r="P1070" s="12" t="s">
        <v>103</v>
      </c>
      <c r="Q1070" s="12" t="s">
        <v>104</v>
      </c>
      <c r="R1070" s="14" t="n">
        <v>49.2</v>
      </c>
      <c r="S1070" s="14" t="s">
        <v>129</v>
      </c>
      <c r="T1070" s="14" t="s">
        <v>106</v>
      </c>
      <c r="U1070" s="14" t="n">
        <v>2026</v>
      </c>
      <c r="V1070" s="12" t="s">
        <v>198</v>
      </c>
      <c r="W1070" s="14"/>
      <c r="X1070" s="15" t="n">
        <f aca="false">IF(OR($S1070="%",$R1070=""),"",$R1070*INDEX(Cambi!$J$2:$J$5,MATCH($S1070,Cambi!$I$2:$I$5,0))/IF($T1070="EUR",1,INDEX(Cambi!$D:$D,MATCH($T1070&amp;"|"&amp;$U1070,Cambi!$C:$C,0))))</f>
        <v>49200</v>
      </c>
      <c r="Y1070" s="12" t="s">
        <v>109</v>
      </c>
      <c r="Z1070" s="12" t="s">
        <v>285</v>
      </c>
      <c r="AA1070" s="12" t="s">
        <v>5771</v>
      </c>
      <c r="AB1070" s="16" t="s">
        <v>110</v>
      </c>
      <c r="AC1070" s="16" t="s">
        <v>5772</v>
      </c>
      <c r="AD1070" s="12" t="s">
        <v>112</v>
      </c>
      <c r="AE1070" s="12" t="s">
        <v>5773</v>
      </c>
      <c r="AF1070" s="12" t="s">
        <v>5774</v>
      </c>
      <c r="AG1070" s="12" t="s">
        <v>284</v>
      </c>
      <c r="AH1070" s="12" t="s">
        <v>116</v>
      </c>
      <c r="AI1070" s="12" t="s">
        <v>285</v>
      </c>
      <c r="AJ1070" s="12" t="s">
        <v>5783</v>
      </c>
      <c r="AK1070" s="12" t="s">
        <v>4</v>
      </c>
    </row>
    <row r="1071" customFormat="false" ht="15" hidden="false" customHeight="false" outlineLevel="0" collapsed="false">
      <c r="A1071" s="11" t="n">
        <v>1070</v>
      </c>
      <c r="B1071" s="12" t="s">
        <v>5765</v>
      </c>
      <c r="C1071" s="12" t="s">
        <v>106</v>
      </c>
      <c r="D1071" s="12" t="s">
        <v>5753</v>
      </c>
      <c r="E1071" s="12" t="s">
        <v>5753</v>
      </c>
      <c r="F1071" s="12" t="s">
        <v>5766</v>
      </c>
      <c r="G1071" s="12" t="s">
        <v>581</v>
      </c>
      <c r="H1071" s="12" t="s">
        <v>5767</v>
      </c>
      <c r="I1071" s="12" t="s">
        <v>1012</v>
      </c>
      <c r="J1071" s="13" t="s">
        <v>1013</v>
      </c>
      <c r="K1071" s="12" t="s">
        <v>5768</v>
      </c>
      <c r="L1071" s="12" t="s">
        <v>5784</v>
      </c>
      <c r="M1071" s="12" t="s">
        <v>5785</v>
      </c>
      <c r="N1071" s="12" t="s">
        <v>352</v>
      </c>
      <c r="O1071" s="12" t="s">
        <v>196</v>
      </c>
      <c r="P1071" s="12" t="s">
        <v>103</v>
      </c>
      <c r="Q1071" s="12" t="s">
        <v>104</v>
      </c>
      <c r="R1071" s="14" t="n">
        <v>24.9</v>
      </c>
      <c r="S1071" s="14" t="s">
        <v>197</v>
      </c>
      <c r="T1071" s="14"/>
      <c r="U1071" s="14" t="n">
        <v>2026</v>
      </c>
      <c r="V1071" s="12" t="s">
        <v>198</v>
      </c>
      <c r="W1071" s="14"/>
      <c r="X1071" s="15" t="str">
        <f aca="false">IF(OR($S1071="%",$R1071=""),"",$R1071*INDEX(Cambi!$J$2:$J$5,MATCH($S1071,Cambi!$I$2:$I$5,0))/IF($T1071="EUR",1,INDEX(Cambi!$D:$D,MATCH($T1071&amp;"|"&amp;$U1071,Cambi!$C:$C,0))))</f>
        <v/>
      </c>
      <c r="Y1071" s="12" t="s">
        <v>109</v>
      </c>
      <c r="Z1071" s="12" t="s">
        <v>285</v>
      </c>
      <c r="AA1071" s="12" t="s">
        <v>5771</v>
      </c>
      <c r="AB1071" s="16" t="s">
        <v>110</v>
      </c>
      <c r="AC1071" s="16" t="s">
        <v>5772</v>
      </c>
      <c r="AD1071" s="12" t="s">
        <v>112</v>
      </c>
      <c r="AE1071" s="12" t="s">
        <v>5773</v>
      </c>
      <c r="AF1071" s="12" t="s">
        <v>5786</v>
      </c>
      <c r="AG1071" s="12" t="s">
        <v>284</v>
      </c>
      <c r="AH1071" s="12" t="s">
        <v>116</v>
      </c>
      <c r="AI1071" s="12" t="s">
        <v>285</v>
      </c>
      <c r="AJ1071" s="12" t="s">
        <v>5787</v>
      </c>
      <c r="AK1071" s="12" t="s">
        <v>4</v>
      </c>
    </row>
    <row r="1072" customFormat="false" ht="15" hidden="false" customHeight="false" outlineLevel="0" collapsed="false">
      <c r="A1072" s="11" t="n">
        <v>1071</v>
      </c>
      <c r="B1072" s="12" t="s">
        <v>5765</v>
      </c>
      <c r="C1072" s="12" t="s">
        <v>106</v>
      </c>
      <c r="D1072" s="12" t="s">
        <v>5753</v>
      </c>
      <c r="E1072" s="12" t="s">
        <v>5753</v>
      </c>
      <c r="F1072" s="12" t="s">
        <v>5766</v>
      </c>
      <c r="G1072" s="12" t="s">
        <v>581</v>
      </c>
      <c r="H1072" s="12" t="s">
        <v>5767</v>
      </c>
      <c r="I1072" s="12" t="s">
        <v>1012</v>
      </c>
      <c r="J1072" s="13" t="s">
        <v>1013</v>
      </c>
      <c r="K1072" s="12" t="s">
        <v>5768</v>
      </c>
      <c r="L1072" s="12" t="s">
        <v>5769</v>
      </c>
      <c r="M1072" s="12" t="s">
        <v>5788</v>
      </c>
      <c r="N1072" s="12" t="s">
        <v>352</v>
      </c>
      <c r="O1072" s="12" t="s">
        <v>102</v>
      </c>
      <c r="P1072" s="12" t="s">
        <v>103</v>
      </c>
      <c r="Q1072" s="12" t="s">
        <v>104</v>
      </c>
      <c r="R1072" s="14" t="n">
        <v>52.3</v>
      </c>
      <c r="S1072" s="14" t="s">
        <v>129</v>
      </c>
      <c r="T1072" s="14" t="s">
        <v>106</v>
      </c>
      <c r="U1072" s="14" t="n">
        <v>2027</v>
      </c>
      <c r="V1072" s="12" t="s">
        <v>107</v>
      </c>
      <c r="W1072" s="14"/>
      <c r="X1072" s="15" t="n">
        <f aca="false">IF(OR($S1072="%",$R1072=""),"",$R1072*INDEX(Cambi!$J$2:$J$5,MATCH($S1072,Cambi!$I$2:$I$5,0))/IF($T1072="EUR",1,INDEX(Cambi!$D:$D,MATCH($T1072&amp;"|"&amp;$U1072,Cambi!$C:$C,0))))</f>
        <v>52300</v>
      </c>
      <c r="Y1072" s="12" t="s">
        <v>109</v>
      </c>
      <c r="Z1072" s="12" t="s">
        <v>285</v>
      </c>
      <c r="AA1072" s="12" t="s">
        <v>5771</v>
      </c>
      <c r="AB1072" s="16" t="s">
        <v>110</v>
      </c>
      <c r="AC1072" s="16" t="s">
        <v>5772</v>
      </c>
      <c r="AD1072" s="12" t="s">
        <v>112</v>
      </c>
      <c r="AE1072" s="12" t="s">
        <v>5773</v>
      </c>
      <c r="AF1072" s="12" t="s">
        <v>5774</v>
      </c>
      <c r="AG1072" s="12" t="s">
        <v>284</v>
      </c>
      <c r="AH1072" s="12" t="s">
        <v>116</v>
      </c>
      <c r="AI1072" s="12" t="s">
        <v>285</v>
      </c>
      <c r="AJ1072" s="12" t="s">
        <v>5789</v>
      </c>
      <c r="AK1072" s="12" t="s">
        <v>4</v>
      </c>
    </row>
    <row r="1073" customFormat="false" ht="15" hidden="false" customHeight="false" outlineLevel="0" collapsed="false">
      <c r="A1073" s="11" t="n">
        <v>1072</v>
      </c>
      <c r="B1073" s="12" t="s">
        <v>5765</v>
      </c>
      <c r="C1073" s="12" t="s">
        <v>106</v>
      </c>
      <c r="D1073" s="12" t="s">
        <v>5753</v>
      </c>
      <c r="E1073" s="12" t="s">
        <v>5753</v>
      </c>
      <c r="F1073" s="12" t="s">
        <v>5766</v>
      </c>
      <c r="G1073" s="12" t="s">
        <v>581</v>
      </c>
      <c r="H1073" s="12" t="s">
        <v>5767</v>
      </c>
      <c r="I1073" s="12" t="s">
        <v>1012</v>
      </c>
      <c r="J1073" s="13" t="s">
        <v>1013</v>
      </c>
      <c r="K1073" s="12" t="s">
        <v>5768</v>
      </c>
      <c r="L1073" s="12" t="s">
        <v>5769</v>
      </c>
      <c r="M1073" s="12" t="s">
        <v>5790</v>
      </c>
      <c r="N1073" s="12" t="s">
        <v>352</v>
      </c>
      <c r="O1073" s="12" t="s">
        <v>102</v>
      </c>
      <c r="P1073" s="12" t="s">
        <v>103</v>
      </c>
      <c r="Q1073" s="12" t="s">
        <v>104</v>
      </c>
      <c r="R1073" s="14" t="n">
        <v>55.4</v>
      </c>
      <c r="S1073" s="14" t="s">
        <v>129</v>
      </c>
      <c r="T1073" s="14" t="s">
        <v>106</v>
      </c>
      <c r="U1073" s="14" t="n">
        <v>2028</v>
      </c>
      <c r="V1073" s="12" t="s">
        <v>107</v>
      </c>
      <c r="W1073" s="14"/>
      <c r="X1073" s="15" t="n">
        <f aca="false">IF(OR($S1073="%",$R1073=""),"",$R1073*INDEX(Cambi!$J$2:$J$5,MATCH($S1073,Cambi!$I$2:$I$5,0))/IF($T1073="EUR",1,INDEX(Cambi!$D:$D,MATCH($T1073&amp;"|"&amp;$U1073,Cambi!$C:$C,0))))</f>
        <v>55400</v>
      </c>
      <c r="Y1073" s="12" t="s">
        <v>109</v>
      </c>
      <c r="Z1073" s="12" t="s">
        <v>285</v>
      </c>
      <c r="AA1073" s="12" t="s">
        <v>5771</v>
      </c>
      <c r="AB1073" s="16" t="s">
        <v>110</v>
      </c>
      <c r="AC1073" s="16" t="s">
        <v>5772</v>
      </c>
      <c r="AD1073" s="12" t="s">
        <v>112</v>
      </c>
      <c r="AE1073" s="12" t="s">
        <v>5773</v>
      </c>
      <c r="AF1073" s="12" t="s">
        <v>5774</v>
      </c>
      <c r="AG1073" s="12" t="s">
        <v>284</v>
      </c>
      <c r="AH1073" s="12" t="s">
        <v>116</v>
      </c>
      <c r="AI1073" s="12" t="s">
        <v>285</v>
      </c>
      <c r="AJ1073" s="12" t="s">
        <v>5789</v>
      </c>
      <c r="AK1073" s="12" t="s">
        <v>4</v>
      </c>
    </row>
    <row r="1074" customFormat="false" ht="15" hidden="false" customHeight="false" outlineLevel="0" collapsed="false">
      <c r="A1074" s="11" t="n">
        <v>1073</v>
      </c>
      <c r="B1074" s="12" t="s">
        <v>5765</v>
      </c>
      <c r="C1074" s="12" t="s">
        <v>106</v>
      </c>
      <c r="D1074" s="12" t="s">
        <v>5753</v>
      </c>
      <c r="E1074" s="12" t="s">
        <v>5753</v>
      </c>
      <c r="F1074" s="12" t="s">
        <v>5766</v>
      </c>
      <c r="G1074" s="12" t="s">
        <v>581</v>
      </c>
      <c r="H1074" s="12" t="s">
        <v>5767</v>
      </c>
      <c r="I1074" s="12" t="s">
        <v>1012</v>
      </c>
      <c r="J1074" s="13" t="s">
        <v>1013</v>
      </c>
      <c r="K1074" s="12" t="s">
        <v>5768</v>
      </c>
      <c r="L1074" s="12" t="s">
        <v>5769</v>
      </c>
      <c r="M1074" s="12" t="s">
        <v>5791</v>
      </c>
      <c r="N1074" s="12" t="s">
        <v>352</v>
      </c>
      <c r="O1074" s="12" t="s">
        <v>102</v>
      </c>
      <c r="P1074" s="12" t="s">
        <v>103</v>
      </c>
      <c r="Q1074" s="12" t="s">
        <v>104</v>
      </c>
      <c r="R1074" s="14" t="n">
        <v>58.6</v>
      </c>
      <c r="S1074" s="14" t="s">
        <v>129</v>
      </c>
      <c r="T1074" s="14" t="s">
        <v>106</v>
      </c>
      <c r="U1074" s="14" t="n">
        <v>2029</v>
      </c>
      <c r="V1074" s="12" t="s">
        <v>107</v>
      </c>
      <c r="W1074" s="14"/>
      <c r="X1074" s="15" t="n">
        <f aca="false">IF(OR($S1074="%",$R1074=""),"",$R1074*INDEX(Cambi!$J$2:$J$5,MATCH($S1074,Cambi!$I$2:$I$5,0))/IF($T1074="EUR",1,INDEX(Cambi!$D:$D,MATCH($T1074&amp;"|"&amp;$U1074,Cambi!$C:$C,0))))</f>
        <v>58600</v>
      </c>
      <c r="Y1074" s="12" t="s">
        <v>109</v>
      </c>
      <c r="Z1074" s="12" t="s">
        <v>285</v>
      </c>
      <c r="AA1074" s="12" t="s">
        <v>5771</v>
      </c>
      <c r="AB1074" s="16" t="s">
        <v>110</v>
      </c>
      <c r="AC1074" s="16" t="s">
        <v>5772</v>
      </c>
      <c r="AD1074" s="12" t="s">
        <v>112</v>
      </c>
      <c r="AE1074" s="12" t="s">
        <v>5773</v>
      </c>
      <c r="AF1074" s="12" t="s">
        <v>5774</v>
      </c>
      <c r="AG1074" s="12" t="s">
        <v>284</v>
      </c>
      <c r="AH1074" s="12" t="s">
        <v>116</v>
      </c>
      <c r="AI1074" s="12" t="s">
        <v>285</v>
      </c>
      <c r="AJ1074" s="12" t="s">
        <v>5789</v>
      </c>
      <c r="AK1074" s="12" t="s">
        <v>4</v>
      </c>
    </row>
    <row r="1075" customFormat="false" ht="15" hidden="false" customHeight="false" outlineLevel="0" collapsed="false">
      <c r="A1075" s="11" t="n">
        <v>1074</v>
      </c>
      <c r="B1075" s="12" t="s">
        <v>5765</v>
      </c>
      <c r="C1075" s="12" t="s">
        <v>106</v>
      </c>
      <c r="D1075" s="12" t="s">
        <v>5753</v>
      </c>
      <c r="E1075" s="12" t="s">
        <v>5753</v>
      </c>
      <c r="F1075" s="12" t="s">
        <v>5766</v>
      </c>
      <c r="G1075" s="12" t="s">
        <v>581</v>
      </c>
      <c r="H1075" s="12" t="s">
        <v>5767</v>
      </c>
      <c r="I1075" s="12" t="s">
        <v>1012</v>
      </c>
      <c r="J1075" s="13" t="s">
        <v>1013</v>
      </c>
      <c r="K1075" s="12" t="s">
        <v>5768</v>
      </c>
      <c r="L1075" s="12" t="s">
        <v>5769</v>
      </c>
      <c r="M1075" s="12" t="s">
        <v>5792</v>
      </c>
      <c r="N1075" s="12" t="s">
        <v>352</v>
      </c>
      <c r="O1075" s="12" t="s">
        <v>102</v>
      </c>
      <c r="P1075" s="12" t="s">
        <v>103</v>
      </c>
      <c r="Q1075" s="12" t="s">
        <v>104</v>
      </c>
      <c r="R1075" s="14" t="n">
        <v>61.6</v>
      </c>
      <c r="S1075" s="14" t="s">
        <v>129</v>
      </c>
      <c r="T1075" s="14" t="s">
        <v>106</v>
      </c>
      <c r="U1075" s="14" t="n">
        <v>2030</v>
      </c>
      <c r="V1075" s="12" t="s">
        <v>107</v>
      </c>
      <c r="W1075" s="14" t="s">
        <v>5793</v>
      </c>
      <c r="X1075" s="15" t="n">
        <f aca="false">IF(OR($S1075="%",$R1075=""),"",$R1075*INDEX(Cambi!$J$2:$J$5,MATCH($S1075,Cambi!$I$2:$I$5,0))/IF($T1075="EUR",1,INDEX(Cambi!$D:$D,MATCH($T1075&amp;"|"&amp;$U1075,Cambi!$C:$C,0))))</f>
        <v>61600</v>
      </c>
      <c r="Y1075" s="12" t="s">
        <v>109</v>
      </c>
      <c r="Z1075" s="12" t="s">
        <v>285</v>
      </c>
      <c r="AA1075" s="12" t="s">
        <v>5771</v>
      </c>
      <c r="AB1075" s="16" t="s">
        <v>110</v>
      </c>
      <c r="AC1075" s="16" t="s">
        <v>5772</v>
      </c>
      <c r="AD1075" s="12" t="s">
        <v>112</v>
      </c>
      <c r="AE1075" s="12" t="s">
        <v>5773</v>
      </c>
      <c r="AF1075" s="12" t="s">
        <v>5774</v>
      </c>
      <c r="AG1075" s="12" t="s">
        <v>284</v>
      </c>
      <c r="AH1075" s="12" t="s">
        <v>116</v>
      </c>
      <c r="AI1075" s="12" t="s">
        <v>285</v>
      </c>
      <c r="AJ1075" s="12" t="s">
        <v>5794</v>
      </c>
      <c r="AK1075" s="12" t="s">
        <v>4</v>
      </c>
    </row>
    <row r="1076" customFormat="false" ht="15" hidden="false" customHeight="false" outlineLevel="0" collapsed="false">
      <c r="A1076" s="11" t="n">
        <v>1075</v>
      </c>
      <c r="B1076" s="12" t="s">
        <v>2309</v>
      </c>
      <c r="C1076" s="12" t="s">
        <v>106</v>
      </c>
      <c r="D1076" s="12" t="s">
        <v>5753</v>
      </c>
      <c r="E1076" s="12" t="s">
        <v>5753</v>
      </c>
      <c r="F1076" s="12" t="s">
        <v>5795</v>
      </c>
      <c r="G1076" s="12" t="s">
        <v>345</v>
      </c>
      <c r="H1076" s="12" t="s">
        <v>5796</v>
      </c>
      <c r="I1076" s="12" t="s">
        <v>2370</v>
      </c>
      <c r="J1076" s="13" t="s">
        <v>2371</v>
      </c>
      <c r="K1076" s="12" t="s">
        <v>5797</v>
      </c>
      <c r="L1076" s="12" t="s">
        <v>5798</v>
      </c>
      <c r="M1076" s="12" t="s">
        <v>5799</v>
      </c>
      <c r="N1076" s="12" t="s">
        <v>352</v>
      </c>
      <c r="O1076" s="12" t="s">
        <v>102</v>
      </c>
      <c r="P1076" s="12" t="s">
        <v>103</v>
      </c>
      <c r="Q1076" s="12" t="s">
        <v>104</v>
      </c>
      <c r="R1076" s="14" t="n">
        <v>46</v>
      </c>
      <c r="S1076" s="14" t="s">
        <v>129</v>
      </c>
      <c r="T1076" s="14" t="s">
        <v>106</v>
      </c>
      <c r="U1076" s="14" t="n">
        <v>2024</v>
      </c>
      <c r="V1076" s="12" t="s">
        <v>198</v>
      </c>
      <c r="W1076" s="14" t="s">
        <v>5800</v>
      </c>
      <c r="X1076" s="15" t="n">
        <f aca="false">IF(OR($S1076="%",$R1076=""),"",$R1076*INDEX(Cambi!$J$2:$J$5,MATCH($S1076,Cambi!$I$2:$I$5,0))/IF($T1076="EUR",1,INDEX(Cambi!$D:$D,MATCH($T1076&amp;"|"&amp;$U1076,Cambi!$C:$C,0))))</f>
        <v>46000</v>
      </c>
      <c r="Y1076" s="12" t="s">
        <v>130</v>
      </c>
      <c r="Z1076" s="12" t="s">
        <v>285</v>
      </c>
      <c r="AA1076" s="12" t="s">
        <v>5801</v>
      </c>
      <c r="AB1076" s="16" t="s">
        <v>679</v>
      </c>
      <c r="AC1076" s="16" t="s">
        <v>5802</v>
      </c>
      <c r="AD1076" s="12" t="s">
        <v>281</v>
      </c>
      <c r="AE1076" s="12" t="s">
        <v>5803</v>
      </c>
      <c r="AF1076" s="12" t="s">
        <v>5804</v>
      </c>
      <c r="AG1076" s="12" t="s">
        <v>498</v>
      </c>
      <c r="AH1076" s="12" t="s">
        <v>116</v>
      </c>
      <c r="AI1076" s="12" t="s">
        <v>285</v>
      </c>
      <c r="AJ1076" s="12" t="s">
        <v>5805</v>
      </c>
      <c r="AK1076" s="12" t="s">
        <v>4</v>
      </c>
    </row>
    <row r="1077" customFormat="false" ht="15" hidden="false" customHeight="false" outlineLevel="0" collapsed="false">
      <c r="A1077" s="11" t="n">
        <v>1076</v>
      </c>
      <c r="B1077" s="12" t="s">
        <v>2326</v>
      </c>
      <c r="C1077" s="12" t="s">
        <v>106</v>
      </c>
      <c r="D1077" s="12" t="s">
        <v>5753</v>
      </c>
      <c r="E1077" s="12" t="s">
        <v>5753</v>
      </c>
      <c r="F1077" s="12" t="s">
        <v>5806</v>
      </c>
      <c r="G1077" s="12" t="s">
        <v>345</v>
      </c>
      <c r="H1077" s="12" t="s">
        <v>5807</v>
      </c>
      <c r="I1077" s="12" t="s">
        <v>181</v>
      </c>
      <c r="J1077" s="13" t="s">
        <v>5808</v>
      </c>
      <c r="K1077" s="12" t="s">
        <v>5809</v>
      </c>
      <c r="L1077" s="12" t="s">
        <v>5810</v>
      </c>
      <c r="M1077" s="12" t="s">
        <v>5811</v>
      </c>
      <c r="N1077" s="12" t="s">
        <v>352</v>
      </c>
      <c r="O1077" s="12" t="s">
        <v>213</v>
      </c>
      <c r="P1077" s="12" t="s">
        <v>103</v>
      </c>
      <c r="Q1077" s="12" t="s">
        <v>104</v>
      </c>
      <c r="R1077" s="14" t="n">
        <v>10.9</v>
      </c>
      <c r="S1077" s="14" t="s">
        <v>197</v>
      </c>
      <c r="T1077" s="14"/>
      <c r="U1077" s="14" t="n">
        <v>2025</v>
      </c>
      <c r="V1077" s="12" t="s">
        <v>198</v>
      </c>
      <c r="W1077" s="14"/>
      <c r="X1077" s="15" t="str">
        <f aca="false">IF(OR($S1077="%",$R1077=""),"",$R1077*INDEX(Cambi!$J$2:$J$5,MATCH($S1077,Cambi!$I$2:$I$5,0))/IF($T1077="EUR",1,INDEX(Cambi!$D:$D,MATCH($T1077&amp;"|"&amp;$U1077,Cambi!$C:$C,0))))</f>
        <v/>
      </c>
      <c r="Y1077" s="12" t="s">
        <v>130</v>
      </c>
      <c r="Z1077" s="12" t="s">
        <v>285</v>
      </c>
      <c r="AA1077" s="12" t="s">
        <v>5801</v>
      </c>
      <c r="AB1077" s="16" t="s">
        <v>110</v>
      </c>
      <c r="AC1077" s="16" t="s">
        <v>5812</v>
      </c>
      <c r="AD1077" s="12" t="s">
        <v>281</v>
      </c>
      <c r="AE1077" s="12" t="s">
        <v>5813</v>
      </c>
      <c r="AF1077" s="12" t="s">
        <v>5814</v>
      </c>
      <c r="AG1077" s="12" t="s">
        <v>498</v>
      </c>
      <c r="AH1077" s="12" t="s">
        <v>116</v>
      </c>
      <c r="AI1077" s="12" t="s">
        <v>285</v>
      </c>
      <c r="AJ1077" s="12" t="s">
        <v>5815</v>
      </c>
      <c r="AK1077" s="12" t="s">
        <v>4</v>
      </c>
    </row>
    <row r="1078" customFormat="false" ht="15" hidden="false" customHeight="false" outlineLevel="0" collapsed="false">
      <c r="A1078" s="11" t="n">
        <v>1077</v>
      </c>
      <c r="B1078" s="12" t="s">
        <v>2326</v>
      </c>
      <c r="C1078" s="12" t="s">
        <v>106</v>
      </c>
      <c r="D1078" s="12" t="s">
        <v>5753</v>
      </c>
      <c r="E1078" s="12" t="s">
        <v>5753</v>
      </c>
      <c r="F1078" s="12" t="s">
        <v>5806</v>
      </c>
      <c r="G1078" s="12" t="s">
        <v>345</v>
      </c>
      <c r="H1078" s="12" t="s">
        <v>5807</v>
      </c>
      <c r="I1078" s="12" t="s">
        <v>181</v>
      </c>
      <c r="J1078" s="13" t="s">
        <v>5808</v>
      </c>
      <c r="K1078" s="12" t="s">
        <v>5809</v>
      </c>
      <c r="L1078" s="12" t="s">
        <v>5816</v>
      </c>
      <c r="M1078" s="12" t="s">
        <v>5817</v>
      </c>
      <c r="N1078" s="12" t="s">
        <v>352</v>
      </c>
      <c r="O1078" s="12" t="s">
        <v>196</v>
      </c>
      <c r="P1078" s="12" t="s">
        <v>103</v>
      </c>
      <c r="Q1078" s="12" t="s">
        <v>104</v>
      </c>
      <c r="R1078" s="14" t="n">
        <v>20.5</v>
      </c>
      <c r="S1078" s="14" t="s">
        <v>197</v>
      </c>
      <c r="T1078" s="14"/>
      <c r="U1078" s="14" t="n">
        <v>2025</v>
      </c>
      <c r="V1078" s="12" t="s">
        <v>198</v>
      </c>
      <c r="W1078" s="14"/>
      <c r="X1078" s="15" t="str">
        <f aca="false">IF(OR($S1078="%",$R1078=""),"",$R1078*INDEX(Cambi!$J$2:$J$5,MATCH($S1078,Cambi!$I$2:$I$5,0))/IF($T1078="EUR",1,INDEX(Cambi!$D:$D,MATCH($T1078&amp;"|"&amp;$U1078,Cambi!$C:$C,0))))</f>
        <v/>
      </c>
      <c r="Y1078" s="12" t="s">
        <v>130</v>
      </c>
      <c r="Z1078" s="12" t="s">
        <v>285</v>
      </c>
      <c r="AA1078" s="12" t="s">
        <v>5801</v>
      </c>
      <c r="AB1078" s="16" t="s">
        <v>110</v>
      </c>
      <c r="AC1078" s="16" t="s">
        <v>5812</v>
      </c>
      <c r="AD1078" s="12" t="s">
        <v>281</v>
      </c>
      <c r="AE1078" s="12" t="s">
        <v>5813</v>
      </c>
      <c r="AF1078" s="12" t="s">
        <v>5818</v>
      </c>
      <c r="AG1078" s="12" t="s">
        <v>498</v>
      </c>
      <c r="AH1078" s="12" t="s">
        <v>116</v>
      </c>
      <c r="AI1078" s="12" t="s">
        <v>285</v>
      </c>
      <c r="AJ1078" s="12" t="s">
        <v>5819</v>
      </c>
      <c r="AK1078" s="12" t="s">
        <v>4</v>
      </c>
    </row>
    <row r="1079" customFormat="false" ht="15" hidden="false" customHeight="false" outlineLevel="0" collapsed="false">
      <c r="A1079" s="11" t="n">
        <v>1078</v>
      </c>
      <c r="B1079" s="12" t="s">
        <v>1793</v>
      </c>
      <c r="C1079" s="12" t="s">
        <v>106</v>
      </c>
      <c r="D1079" s="12" t="s">
        <v>5753</v>
      </c>
      <c r="E1079" s="12" t="s">
        <v>5753</v>
      </c>
      <c r="F1079" s="12" t="s">
        <v>1794</v>
      </c>
      <c r="G1079" s="12" t="s">
        <v>771</v>
      </c>
      <c r="H1079" s="12" t="s">
        <v>1795</v>
      </c>
      <c r="I1079" s="12" t="s">
        <v>1796</v>
      </c>
      <c r="J1079" s="13" t="s">
        <v>1797</v>
      </c>
      <c r="K1079" s="12" t="s">
        <v>5820</v>
      </c>
      <c r="L1079" s="12" t="s">
        <v>5821</v>
      </c>
      <c r="M1079" s="12" t="s">
        <v>5822</v>
      </c>
      <c r="N1079" s="12" t="s">
        <v>352</v>
      </c>
      <c r="O1079" s="12" t="s">
        <v>102</v>
      </c>
      <c r="P1079" s="12" t="s">
        <v>103</v>
      </c>
      <c r="Q1079" s="12" t="s">
        <v>104</v>
      </c>
      <c r="R1079" s="14" t="n">
        <v>67</v>
      </c>
      <c r="S1079" s="14" t="s">
        <v>129</v>
      </c>
      <c r="T1079" s="14" t="s">
        <v>106</v>
      </c>
      <c r="U1079" s="14" t="n">
        <v>2025</v>
      </c>
      <c r="V1079" s="12" t="s">
        <v>157</v>
      </c>
      <c r="W1079" s="14" t="s">
        <v>5823</v>
      </c>
      <c r="X1079" s="15" t="n">
        <f aca="false">IF(OR($S1079="%",$R1079=""),"",$R1079*INDEX(Cambi!$J$2:$J$5,MATCH($S1079,Cambi!$I$2:$I$5,0))/IF($T1079="EUR",1,INDEX(Cambi!$D:$D,MATCH($T1079&amp;"|"&amp;$U1079,Cambi!$C:$C,0))))</f>
        <v>67000</v>
      </c>
      <c r="Y1079" s="12" t="s">
        <v>109</v>
      </c>
      <c r="Z1079" s="12" t="s">
        <v>285</v>
      </c>
      <c r="AA1079" s="12" t="s">
        <v>109</v>
      </c>
      <c r="AB1079" s="16" t="s">
        <v>110</v>
      </c>
      <c r="AC1079" s="16" t="s">
        <v>5824</v>
      </c>
      <c r="AD1079" s="12" t="s">
        <v>281</v>
      </c>
      <c r="AE1079" s="12" t="s">
        <v>1803</v>
      </c>
      <c r="AF1079" s="12" t="s">
        <v>5825</v>
      </c>
      <c r="AG1079" s="12" t="s">
        <v>284</v>
      </c>
      <c r="AH1079" s="12" t="s">
        <v>116</v>
      </c>
      <c r="AI1079" s="12" t="s">
        <v>285</v>
      </c>
      <c r="AJ1079" s="12" t="s">
        <v>5826</v>
      </c>
      <c r="AK1079" s="12" t="s">
        <v>4</v>
      </c>
    </row>
    <row r="1080" customFormat="false" ht="15" hidden="false" customHeight="false" outlineLevel="0" collapsed="false">
      <c r="A1080" s="11" t="n">
        <v>1079</v>
      </c>
      <c r="B1080" s="12" t="s">
        <v>1793</v>
      </c>
      <c r="C1080" s="12" t="s">
        <v>106</v>
      </c>
      <c r="D1080" s="12" t="s">
        <v>5753</v>
      </c>
      <c r="E1080" s="12" t="s">
        <v>5753</v>
      </c>
      <c r="F1080" s="12" t="s">
        <v>1794</v>
      </c>
      <c r="G1080" s="12" t="s">
        <v>771</v>
      </c>
      <c r="H1080" s="12" t="s">
        <v>1795</v>
      </c>
      <c r="I1080" s="12" t="s">
        <v>1796</v>
      </c>
      <c r="J1080" s="13" t="s">
        <v>1797</v>
      </c>
      <c r="K1080" s="12" t="s">
        <v>5820</v>
      </c>
      <c r="L1080" s="12" t="s">
        <v>5821</v>
      </c>
      <c r="M1080" s="12" t="s">
        <v>5827</v>
      </c>
      <c r="N1080" s="12" t="s">
        <v>352</v>
      </c>
      <c r="O1080" s="12" t="s">
        <v>102</v>
      </c>
      <c r="P1080" s="12" t="s">
        <v>103</v>
      </c>
      <c r="Q1080" s="12" t="s">
        <v>104</v>
      </c>
      <c r="R1080" s="14" t="n">
        <v>172</v>
      </c>
      <c r="S1080" s="14" t="s">
        <v>129</v>
      </c>
      <c r="T1080" s="14" t="s">
        <v>106</v>
      </c>
      <c r="U1080" s="14" t="n">
        <v>2033</v>
      </c>
      <c r="V1080" s="12" t="s">
        <v>107</v>
      </c>
      <c r="W1080" s="14" t="s">
        <v>5828</v>
      </c>
      <c r="X1080" s="15" t="n">
        <f aca="false">IF(OR($S1080="%",$R1080=""),"",$R1080*INDEX(Cambi!$J$2:$J$5,MATCH($S1080,Cambi!$I$2:$I$5,0))/IF($T1080="EUR",1,INDEX(Cambi!$D:$D,MATCH($T1080&amp;"|"&amp;$U1080,Cambi!$C:$C,0))))</f>
        <v>172000</v>
      </c>
      <c r="Y1080" s="12" t="s">
        <v>109</v>
      </c>
      <c r="Z1080" s="12" t="s">
        <v>285</v>
      </c>
      <c r="AA1080" s="12" t="s">
        <v>109</v>
      </c>
      <c r="AB1080" s="16" t="s">
        <v>110</v>
      </c>
      <c r="AC1080" s="16" t="s">
        <v>5824</v>
      </c>
      <c r="AD1080" s="12" t="s">
        <v>281</v>
      </c>
      <c r="AE1080" s="12" t="s">
        <v>1803</v>
      </c>
      <c r="AF1080" s="12" t="s">
        <v>5829</v>
      </c>
      <c r="AG1080" s="12" t="s">
        <v>284</v>
      </c>
      <c r="AH1080" s="12" t="s">
        <v>116</v>
      </c>
      <c r="AI1080" s="12" t="s">
        <v>285</v>
      </c>
      <c r="AJ1080" s="12" t="s">
        <v>266</v>
      </c>
      <c r="AK1080" s="12" t="s">
        <v>4</v>
      </c>
    </row>
    <row r="1081" customFormat="false" ht="15" hidden="false" customHeight="false" outlineLevel="0" collapsed="false">
      <c r="A1081" s="11" t="n">
        <v>1080</v>
      </c>
      <c r="B1081" s="12" t="s">
        <v>5830</v>
      </c>
      <c r="C1081" s="12" t="s">
        <v>106</v>
      </c>
      <c r="D1081" s="12" t="s">
        <v>5753</v>
      </c>
      <c r="E1081" s="12" t="s">
        <v>5753</v>
      </c>
      <c r="F1081" s="12" t="s">
        <v>5831</v>
      </c>
      <c r="G1081" s="12" t="s">
        <v>830</v>
      </c>
      <c r="H1081" s="12" t="s">
        <v>5832</v>
      </c>
      <c r="I1081" s="12" t="s">
        <v>5833</v>
      </c>
      <c r="J1081" s="13" t="s">
        <v>5834</v>
      </c>
      <c r="K1081" s="12"/>
      <c r="L1081" s="12" t="s">
        <v>5835</v>
      </c>
      <c r="M1081" s="12" t="s">
        <v>5836</v>
      </c>
      <c r="N1081" s="12" t="s">
        <v>352</v>
      </c>
      <c r="O1081" s="12" t="s">
        <v>102</v>
      </c>
      <c r="P1081" s="12" t="s">
        <v>103</v>
      </c>
      <c r="Q1081" s="12" t="s">
        <v>104</v>
      </c>
      <c r="R1081" s="14" t="n">
        <v>29.37</v>
      </c>
      <c r="S1081" s="14" t="s">
        <v>129</v>
      </c>
      <c r="T1081" s="14" t="s">
        <v>653</v>
      </c>
      <c r="U1081" s="14" t="n">
        <v>2021</v>
      </c>
      <c r="V1081" s="12" t="s">
        <v>157</v>
      </c>
      <c r="W1081" s="14"/>
      <c r="X1081" s="15" t="n">
        <f aca="false">IF(OR($S1081="%",$R1081=""),"",$R1081*INDEX(Cambi!$J$2:$J$5,MATCH($S1081,Cambi!$I$2:$I$5,0))/IF($T1081="EUR",1,INDEX(Cambi!$D:$D,MATCH($T1081&amp;"|"&amp;$U1081,Cambi!$C:$C,0))))</f>
        <v>24833.0092162002</v>
      </c>
      <c r="Y1081" s="12" t="s">
        <v>109</v>
      </c>
      <c r="Z1081" s="12" t="s">
        <v>285</v>
      </c>
      <c r="AA1081" s="12" t="s">
        <v>109</v>
      </c>
      <c r="AB1081" s="16" t="s">
        <v>110</v>
      </c>
      <c r="AC1081" s="16" t="s">
        <v>5837</v>
      </c>
      <c r="AD1081" s="12" t="s">
        <v>112</v>
      </c>
      <c r="AE1081" s="12" t="s">
        <v>5838</v>
      </c>
      <c r="AF1081" s="12" t="s">
        <v>5839</v>
      </c>
      <c r="AG1081" s="12" t="s">
        <v>284</v>
      </c>
      <c r="AH1081" s="12" t="s">
        <v>838</v>
      </c>
      <c r="AI1081" s="12" t="s">
        <v>117</v>
      </c>
      <c r="AJ1081" s="12" t="s">
        <v>5840</v>
      </c>
      <c r="AK1081" s="12" t="s">
        <v>4</v>
      </c>
    </row>
    <row r="1082" customFormat="false" ht="15" hidden="false" customHeight="false" outlineLevel="0" collapsed="false">
      <c r="A1082" s="11" t="n">
        <v>1081</v>
      </c>
      <c r="B1082" s="12" t="s">
        <v>5830</v>
      </c>
      <c r="C1082" s="12" t="s">
        <v>106</v>
      </c>
      <c r="D1082" s="12" t="s">
        <v>5753</v>
      </c>
      <c r="E1082" s="12" t="s">
        <v>5753</v>
      </c>
      <c r="F1082" s="12" t="s">
        <v>5831</v>
      </c>
      <c r="G1082" s="12" t="s">
        <v>830</v>
      </c>
      <c r="H1082" s="12" t="s">
        <v>5832</v>
      </c>
      <c r="I1082" s="12" t="s">
        <v>5833</v>
      </c>
      <c r="J1082" s="13" t="s">
        <v>5834</v>
      </c>
      <c r="K1082" s="12"/>
      <c r="L1082" s="12" t="s">
        <v>5835</v>
      </c>
      <c r="M1082" s="12" t="s">
        <v>5841</v>
      </c>
      <c r="N1082" s="12" t="s">
        <v>352</v>
      </c>
      <c r="O1082" s="12" t="s">
        <v>102</v>
      </c>
      <c r="P1082" s="12" t="s">
        <v>103</v>
      </c>
      <c r="Q1082" s="12" t="s">
        <v>104</v>
      </c>
      <c r="R1082" s="14" t="n">
        <v>43.994</v>
      </c>
      <c r="S1082" s="14" t="s">
        <v>129</v>
      </c>
      <c r="T1082" s="14" t="s">
        <v>653</v>
      </c>
      <c r="U1082" s="14" t="n">
        <v>2025</v>
      </c>
      <c r="V1082" s="12" t="s">
        <v>198</v>
      </c>
      <c r="W1082" s="14"/>
      <c r="X1082" s="15" t="n">
        <f aca="false">IF(OR($S1082="%",$R1082=""),"",$R1082*INDEX(Cambi!$J$2:$J$5,MATCH($S1082,Cambi!$I$2:$I$5,0))/IF($T1082="EUR",1,INDEX(Cambi!$D:$D,MATCH($T1082&amp;"|"&amp;$U1082,Cambi!$C:$C,0))))</f>
        <v>38932.7433628319</v>
      </c>
      <c r="Y1082" s="12" t="s">
        <v>109</v>
      </c>
      <c r="Z1082" s="12" t="s">
        <v>285</v>
      </c>
      <c r="AA1082" s="12" t="s">
        <v>109</v>
      </c>
      <c r="AB1082" s="16" t="s">
        <v>110</v>
      </c>
      <c r="AC1082" s="16" t="s">
        <v>5837</v>
      </c>
      <c r="AD1082" s="12" t="s">
        <v>112</v>
      </c>
      <c r="AE1082" s="12" t="s">
        <v>5838</v>
      </c>
      <c r="AF1082" s="12" t="s">
        <v>5839</v>
      </c>
      <c r="AG1082" s="12" t="s">
        <v>284</v>
      </c>
      <c r="AH1082" s="12" t="s">
        <v>838</v>
      </c>
      <c r="AI1082" s="12" t="s">
        <v>117</v>
      </c>
      <c r="AJ1082" s="12" t="s">
        <v>5842</v>
      </c>
      <c r="AK1082" s="12" t="s">
        <v>4</v>
      </c>
    </row>
    <row r="1083" customFormat="false" ht="15" hidden="false" customHeight="false" outlineLevel="0" collapsed="false">
      <c r="A1083" s="11" t="n">
        <v>1082</v>
      </c>
      <c r="B1083" s="12" t="s">
        <v>5830</v>
      </c>
      <c r="C1083" s="12" t="s">
        <v>106</v>
      </c>
      <c r="D1083" s="12" t="s">
        <v>5753</v>
      </c>
      <c r="E1083" s="12" t="s">
        <v>5753</v>
      </c>
      <c r="F1083" s="12" t="s">
        <v>5831</v>
      </c>
      <c r="G1083" s="12" t="s">
        <v>830</v>
      </c>
      <c r="H1083" s="12" t="s">
        <v>5832</v>
      </c>
      <c r="I1083" s="12" t="s">
        <v>5833</v>
      </c>
      <c r="J1083" s="13" t="s">
        <v>5834</v>
      </c>
      <c r="K1083" s="12"/>
      <c r="L1083" s="12" t="s">
        <v>5835</v>
      </c>
      <c r="M1083" s="12" t="s">
        <v>5843</v>
      </c>
      <c r="N1083" s="12" t="s">
        <v>352</v>
      </c>
      <c r="O1083" s="12" t="s">
        <v>102</v>
      </c>
      <c r="P1083" s="12" t="s">
        <v>103</v>
      </c>
      <c r="Q1083" s="12" t="s">
        <v>104</v>
      </c>
      <c r="R1083" s="14" t="n">
        <v>100.19</v>
      </c>
      <c r="S1083" s="14" t="s">
        <v>129</v>
      </c>
      <c r="T1083" s="14" t="s">
        <v>653</v>
      </c>
      <c r="U1083" s="14" t="n">
        <v>2033</v>
      </c>
      <c r="V1083" s="12" t="s">
        <v>107</v>
      </c>
      <c r="W1083" s="14" t="s">
        <v>5844</v>
      </c>
      <c r="X1083" s="15" t="n">
        <f aca="false">IF(OR($S1083="%",$R1083=""),"",$R1083*INDEX(Cambi!$J$2:$J$5,MATCH($S1083,Cambi!$I$2:$I$5,0))/IF($T1083="EUR",1,INDEX(Cambi!$D:$D,MATCH($T1083&amp;"|"&amp;$U1083,Cambi!$C:$C,0))))</f>
        <v>88663.7168141593</v>
      </c>
      <c r="Y1083" s="12" t="s">
        <v>109</v>
      </c>
      <c r="Z1083" s="12" t="s">
        <v>285</v>
      </c>
      <c r="AA1083" s="12" t="s">
        <v>109</v>
      </c>
      <c r="AB1083" s="16" t="s">
        <v>110</v>
      </c>
      <c r="AC1083" s="16" t="s">
        <v>5837</v>
      </c>
      <c r="AD1083" s="12" t="s">
        <v>112</v>
      </c>
      <c r="AE1083" s="12" t="s">
        <v>5838</v>
      </c>
      <c r="AF1083" s="12" t="s">
        <v>5839</v>
      </c>
      <c r="AG1083" s="12" t="s">
        <v>284</v>
      </c>
      <c r="AH1083" s="12" t="s">
        <v>838</v>
      </c>
      <c r="AI1083" s="12" t="s">
        <v>117</v>
      </c>
      <c r="AJ1083" s="12" t="s">
        <v>5845</v>
      </c>
      <c r="AK1083" s="12" t="s">
        <v>4</v>
      </c>
    </row>
    <row r="1084" customFormat="false" ht="15" hidden="false" customHeight="false" outlineLevel="0" collapsed="false">
      <c r="A1084" s="11" t="n">
        <v>1083</v>
      </c>
      <c r="B1084" s="12" t="s">
        <v>5846</v>
      </c>
      <c r="C1084" s="12" t="s">
        <v>106</v>
      </c>
      <c r="D1084" s="12" t="s">
        <v>5753</v>
      </c>
      <c r="E1084" s="12" t="s">
        <v>5753</v>
      </c>
      <c r="F1084" s="12" t="s">
        <v>5831</v>
      </c>
      <c r="G1084" s="12" t="s">
        <v>830</v>
      </c>
      <c r="H1084" s="12" t="s">
        <v>5847</v>
      </c>
      <c r="I1084" s="12" t="s">
        <v>847</v>
      </c>
      <c r="J1084" s="13" t="s">
        <v>5848</v>
      </c>
      <c r="K1084" s="12"/>
      <c r="L1084" s="12" t="s">
        <v>5849</v>
      </c>
      <c r="M1084" s="12" t="s">
        <v>5850</v>
      </c>
      <c r="N1084" s="12" t="s">
        <v>352</v>
      </c>
      <c r="O1084" s="12" t="s">
        <v>102</v>
      </c>
      <c r="P1084" s="12" t="s">
        <v>155</v>
      </c>
      <c r="Q1084" s="12" t="s">
        <v>799</v>
      </c>
      <c r="R1084" s="14" t="n">
        <v>24.493</v>
      </c>
      <c r="S1084" s="14" t="s">
        <v>129</v>
      </c>
      <c r="T1084" s="14" t="s">
        <v>653</v>
      </c>
      <c r="U1084" s="14" t="n">
        <v>2021</v>
      </c>
      <c r="V1084" s="12" t="s">
        <v>157</v>
      </c>
      <c r="W1084" s="14"/>
      <c r="X1084" s="15" t="n">
        <f aca="false">IF(OR($S1084="%",$R1084=""),"",$R1084*INDEX(Cambi!$J$2:$J$5,MATCH($S1084,Cambi!$I$2:$I$5,0))/IF($T1084="EUR",1,INDEX(Cambi!$D:$D,MATCH($T1084&amp;"|"&amp;$U1084,Cambi!$C:$C,0))))</f>
        <v>20709.3937600406</v>
      </c>
      <c r="Y1084" s="12" t="s">
        <v>109</v>
      </c>
      <c r="Z1084" s="12" t="s">
        <v>285</v>
      </c>
      <c r="AA1084" s="12" t="s">
        <v>5851</v>
      </c>
      <c r="AB1084" s="16" t="s">
        <v>110</v>
      </c>
      <c r="AC1084" s="16" t="s">
        <v>5837</v>
      </c>
      <c r="AD1084" s="12" t="s">
        <v>112</v>
      </c>
      <c r="AE1084" s="12" t="s">
        <v>282</v>
      </c>
      <c r="AF1084" s="12" t="s">
        <v>5852</v>
      </c>
      <c r="AG1084" s="12" t="s">
        <v>284</v>
      </c>
      <c r="AH1084" s="12" t="s">
        <v>838</v>
      </c>
      <c r="AI1084" s="12" t="s">
        <v>117</v>
      </c>
      <c r="AJ1084" s="12" t="s">
        <v>5853</v>
      </c>
      <c r="AK1084" s="12" t="s">
        <v>4</v>
      </c>
    </row>
    <row r="1085" customFormat="false" ht="15" hidden="false" customHeight="false" outlineLevel="0" collapsed="false">
      <c r="A1085" s="11" t="n">
        <v>1084</v>
      </c>
      <c r="B1085" s="12" t="s">
        <v>5846</v>
      </c>
      <c r="C1085" s="12" t="s">
        <v>106</v>
      </c>
      <c r="D1085" s="12" t="s">
        <v>5753</v>
      </c>
      <c r="E1085" s="12" t="s">
        <v>5753</v>
      </c>
      <c r="F1085" s="12" t="s">
        <v>5831</v>
      </c>
      <c r="G1085" s="12" t="s">
        <v>830</v>
      </c>
      <c r="H1085" s="12" t="s">
        <v>5847</v>
      </c>
      <c r="I1085" s="12" t="s">
        <v>847</v>
      </c>
      <c r="J1085" s="13" t="s">
        <v>5848</v>
      </c>
      <c r="K1085" s="12"/>
      <c r="L1085" s="12" t="s">
        <v>5849</v>
      </c>
      <c r="M1085" s="12" t="s">
        <v>5854</v>
      </c>
      <c r="N1085" s="12" t="s">
        <v>352</v>
      </c>
      <c r="O1085" s="12" t="s">
        <v>102</v>
      </c>
      <c r="P1085" s="12" t="s">
        <v>155</v>
      </c>
      <c r="Q1085" s="12" t="s">
        <v>799</v>
      </c>
      <c r="R1085" s="14" t="n">
        <v>40.071</v>
      </c>
      <c r="S1085" s="14" t="s">
        <v>129</v>
      </c>
      <c r="T1085" s="14" t="s">
        <v>653</v>
      </c>
      <c r="U1085" s="14" t="n">
        <v>2025</v>
      </c>
      <c r="V1085" s="12" t="s">
        <v>157</v>
      </c>
      <c r="W1085" s="14"/>
      <c r="X1085" s="15" t="n">
        <f aca="false">IF(OR($S1085="%",$R1085=""),"",$R1085*INDEX(Cambi!$J$2:$J$5,MATCH($S1085,Cambi!$I$2:$I$5,0))/IF($T1085="EUR",1,INDEX(Cambi!$D:$D,MATCH($T1085&amp;"|"&amp;$U1085,Cambi!$C:$C,0))))</f>
        <v>35461.0619469027</v>
      </c>
      <c r="Y1085" s="12" t="s">
        <v>109</v>
      </c>
      <c r="Z1085" s="12" t="s">
        <v>285</v>
      </c>
      <c r="AA1085" s="12" t="s">
        <v>5851</v>
      </c>
      <c r="AB1085" s="16" t="s">
        <v>110</v>
      </c>
      <c r="AC1085" s="16" t="s">
        <v>5837</v>
      </c>
      <c r="AD1085" s="12" t="s">
        <v>112</v>
      </c>
      <c r="AE1085" s="12" t="s">
        <v>282</v>
      </c>
      <c r="AF1085" s="12" t="s">
        <v>5852</v>
      </c>
      <c r="AG1085" s="12" t="s">
        <v>284</v>
      </c>
      <c r="AH1085" s="12" t="s">
        <v>838</v>
      </c>
      <c r="AI1085" s="12" t="s">
        <v>117</v>
      </c>
      <c r="AJ1085" s="12" t="s">
        <v>5853</v>
      </c>
      <c r="AK1085" s="12" t="s">
        <v>4</v>
      </c>
    </row>
    <row r="1086" customFormat="false" ht="15" hidden="false" customHeight="false" outlineLevel="0" collapsed="false">
      <c r="A1086" s="11" t="n">
        <v>1085</v>
      </c>
      <c r="B1086" s="12" t="s">
        <v>5846</v>
      </c>
      <c r="C1086" s="12" t="s">
        <v>106</v>
      </c>
      <c r="D1086" s="12" t="s">
        <v>5753</v>
      </c>
      <c r="E1086" s="12" t="s">
        <v>5753</v>
      </c>
      <c r="F1086" s="12" t="s">
        <v>5831</v>
      </c>
      <c r="G1086" s="12" t="s">
        <v>830</v>
      </c>
      <c r="H1086" s="12" t="s">
        <v>5847</v>
      </c>
      <c r="I1086" s="12" t="s">
        <v>847</v>
      </c>
      <c r="J1086" s="13" t="s">
        <v>5848</v>
      </c>
      <c r="K1086" s="12"/>
      <c r="L1086" s="12" t="s">
        <v>5849</v>
      </c>
      <c r="M1086" s="12" t="s">
        <v>5855</v>
      </c>
      <c r="N1086" s="12" t="s">
        <v>352</v>
      </c>
      <c r="O1086" s="12" t="s">
        <v>102</v>
      </c>
      <c r="P1086" s="12" t="s">
        <v>155</v>
      </c>
      <c r="Q1086" s="12" t="s">
        <v>799</v>
      </c>
      <c r="R1086" s="14" t="n">
        <v>105.526</v>
      </c>
      <c r="S1086" s="14" t="s">
        <v>129</v>
      </c>
      <c r="T1086" s="14" t="s">
        <v>653</v>
      </c>
      <c r="U1086" s="14" t="n">
        <v>2033</v>
      </c>
      <c r="V1086" s="12" t="s">
        <v>107</v>
      </c>
      <c r="W1086" s="14" t="s">
        <v>5856</v>
      </c>
      <c r="X1086" s="15" t="n">
        <f aca="false">IF(OR($S1086="%",$R1086=""),"",$R1086*INDEX(Cambi!$J$2:$J$5,MATCH($S1086,Cambi!$I$2:$I$5,0))/IF($T1086="EUR",1,INDEX(Cambi!$D:$D,MATCH($T1086&amp;"|"&amp;$U1086,Cambi!$C:$C,0))))</f>
        <v>93385.8407079646</v>
      </c>
      <c r="Y1086" s="12" t="s">
        <v>109</v>
      </c>
      <c r="Z1086" s="12" t="s">
        <v>285</v>
      </c>
      <c r="AA1086" s="12" t="s">
        <v>5851</v>
      </c>
      <c r="AB1086" s="16" t="s">
        <v>110</v>
      </c>
      <c r="AC1086" s="16" t="s">
        <v>5837</v>
      </c>
      <c r="AD1086" s="12" t="s">
        <v>112</v>
      </c>
      <c r="AE1086" s="12" t="s">
        <v>282</v>
      </c>
      <c r="AF1086" s="12" t="s">
        <v>5857</v>
      </c>
      <c r="AG1086" s="12" t="s">
        <v>284</v>
      </c>
      <c r="AH1086" s="12" t="s">
        <v>838</v>
      </c>
      <c r="AI1086" s="12" t="s">
        <v>117</v>
      </c>
      <c r="AJ1086" s="12" t="s">
        <v>5853</v>
      </c>
      <c r="AK1086" s="12" t="s">
        <v>4</v>
      </c>
    </row>
    <row r="1087" customFormat="false" ht="15" hidden="false" customHeight="false" outlineLevel="0" collapsed="false">
      <c r="A1087" s="11" t="n">
        <v>1086</v>
      </c>
      <c r="B1087" s="12" t="s">
        <v>251</v>
      </c>
      <c r="C1087" s="12" t="s">
        <v>106</v>
      </c>
      <c r="D1087" s="12" t="s">
        <v>5753</v>
      </c>
      <c r="E1087" s="12" t="s">
        <v>5753</v>
      </c>
      <c r="F1087" s="12" t="s">
        <v>252</v>
      </c>
      <c r="G1087" s="12" t="s">
        <v>95</v>
      </c>
      <c r="H1087" s="12" t="s">
        <v>253</v>
      </c>
      <c r="I1087" s="12" t="s">
        <v>254</v>
      </c>
      <c r="J1087" s="13" t="s">
        <v>255</v>
      </c>
      <c r="K1087" s="12" t="s">
        <v>5858</v>
      </c>
      <c r="L1087" s="12" t="s">
        <v>5859</v>
      </c>
      <c r="M1087" s="12" t="s">
        <v>5860</v>
      </c>
      <c r="N1087" s="12" t="s">
        <v>352</v>
      </c>
      <c r="O1087" s="12" t="s">
        <v>102</v>
      </c>
      <c r="P1087" s="12" t="s">
        <v>103</v>
      </c>
      <c r="Q1087" s="12" t="s">
        <v>104</v>
      </c>
      <c r="R1087" s="14" t="n">
        <v>57</v>
      </c>
      <c r="S1087" s="14" t="s">
        <v>129</v>
      </c>
      <c r="T1087" s="14" t="s">
        <v>106</v>
      </c>
      <c r="U1087" s="14" t="n">
        <v>2025</v>
      </c>
      <c r="V1087" s="12" t="s">
        <v>157</v>
      </c>
      <c r="W1087" s="14"/>
      <c r="X1087" s="15" t="n">
        <f aca="false">IF(OR($S1087="%",$R1087=""),"",$R1087*INDEX(Cambi!$J$2:$J$5,MATCH($S1087,Cambi!$I$2:$I$5,0))/IF($T1087="EUR",1,INDEX(Cambi!$D:$D,MATCH($T1087&amp;"|"&amp;$U1087,Cambi!$C:$C,0))))</f>
        <v>57000</v>
      </c>
      <c r="Y1087" s="12" t="s">
        <v>109</v>
      </c>
      <c r="Z1087" s="12" t="s">
        <v>109</v>
      </c>
      <c r="AA1087" s="12" t="s">
        <v>109</v>
      </c>
      <c r="AB1087" s="16" t="s">
        <v>110</v>
      </c>
      <c r="AC1087" s="16" t="s">
        <v>5861</v>
      </c>
      <c r="AD1087" s="12" t="s">
        <v>281</v>
      </c>
      <c r="AE1087" s="12" t="s">
        <v>282</v>
      </c>
      <c r="AF1087" s="12" t="s">
        <v>5862</v>
      </c>
      <c r="AG1087" s="12" t="s">
        <v>284</v>
      </c>
      <c r="AH1087" s="12" t="s">
        <v>116</v>
      </c>
      <c r="AI1087" s="12" t="s">
        <v>285</v>
      </c>
      <c r="AJ1087" s="12" t="s">
        <v>5863</v>
      </c>
      <c r="AK1087" s="12" t="s">
        <v>4</v>
      </c>
    </row>
    <row r="1088" customFormat="false" ht="15" hidden="false" customHeight="false" outlineLevel="0" collapsed="false">
      <c r="A1088" s="11" t="n">
        <v>1087</v>
      </c>
      <c r="B1088" s="12" t="s">
        <v>251</v>
      </c>
      <c r="C1088" s="12" t="s">
        <v>106</v>
      </c>
      <c r="D1088" s="12" t="s">
        <v>5753</v>
      </c>
      <c r="E1088" s="12" t="s">
        <v>5753</v>
      </c>
      <c r="F1088" s="12" t="s">
        <v>252</v>
      </c>
      <c r="G1088" s="12" t="s">
        <v>95</v>
      </c>
      <c r="H1088" s="12" t="s">
        <v>253</v>
      </c>
      <c r="I1088" s="12" t="s">
        <v>254</v>
      </c>
      <c r="J1088" s="13" t="s">
        <v>255</v>
      </c>
      <c r="K1088" s="12" t="s">
        <v>5858</v>
      </c>
      <c r="L1088" s="12" t="s">
        <v>5864</v>
      </c>
      <c r="M1088" s="12" t="s">
        <v>5865</v>
      </c>
      <c r="N1088" s="12" t="s">
        <v>352</v>
      </c>
      <c r="O1088" s="12" t="s">
        <v>196</v>
      </c>
      <c r="P1088" s="12" t="s">
        <v>366</v>
      </c>
      <c r="Q1088" s="12" t="s">
        <v>5866</v>
      </c>
      <c r="R1088" s="14" t="n">
        <v>53</v>
      </c>
      <c r="S1088" s="14" t="s">
        <v>197</v>
      </c>
      <c r="T1088" s="14"/>
      <c r="U1088" s="14" t="n">
        <v>2025</v>
      </c>
      <c r="V1088" s="12" t="s">
        <v>157</v>
      </c>
      <c r="W1088" s="14"/>
      <c r="X1088" s="15" t="str">
        <f aca="false">IF(OR($S1088="%",$R1088=""),"",$R1088*INDEX(Cambi!$J$2:$J$5,MATCH($S1088,Cambi!$I$2:$I$5,0))/IF($T1088="EUR",1,INDEX(Cambi!$D:$D,MATCH($T1088&amp;"|"&amp;$U1088,Cambi!$C:$C,0))))</f>
        <v/>
      </c>
      <c r="Y1088" s="12" t="s">
        <v>108</v>
      </c>
      <c r="Z1088" s="12" t="s">
        <v>109</v>
      </c>
      <c r="AA1088" s="12" t="s">
        <v>109</v>
      </c>
      <c r="AB1088" s="16" t="s">
        <v>110</v>
      </c>
      <c r="AC1088" s="16" t="s">
        <v>5861</v>
      </c>
      <c r="AD1088" s="12" t="s">
        <v>281</v>
      </c>
      <c r="AE1088" s="12" t="s">
        <v>282</v>
      </c>
      <c r="AF1088" s="12" t="s">
        <v>5867</v>
      </c>
      <c r="AG1088" s="12" t="s">
        <v>284</v>
      </c>
      <c r="AH1088" s="12" t="s">
        <v>116</v>
      </c>
      <c r="AI1088" s="12" t="s">
        <v>285</v>
      </c>
      <c r="AJ1088" s="12" t="s">
        <v>5868</v>
      </c>
      <c r="AK1088" s="12" t="s">
        <v>4</v>
      </c>
    </row>
    <row r="1089" customFormat="false" ht="15" hidden="false" customHeight="false" outlineLevel="0" collapsed="false">
      <c r="A1089" s="11" t="n">
        <v>1088</v>
      </c>
      <c r="B1089" s="12" t="s">
        <v>5869</v>
      </c>
      <c r="C1089" s="12" t="s">
        <v>106</v>
      </c>
      <c r="D1089" s="12" t="s">
        <v>5753</v>
      </c>
      <c r="E1089" s="12" t="s">
        <v>5753</v>
      </c>
      <c r="F1089" s="12" t="s">
        <v>5870</v>
      </c>
      <c r="G1089" s="12" t="s">
        <v>830</v>
      </c>
      <c r="H1089" s="12" t="s">
        <v>5871</v>
      </c>
      <c r="I1089" s="12" t="s">
        <v>5872</v>
      </c>
      <c r="J1089" s="13" t="s">
        <v>5873</v>
      </c>
      <c r="K1089" s="12"/>
      <c r="L1089" s="12" t="s">
        <v>5874</v>
      </c>
      <c r="M1089" s="12" t="s">
        <v>5875</v>
      </c>
      <c r="N1089" s="12" t="s">
        <v>352</v>
      </c>
      <c r="O1089" s="12" t="s">
        <v>102</v>
      </c>
      <c r="P1089" s="12" t="s">
        <v>103</v>
      </c>
      <c r="Q1089" s="12" t="s">
        <v>104</v>
      </c>
      <c r="R1089" s="14" t="n">
        <v>62.6</v>
      </c>
      <c r="S1089" s="14" t="s">
        <v>129</v>
      </c>
      <c r="T1089" s="14" t="s">
        <v>653</v>
      </c>
      <c r="U1089" s="14" t="n">
        <v>2026</v>
      </c>
      <c r="V1089" s="12" t="s">
        <v>198</v>
      </c>
      <c r="W1089" s="14"/>
      <c r="X1089" s="15" t="n">
        <f aca="false">IF(OR($S1089="%",$R1089=""),"",$R1089*INDEX(Cambi!$J$2:$J$5,MATCH($S1089,Cambi!$I$2:$I$5,0))/IF($T1089="EUR",1,INDEX(Cambi!$D:$D,MATCH($T1089&amp;"|"&amp;$U1089,Cambi!$C:$C,0))))</f>
        <v>55398.2300884956</v>
      </c>
      <c r="Y1089" s="12" t="s">
        <v>109</v>
      </c>
      <c r="Z1089" s="12" t="s">
        <v>285</v>
      </c>
      <c r="AA1089" s="12" t="s">
        <v>109</v>
      </c>
      <c r="AB1089" s="16" t="s">
        <v>110</v>
      </c>
      <c r="AC1089" s="16" t="s">
        <v>5837</v>
      </c>
      <c r="AD1089" s="12" t="s">
        <v>112</v>
      </c>
      <c r="AE1089" s="12" t="s">
        <v>282</v>
      </c>
      <c r="AF1089" s="12" t="s">
        <v>5876</v>
      </c>
      <c r="AG1089" s="12" t="s">
        <v>284</v>
      </c>
      <c r="AH1089" s="12" t="s">
        <v>838</v>
      </c>
      <c r="AI1089" s="12" t="s">
        <v>117</v>
      </c>
      <c r="AJ1089" s="12" t="s">
        <v>2034</v>
      </c>
      <c r="AK1089" s="12" t="s">
        <v>4</v>
      </c>
    </row>
    <row r="1090" customFormat="false" ht="15" hidden="false" customHeight="false" outlineLevel="0" collapsed="false">
      <c r="A1090" s="11" t="n">
        <v>1089</v>
      </c>
      <c r="B1090" s="12" t="s">
        <v>5869</v>
      </c>
      <c r="C1090" s="12" t="s">
        <v>106</v>
      </c>
      <c r="D1090" s="12" t="s">
        <v>5753</v>
      </c>
      <c r="E1090" s="12" t="s">
        <v>5753</v>
      </c>
      <c r="F1090" s="12" t="s">
        <v>5870</v>
      </c>
      <c r="G1090" s="12" t="s">
        <v>830</v>
      </c>
      <c r="H1090" s="12" t="s">
        <v>5871</v>
      </c>
      <c r="I1090" s="12" t="s">
        <v>5872</v>
      </c>
      <c r="J1090" s="13" t="s">
        <v>5873</v>
      </c>
      <c r="K1090" s="12"/>
      <c r="L1090" s="12" t="s">
        <v>5877</v>
      </c>
      <c r="M1090" s="12" t="s">
        <v>5878</v>
      </c>
      <c r="N1090" s="12" t="s">
        <v>352</v>
      </c>
      <c r="O1090" s="12" t="s">
        <v>102</v>
      </c>
      <c r="P1090" s="12" t="s">
        <v>103</v>
      </c>
      <c r="Q1090" s="12" t="s">
        <v>104</v>
      </c>
      <c r="R1090" s="14" t="n">
        <v>132.8</v>
      </c>
      <c r="S1090" s="14" t="s">
        <v>129</v>
      </c>
      <c r="T1090" s="14" t="s">
        <v>653</v>
      </c>
      <c r="U1090" s="14" t="n">
        <v>2035</v>
      </c>
      <c r="V1090" s="12" t="s">
        <v>107</v>
      </c>
      <c r="W1090" s="14" t="s">
        <v>5879</v>
      </c>
      <c r="X1090" s="15" t="n">
        <f aca="false">IF(OR($S1090="%",$R1090=""),"",$R1090*INDEX(Cambi!$J$2:$J$5,MATCH($S1090,Cambi!$I$2:$I$5,0))/IF($T1090="EUR",1,INDEX(Cambi!$D:$D,MATCH($T1090&amp;"|"&amp;$U1090,Cambi!$C:$C,0))))</f>
        <v>117522.123893805</v>
      </c>
      <c r="Y1090" s="12" t="s">
        <v>109</v>
      </c>
      <c r="Z1090" s="12" t="s">
        <v>285</v>
      </c>
      <c r="AA1090" s="12" t="s">
        <v>109</v>
      </c>
      <c r="AB1090" s="16" t="s">
        <v>110</v>
      </c>
      <c r="AC1090" s="16" t="s">
        <v>5837</v>
      </c>
      <c r="AD1090" s="12" t="s">
        <v>112</v>
      </c>
      <c r="AE1090" s="12" t="s">
        <v>282</v>
      </c>
      <c r="AF1090" s="12" t="s">
        <v>5880</v>
      </c>
      <c r="AG1090" s="12" t="s">
        <v>284</v>
      </c>
      <c r="AH1090" s="12" t="s">
        <v>838</v>
      </c>
      <c r="AI1090" s="12" t="s">
        <v>117</v>
      </c>
      <c r="AJ1090" s="12" t="s">
        <v>266</v>
      </c>
      <c r="AK1090" s="12" t="s">
        <v>4</v>
      </c>
    </row>
    <row r="1091" customFormat="false" ht="15" hidden="false" customHeight="false" outlineLevel="0" collapsed="false">
      <c r="A1091" s="11" t="n">
        <v>1090</v>
      </c>
      <c r="B1091" s="12" t="s">
        <v>5881</v>
      </c>
      <c r="C1091" s="12" t="s">
        <v>106</v>
      </c>
      <c r="D1091" s="12" t="s">
        <v>5753</v>
      </c>
      <c r="E1091" s="12" t="s">
        <v>5753</v>
      </c>
      <c r="F1091" s="12" t="s">
        <v>344</v>
      </c>
      <c r="G1091" s="12" t="s">
        <v>345</v>
      </c>
      <c r="H1091" s="12" t="s">
        <v>5882</v>
      </c>
      <c r="I1091" s="12" t="s">
        <v>748</v>
      </c>
      <c r="J1091" s="13" t="s">
        <v>5883</v>
      </c>
      <c r="K1091" s="12"/>
      <c r="L1091" s="12" t="s">
        <v>5884</v>
      </c>
      <c r="M1091" s="12" t="s">
        <v>5885</v>
      </c>
      <c r="N1091" s="12" t="s">
        <v>352</v>
      </c>
      <c r="O1091" s="12" t="s">
        <v>102</v>
      </c>
      <c r="P1091" s="12" t="s">
        <v>103</v>
      </c>
      <c r="Q1091" s="12" t="s">
        <v>104</v>
      </c>
      <c r="R1091" s="14" t="n">
        <v>40</v>
      </c>
      <c r="S1091" s="14" t="s">
        <v>129</v>
      </c>
      <c r="T1091" s="14" t="s">
        <v>106</v>
      </c>
      <c r="U1091" s="14" t="n">
        <v>2020</v>
      </c>
      <c r="V1091" s="12" t="s">
        <v>107</v>
      </c>
      <c r="W1091" s="14" t="s">
        <v>5886</v>
      </c>
      <c r="X1091" s="15" t="n">
        <f aca="false">IF(OR($S1091="%",$R1091=""),"",$R1091*INDEX(Cambi!$J$2:$J$5,MATCH($S1091,Cambi!$I$2:$I$5,0))/IF($T1091="EUR",1,INDEX(Cambi!$D:$D,MATCH($T1091&amp;"|"&amp;$U1091,Cambi!$C:$C,0))))</f>
        <v>40000</v>
      </c>
      <c r="Y1091" s="12" t="s">
        <v>109</v>
      </c>
      <c r="Z1091" s="12" t="s">
        <v>285</v>
      </c>
      <c r="AA1091" s="12" t="s">
        <v>109</v>
      </c>
      <c r="AB1091" s="16" t="s">
        <v>110</v>
      </c>
      <c r="AC1091" s="16" t="s">
        <v>5887</v>
      </c>
      <c r="AD1091" s="12" t="s">
        <v>112</v>
      </c>
      <c r="AE1091" s="12" t="s">
        <v>5888</v>
      </c>
      <c r="AF1091" s="12" t="s">
        <v>5889</v>
      </c>
      <c r="AG1091" s="12" t="s">
        <v>284</v>
      </c>
      <c r="AH1091" s="12" t="s">
        <v>116</v>
      </c>
      <c r="AI1091" s="12" t="s">
        <v>117</v>
      </c>
      <c r="AJ1091" s="12" t="s">
        <v>5890</v>
      </c>
      <c r="AK1091" s="12" t="s">
        <v>4</v>
      </c>
    </row>
    <row r="1092" customFormat="false" ht="15" hidden="false" customHeight="false" outlineLevel="0" collapsed="false">
      <c r="A1092" s="11" t="n">
        <v>1091</v>
      </c>
      <c r="B1092" s="12" t="s">
        <v>5891</v>
      </c>
      <c r="C1092" s="12" t="s">
        <v>106</v>
      </c>
      <c r="D1092" s="12" t="s">
        <v>5753</v>
      </c>
      <c r="E1092" s="12" t="s">
        <v>5753</v>
      </c>
      <c r="F1092" s="12" t="s">
        <v>344</v>
      </c>
      <c r="G1092" s="12" t="s">
        <v>345</v>
      </c>
      <c r="H1092" s="12" t="s">
        <v>5892</v>
      </c>
      <c r="I1092" s="12" t="s">
        <v>2899</v>
      </c>
      <c r="J1092" s="13" t="s">
        <v>5893</v>
      </c>
      <c r="K1092" s="12"/>
      <c r="L1092" s="12" t="s">
        <v>5894</v>
      </c>
      <c r="M1092" s="12" t="s">
        <v>5895</v>
      </c>
      <c r="N1092" s="12" t="s">
        <v>352</v>
      </c>
      <c r="O1092" s="12" t="s">
        <v>102</v>
      </c>
      <c r="P1092" s="12" t="s">
        <v>103</v>
      </c>
      <c r="Q1092" s="12" t="s">
        <v>104</v>
      </c>
      <c r="R1092" s="14" t="n">
        <v>25</v>
      </c>
      <c r="S1092" s="14" t="s">
        <v>129</v>
      </c>
      <c r="T1092" s="14" t="s">
        <v>106</v>
      </c>
      <c r="U1092" s="14" t="n">
        <v>2018</v>
      </c>
      <c r="V1092" s="12" t="s">
        <v>157</v>
      </c>
      <c r="W1092" s="14"/>
      <c r="X1092" s="15" t="n">
        <f aca="false">IF(OR($S1092="%",$R1092=""),"",$R1092*INDEX(Cambi!$J$2:$J$5,MATCH($S1092,Cambi!$I$2:$I$5,0))/IF($T1092="EUR",1,INDEX(Cambi!$D:$D,MATCH($T1092&amp;"|"&amp;$U1092,Cambi!$C:$C,0))))</f>
        <v>25000</v>
      </c>
      <c r="Y1092" s="12" t="s">
        <v>109</v>
      </c>
      <c r="Z1092" s="12" t="s">
        <v>285</v>
      </c>
      <c r="AA1092" s="12" t="s">
        <v>109</v>
      </c>
      <c r="AB1092" s="16" t="s">
        <v>110</v>
      </c>
      <c r="AC1092" s="16" t="s">
        <v>5896</v>
      </c>
      <c r="AD1092" s="12" t="s">
        <v>112</v>
      </c>
      <c r="AE1092" s="12" t="s">
        <v>5897</v>
      </c>
      <c r="AF1092" s="12" t="s">
        <v>5898</v>
      </c>
      <c r="AG1092" s="12" t="s">
        <v>284</v>
      </c>
      <c r="AH1092" s="12" t="s">
        <v>116</v>
      </c>
      <c r="AI1092" s="12" t="s">
        <v>117</v>
      </c>
      <c r="AJ1092" s="12" t="s">
        <v>5899</v>
      </c>
      <c r="AK1092" s="12" t="s">
        <v>4</v>
      </c>
    </row>
    <row r="1093" customFormat="false" ht="15" hidden="false" customHeight="false" outlineLevel="0" collapsed="false">
      <c r="A1093" s="11" t="n">
        <v>1092</v>
      </c>
      <c r="B1093" s="12" t="s">
        <v>5900</v>
      </c>
      <c r="C1093" s="12" t="s">
        <v>106</v>
      </c>
      <c r="D1093" s="12" t="s">
        <v>5753</v>
      </c>
      <c r="E1093" s="12" t="s">
        <v>5753</v>
      </c>
      <c r="F1093" s="12" t="s">
        <v>374</v>
      </c>
      <c r="G1093" s="12" t="s">
        <v>95</v>
      </c>
      <c r="H1093" s="12" t="s">
        <v>5901</v>
      </c>
      <c r="I1093" s="12" t="s">
        <v>5902</v>
      </c>
      <c r="J1093" s="13" t="s">
        <v>5903</v>
      </c>
      <c r="K1093" s="12" t="s">
        <v>1377</v>
      </c>
      <c r="L1093" s="12" t="s">
        <v>5904</v>
      </c>
      <c r="M1093" s="12" t="s">
        <v>5905</v>
      </c>
      <c r="N1093" s="12" t="s">
        <v>352</v>
      </c>
      <c r="O1093" s="12" t="s">
        <v>102</v>
      </c>
      <c r="P1093" s="12" t="s">
        <v>103</v>
      </c>
      <c r="Q1093" s="12" t="s">
        <v>104</v>
      </c>
      <c r="R1093" s="14" t="n">
        <v>20.1</v>
      </c>
      <c r="S1093" s="14" t="s">
        <v>129</v>
      </c>
      <c r="T1093" s="14" t="s">
        <v>106</v>
      </c>
      <c r="U1093" s="14" t="n">
        <v>2015</v>
      </c>
      <c r="V1093" s="12" t="s">
        <v>157</v>
      </c>
      <c r="W1093" s="14" t="s">
        <v>5906</v>
      </c>
      <c r="X1093" s="15" t="n">
        <f aca="false">IF(OR($S1093="%",$R1093=""),"",$R1093*INDEX(Cambi!$J$2:$J$5,MATCH($S1093,Cambi!$I$2:$I$5,0))/IF($T1093="EUR",1,INDEX(Cambi!$D:$D,MATCH($T1093&amp;"|"&amp;$U1093,Cambi!$C:$C,0))))</f>
        <v>20100</v>
      </c>
      <c r="Y1093" s="12" t="s">
        <v>109</v>
      </c>
      <c r="Z1093" s="12" t="s">
        <v>285</v>
      </c>
      <c r="AA1093" s="12" t="s">
        <v>109</v>
      </c>
      <c r="AB1093" s="16" t="s">
        <v>110</v>
      </c>
      <c r="AC1093" s="16" t="s">
        <v>5907</v>
      </c>
      <c r="AD1093" s="12" t="s">
        <v>281</v>
      </c>
      <c r="AE1093" s="12" t="s">
        <v>282</v>
      </c>
      <c r="AF1093" s="12" t="s">
        <v>5908</v>
      </c>
      <c r="AG1093" s="12" t="s">
        <v>284</v>
      </c>
      <c r="AH1093" s="12" t="s">
        <v>116</v>
      </c>
      <c r="AI1093" s="12" t="s">
        <v>285</v>
      </c>
      <c r="AJ1093" s="12" t="s">
        <v>5909</v>
      </c>
      <c r="AK1093" s="12" t="s">
        <v>4</v>
      </c>
    </row>
    <row r="1094" customFormat="false" ht="15" hidden="false" customHeight="false" outlineLevel="0" collapsed="false">
      <c r="A1094" s="11" t="n">
        <v>1093</v>
      </c>
      <c r="B1094" s="12" t="s">
        <v>5900</v>
      </c>
      <c r="C1094" s="12" t="s">
        <v>106</v>
      </c>
      <c r="D1094" s="12" t="s">
        <v>5753</v>
      </c>
      <c r="E1094" s="12" t="s">
        <v>5753</v>
      </c>
      <c r="F1094" s="12" t="s">
        <v>374</v>
      </c>
      <c r="G1094" s="12" t="s">
        <v>95</v>
      </c>
      <c r="H1094" s="12" t="s">
        <v>5901</v>
      </c>
      <c r="I1094" s="12" t="s">
        <v>5902</v>
      </c>
      <c r="J1094" s="13" t="s">
        <v>5903</v>
      </c>
      <c r="K1094" s="12" t="s">
        <v>1377</v>
      </c>
      <c r="L1094" s="12" t="s">
        <v>5910</v>
      </c>
      <c r="M1094" s="12" t="s">
        <v>5911</v>
      </c>
      <c r="N1094" s="12" t="s">
        <v>352</v>
      </c>
      <c r="O1094" s="12" t="s">
        <v>102</v>
      </c>
      <c r="P1094" s="12" t="s">
        <v>103</v>
      </c>
      <c r="Q1094" s="12" t="s">
        <v>104</v>
      </c>
      <c r="R1094" s="14" t="n">
        <v>24.4</v>
      </c>
      <c r="S1094" s="14" t="s">
        <v>129</v>
      </c>
      <c r="T1094" s="14" t="s">
        <v>106</v>
      </c>
      <c r="U1094" s="14" t="n">
        <v>2018</v>
      </c>
      <c r="V1094" s="12" t="s">
        <v>107</v>
      </c>
      <c r="W1094" s="14" t="s">
        <v>5912</v>
      </c>
      <c r="X1094" s="15" t="n">
        <f aca="false">IF(OR($S1094="%",$R1094=""),"",$R1094*INDEX(Cambi!$J$2:$J$5,MATCH($S1094,Cambi!$I$2:$I$5,0))/IF($T1094="EUR",1,INDEX(Cambi!$D:$D,MATCH($T1094&amp;"|"&amp;$U1094,Cambi!$C:$C,0))))</f>
        <v>24400</v>
      </c>
      <c r="Y1094" s="12" t="s">
        <v>109</v>
      </c>
      <c r="Z1094" s="12" t="s">
        <v>285</v>
      </c>
      <c r="AA1094" s="12" t="s">
        <v>109</v>
      </c>
      <c r="AB1094" s="16" t="s">
        <v>110</v>
      </c>
      <c r="AC1094" s="16" t="s">
        <v>5907</v>
      </c>
      <c r="AD1094" s="12" t="s">
        <v>281</v>
      </c>
      <c r="AE1094" s="12" t="s">
        <v>282</v>
      </c>
      <c r="AF1094" s="12" t="s">
        <v>5913</v>
      </c>
      <c r="AG1094" s="12" t="s">
        <v>284</v>
      </c>
      <c r="AH1094" s="12" t="s">
        <v>116</v>
      </c>
      <c r="AI1094" s="12" t="s">
        <v>285</v>
      </c>
      <c r="AJ1094" s="12" t="s">
        <v>5914</v>
      </c>
      <c r="AK1094" s="12" t="s">
        <v>4</v>
      </c>
    </row>
    <row r="1095" customFormat="false" ht="15" hidden="false" customHeight="false" outlineLevel="0" collapsed="false">
      <c r="A1095" s="11" t="n">
        <v>1094</v>
      </c>
      <c r="B1095" s="12" t="s">
        <v>484</v>
      </c>
      <c r="C1095" s="12" t="s">
        <v>106</v>
      </c>
      <c r="D1095" s="12" t="s">
        <v>5753</v>
      </c>
      <c r="E1095" s="12" t="s">
        <v>5753</v>
      </c>
      <c r="F1095" s="12" t="s">
        <v>385</v>
      </c>
      <c r="G1095" s="12" t="s">
        <v>95</v>
      </c>
      <c r="H1095" s="12" t="s">
        <v>485</v>
      </c>
      <c r="I1095" s="12" t="s">
        <v>486</v>
      </c>
      <c r="J1095" s="13" t="s">
        <v>487</v>
      </c>
      <c r="K1095" s="12" t="s">
        <v>5915</v>
      </c>
      <c r="L1095" s="12" t="s">
        <v>5916</v>
      </c>
      <c r="M1095" s="12" t="s">
        <v>5917</v>
      </c>
      <c r="N1095" s="12" t="s">
        <v>352</v>
      </c>
      <c r="O1095" s="12" t="s">
        <v>102</v>
      </c>
      <c r="P1095" s="12" t="s">
        <v>103</v>
      </c>
      <c r="Q1095" s="12" t="s">
        <v>104</v>
      </c>
      <c r="R1095" s="14" t="n">
        <v>44</v>
      </c>
      <c r="S1095" s="14" t="s">
        <v>129</v>
      </c>
      <c r="T1095" s="14" t="s">
        <v>106</v>
      </c>
      <c r="U1095" s="14" t="n">
        <v>2023</v>
      </c>
      <c r="V1095" s="12" t="s">
        <v>198</v>
      </c>
      <c r="W1095" s="14" t="s">
        <v>5918</v>
      </c>
      <c r="X1095" s="15" t="n">
        <f aca="false">IF(OR($S1095="%",$R1095=""),"",$R1095*INDEX(Cambi!$J$2:$J$5,MATCH($S1095,Cambi!$I$2:$I$5,0))/IF($T1095="EUR",1,INDEX(Cambi!$D:$D,MATCH($T1095&amp;"|"&amp;$U1095,Cambi!$C:$C,0))))</f>
        <v>44000</v>
      </c>
      <c r="Y1095" s="12" t="s">
        <v>109</v>
      </c>
      <c r="Z1095" s="12" t="s">
        <v>285</v>
      </c>
      <c r="AA1095" s="12" t="s">
        <v>5919</v>
      </c>
      <c r="AB1095" s="16" t="s">
        <v>679</v>
      </c>
      <c r="AC1095" s="16" t="s">
        <v>5920</v>
      </c>
      <c r="AD1095" s="12" t="s">
        <v>281</v>
      </c>
      <c r="AE1095" s="12" t="s">
        <v>5921</v>
      </c>
      <c r="AF1095" s="12" t="s">
        <v>5922</v>
      </c>
      <c r="AG1095" s="12" t="s">
        <v>498</v>
      </c>
      <c r="AH1095" s="12" t="s">
        <v>499</v>
      </c>
      <c r="AI1095" s="12" t="s">
        <v>285</v>
      </c>
      <c r="AJ1095" s="12" t="s">
        <v>5923</v>
      </c>
      <c r="AK1095" s="12" t="s">
        <v>4</v>
      </c>
    </row>
    <row r="1096" customFormat="false" ht="15" hidden="false" customHeight="false" outlineLevel="0" collapsed="false">
      <c r="A1096" s="11" t="n">
        <v>1095</v>
      </c>
      <c r="B1096" s="12" t="s">
        <v>484</v>
      </c>
      <c r="C1096" s="12" t="s">
        <v>106</v>
      </c>
      <c r="D1096" s="12" t="s">
        <v>5753</v>
      </c>
      <c r="E1096" s="12" t="s">
        <v>5753</v>
      </c>
      <c r="F1096" s="12" t="s">
        <v>385</v>
      </c>
      <c r="G1096" s="12" t="s">
        <v>95</v>
      </c>
      <c r="H1096" s="12" t="s">
        <v>485</v>
      </c>
      <c r="I1096" s="12" t="s">
        <v>486</v>
      </c>
      <c r="J1096" s="13" t="s">
        <v>487</v>
      </c>
      <c r="K1096" s="12" t="s">
        <v>5915</v>
      </c>
      <c r="L1096" s="12" t="s">
        <v>5924</v>
      </c>
      <c r="M1096" s="12" t="s">
        <v>5925</v>
      </c>
      <c r="N1096" s="12" t="s">
        <v>352</v>
      </c>
      <c r="O1096" s="12" t="s">
        <v>213</v>
      </c>
      <c r="P1096" s="12" t="s">
        <v>103</v>
      </c>
      <c r="Q1096" s="12" t="s">
        <v>104</v>
      </c>
      <c r="R1096" s="14" t="n">
        <v>13.7</v>
      </c>
      <c r="S1096" s="14" t="s">
        <v>197</v>
      </c>
      <c r="T1096" s="14"/>
      <c r="U1096" s="14" t="n">
        <v>2023</v>
      </c>
      <c r="V1096" s="12" t="s">
        <v>198</v>
      </c>
      <c r="W1096" s="14"/>
      <c r="X1096" s="15" t="str">
        <f aca="false">IF(OR($S1096="%",$R1096=""),"",$R1096*INDEX(Cambi!$J$2:$J$5,MATCH($S1096,Cambi!$I$2:$I$5,0))/IF($T1096="EUR",1,INDEX(Cambi!$D:$D,MATCH($T1096&amp;"|"&amp;$U1096,Cambi!$C:$C,0))))</f>
        <v/>
      </c>
      <c r="Y1096" s="12" t="s">
        <v>109</v>
      </c>
      <c r="Z1096" s="12" t="s">
        <v>285</v>
      </c>
      <c r="AA1096" s="12" t="s">
        <v>5919</v>
      </c>
      <c r="AB1096" s="16" t="s">
        <v>679</v>
      </c>
      <c r="AC1096" s="16" t="s">
        <v>5920</v>
      </c>
      <c r="AD1096" s="12" t="s">
        <v>281</v>
      </c>
      <c r="AE1096" s="12" t="s">
        <v>5921</v>
      </c>
      <c r="AF1096" s="12" t="s">
        <v>5922</v>
      </c>
      <c r="AG1096" s="12" t="s">
        <v>498</v>
      </c>
      <c r="AH1096" s="12" t="s">
        <v>499</v>
      </c>
      <c r="AI1096" s="12" t="s">
        <v>285</v>
      </c>
      <c r="AJ1096" s="12" t="s">
        <v>266</v>
      </c>
      <c r="AK1096" s="12" t="s">
        <v>4</v>
      </c>
    </row>
    <row r="1097" customFormat="false" ht="15" hidden="false" customHeight="false" outlineLevel="0" collapsed="false">
      <c r="A1097" s="11" t="n">
        <v>1096</v>
      </c>
      <c r="B1097" s="12" t="s">
        <v>484</v>
      </c>
      <c r="C1097" s="12" t="s">
        <v>106</v>
      </c>
      <c r="D1097" s="12" t="s">
        <v>5753</v>
      </c>
      <c r="E1097" s="12" t="s">
        <v>5753</v>
      </c>
      <c r="F1097" s="12" t="s">
        <v>385</v>
      </c>
      <c r="G1097" s="12" t="s">
        <v>95</v>
      </c>
      <c r="H1097" s="12" t="s">
        <v>485</v>
      </c>
      <c r="I1097" s="12" t="s">
        <v>486</v>
      </c>
      <c r="J1097" s="13" t="s">
        <v>487</v>
      </c>
      <c r="K1097" s="12" t="s">
        <v>5915</v>
      </c>
      <c r="L1097" s="12" t="s">
        <v>5916</v>
      </c>
      <c r="M1097" s="12" t="s">
        <v>5926</v>
      </c>
      <c r="N1097" s="12" t="s">
        <v>352</v>
      </c>
      <c r="O1097" s="12" t="s">
        <v>102</v>
      </c>
      <c r="P1097" s="12" t="s">
        <v>103</v>
      </c>
      <c r="Q1097" s="12" t="s">
        <v>104</v>
      </c>
      <c r="R1097" s="14" t="n">
        <v>71</v>
      </c>
      <c r="S1097" s="14" t="s">
        <v>129</v>
      </c>
      <c r="T1097" s="14" t="s">
        <v>106</v>
      </c>
      <c r="U1097" s="14" t="n">
        <v>2027</v>
      </c>
      <c r="V1097" s="12" t="s">
        <v>107</v>
      </c>
      <c r="W1097" s="14" t="s">
        <v>5927</v>
      </c>
      <c r="X1097" s="15" t="n">
        <f aca="false">IF(OR($S1097="%",$R1097=""),"",$R1097*INDEX(Cambi!$J$2:$J$5,MATCH($S1097,Cambi!$I$2:$I$5,0))/IF($T1097="EUR",1,INDEX(Cambi!$D:$D,MATCH($T1097&amp;"|"&amp;$U1097,Cambi!$C:$C,0))))</f>
        <v>71000</v>
      </c>
      <c r="Y1097" s="12" t="s">
        <v>109</v>
      </c>
      <c r="Z1097" s="12" t="s">
        <v>285</v>
      </c>
      <c r="AA1097" s="12" t="s">
        <v>5919</v>
      </c>
      <c r="AB1097" s="16" t="s">
        <v>679</v>
      </c>
      <c r="AC1097" s="16" t="s">
        <v>5920</v>
      </c>
      <c r="AD1097" s="12" t="s">
        <v>281</v>
      </c>
      <c r="AE1097" s="12" t="s">
        <v>5921</v>
      </c>
      <c r="AF1097" s="12" t="s">
        <v>5928</v>
      </c>
      <c r="AG1097" s="12" t="s">
        <v>498</v>
      </c>
      <c r="AH1097" s="12" t="s">
        <v>499</v>
      </c>
      <c r="AI1097" s="12" t="s">
        <v>285</v>
      </c>
      <c r="AJ1097" s="12" t="s">
        <v>5929</v>
      </c>
      <c r="AK1097" s="12" t="s">
        <v>4</v>
      </c>
    </row>
    <row r="1098" customFormat="false" ht="15" hidden="false" customHeight="false" outlineLevel="0" collapsed="false">
      <c r="A1098" s="11" t="n">
        <v>1097</v>
      </c>
      <c r="B1098" s="12" t="s">
        <v>5930</v>
      </c>
      <c r="C1098" s="12" t="s">
        <v>106</v>
      </c>
      <c r="D1098" s="12" t="s">
        <v>5753</v>
      </c>
      <c r="E1098" s="12" t="s">
        <v>5753</v>
      </c>
      <c r="F1098" s="12" t="s">
        <v>5579</v>
      </c>
      <c r="G1098" s="12" t="s">
        <v>830</v>
      </c>
      <c r="H1098" s="12" t="s">
        <v>5931</v>
      </c>
      <c r="I1098" s="12" t="s">
        <v>5932</v>
      </c>
      <c r="J1098" s="13" t="s">
        <v>5933</v>
      </c>
      <c r="K1098" s="12"/>
      <c r="L1098" s="12" t="s">
        <v>5934</v>
      </c>
      <c r="M1098" s="12" t="s">
        <v>5935</v>
      </c>
      <c r="N1098" s="12" t="s">
        <v>352</v>
      </c>
      <c r="O1098" s="12" t="s">
        <v>102</v>
      </c>
      <c r="P1098" s="12" t="s">
        <v>103</v>
      </c>
      <c r="Q1098" s="12" t="s">
        <v>104</v>
      </c>
      <c r="R1098" s="14" t="n">
        <v>55.98</v>
      </c>
      <c r="S1098" s="14" t="s">
        <v>129</v>
      </c>
      <c r="T1098" s="14" t="s">
        <v>653</v>
      </c>
      <c r="U1098" s="14" t="n">
        <v>2025</v>
      </c>
      <c r="V1098" s="12" t="s">
        <v>107</v>
      </c>
      <c r="W1098" s="14" t="s">
        <v>5936</v>
      </c>
      <c r="X1098" s="15" t="n">
        <f aca="false">IF(OR($S1098="%",$R1098=""),"",$R1098*INDEX(Cambi!$J$2:$J$5,MATCH($S1098,Cambi!$I$2:$I$5,0))/IF($T1098="EUR",1,INDEX(Cambi!$D:$D,MATCH($T1098&amp;"|"&amp;$U1098,Cambi!$C:$C,0))))</f>
        <v>49539.8230088496</v>
      </c>
      <c r="Y1098" s="12" t="s">
        <v>109</v>
      </c>
      <c r="Z1098" s="12" t="s">
        <v>285</v>
      </c>
      <c r="AA1098" s="12" t="s">
        <v>109</v>
      </c>
      <c r="AB1098" s="12" t="s">
        <v>3261</v>
      </c>
      <c r="AC1098" s="12" t="s">
        <v>395</v>
      </c>
      <c r="AD1098" s="12" t="s">
        <v>166</v>
      </c>
      <c r="AE1098" s="12" t="s">
        <v>5937</v>
      </c>
      <c r="AF1098" s="12" t="s">
        <v>5938</v>
      </c>
      <c r="AG1098" s="12" t="s">
        <v>498</v>
      </c>
      <c r="AH1098" s="12" t="s">
        <v>838</v>
      </c>
      <c r="AI1098" s="12" t="s">
        <v>117</v>
      </c>
      <c r="AJ1098" s="12" t="s">
        <v>5939</v>
      </c>
      <c r="AK1098" s="12" t="s">
        <v>4</v>
      </c>
    </row>
    <row r="1099" customFormat="false" ht="15" hidden="false" customHeight="false" outlineLevel="0" collapsed="false">
      <c r="A1099" s="11" t="n">
        <v>1098</v>
      </c>
      <c r="B1099" s="12" t="s">
        <v>5940</v>
      </c>
      <c r="C1099" s="12" t="s">
        <v>106</v>
      </c>
      <c r="D1099" s="12" t="s">
        <v>5753</v>
      </c>
      <c r="E1099" s="12" t="s">
        <v>5753</v>
      </c>
      <c r="F1099" s="12" t="s">
        <v>5579</v>
      </c>
      <c r="G1099" s="12" t="s">
        <v>830</v>
      </c>
      <c r="H1099" s="12" t="s">
        <v>5941</v>
      </c>
      <c r="I1099" s="12" t="s">
        <v>847</v>
      </c>
      <c r="J1099" s="13" t="s">
        <v>5581</v>
      </c>
      <c r="K1099" s="12"/>
      <c r="L1099" s="12" t="s">
        <v>5942</v>
      </c>
      <c r="M1099" s="12" t="s">
        <v>5943</v>
      </c>
      <c r="N1099" s="12" t="s">
        <v>352</v>
      </c>
      <c r="O1099" s="12" t="s">
        <v>102</v>
      </c>
      <c r="P1099" s="12" t="s">
        <v>103</v>
      </c>
      <c r="Q1099" s="12" t="s">
        <v>104</v>
      </c>
      <c r="R1099" s="14" t="n">
        <v>55.98</v>
      </c>
      <c r="S1099" s="14" t="s">
        <v>129</v>
      </c>
      <c r="T1099" s="14" t="s">
        <v>653</v>
      </c>
      <c r="U1099" s="14" t="n">
        <v>2025</v>
      </c>
      <c r="V1099" s="12" t="s">
        <v>157</v>
      </c>
      <c r="W1099" s="14"/>
      <c r="X1099" s="15" t="n">
        <f aca="false">IF(OR($S1099="%",$R1099=""),"",$R1099*INDEX(Cambi!$J$2:$J$5,MATCH($S1099,Cambi!$I$2:$I$5,0))/IF($T1099="EUR",1,INDEX(Cambi!$D:$D,MATCH($T1099&amp;"|"&amp;$U1099,Cambi!$C:$C,0))))</f>
        <v>49539.8230088496</v>
      </c>
      <c r="Y1099" s="12" t="s">
        <v>109</v>
      </c>
      <c r="Z1099" s="12" t="s">
        <v>285</v>
      </c>
      <c r="AA1099" s="12" t="s">
        <v>109</v>
      </c>
      <c r="AB1099" s="12" t="s">
        <v>3261</v>
      </c>
      <c r="AC1099" s="12" t="s">
        <v>395</v>
      </c>
      <c r="AD1099" s="12" t="s">
        <v>166</v>
      </c>
      <c r="AE1099" s="12" t="s">
        <v>5937</v>
      </c>
      <c r="AF1099" s="12" t="s">
        <v>5944</v>
      </c>
      <c r="AG1099" s="12" t="s">
        <v>498</v>
      </c>
      <c r="AH1099" s="12" t="s">
        <v>838</v>
      </c>
      <c r="AI1099" s="12" t="s">
        <v>117</v>
      </c>
      <c r="AJ1099" s="12" t="s">
        <v>5945</v>
      </c>
      <c r="AK1099" s="12" t="s">
        <v>4</v>
      </c>
    </row>
    <row r="1100" customFormat="false" ht="15" hidden="false" customHeight="false" outlineLevel="0" collapsed="false">
      <c r="A1100" s="11" t="n">
        <v>1099</v>
      </c>
      <c r="B1100" s="12" t="s">
        <v>5940</v>
      </c>
      <c r="C1100" s="12" t="s">
        <v>106</v>
      </c>
      <c r="D1100" s="12" t="s">
        <v>5753</v>
      </c>
      <c r="E1100" s="12" t="s">
        <v>5753</v>
      </c>
      <c r="F1100" s="12" t="s">
        <v>5579</v>
      </c>
      <c r="G1100" s="12" t="s">
        <v>830</v>
      </c>
      <c r="H1100" s="12" t="s">
        <v>5941</v>
      </c>
      <c r="I1100" s="12" t="s">
        <v>847</v>
      </c>
      <c r="J1100" s="13" t="s">
        <v>5581</v>
      </c>
      <c r="K1100" s="12"/>
      <c r="L1100" s="12" t="s">
        <v>5942</v>
      </c>
      <c r="M1100" s="12" t="s">
        <v>5946</v>
      </c>
      <c r="N1100" s="12" t="s">
        <v>352</v>
      </c>
      <c r="O1100" s="12" t="s">
        <v>102</v>
      </c>
      <c r="P1100" s="12" t="s">
        <v>103</v>
      </c>
      <c r="Q1100" s="12" t="s">
        <v>104</v>
      </c>
      <c r="R1100" s="14" t="n">
        <v>63.11</v>
      </c>
      <c r="S1100" s="14" t="s">
        <v>129</v>
      </c>
      <c r="T1100" s="14" t="s">
        <v>653</v>
      </c>
      <c r="U1100" s="14" t="n">
        <v>2026</v>
      </c>
      <c r="V1100" s="12" t="s">
        <v>198</v>
      </c>
      <c r="W1100" s="14"/>
      <c r="X1100" s="15" t="n">
        <f aca="false">IF(OR($S1100="%",$R1100=""),"",$R1100*INDEX(Cambi!$J$2:$J$5,MATCH($S1100,Cambi!$I$2:$I$5,0))/IF($T1100="EUR",1,INDEX(Cambi!$D:$D,MATCH($T1100&amp;"|"&amp;$U1100,Cambi!$C:$C,0))))</f>
        <v>55849.5575221239</v>
      </c>
      <c r="Y1100" s="12" t="s">
        <v>109</v>
      </c>
      <c r="Z1100" s="12" t="s">
        <v>285</v>
      </c>
      <c r="AA1100" s="12" t="s">
        <v>109</v>
      </c>
      <c r="AB1100" s="12" t="s">
        <v>3261</v>
      </c>
      <c r="AC1100" s="12" t="s">
        <v>395</v>
      </c>
      <c r="AD1100" s="12" t="s">
        <v>166</v>
      </c>
      <c r="AE1100" s="12" t="s">
        <v>5937</v>
      </c>
      <c r="AF1100" s="12" t="s">
        <v>5944</v>
      </c>
      <c r="AG1100" s="12" t="s">
        <v>498</v>
      </c>
      <c r="AH1100" s="12" t="s">
        <v>838</v>
      </c>
      <c r="AI1100" s="12" t="s">
        <v>117</v>
      </c>
      <c r="AJ1100" s="12" t="s">
        <v>266</v>
      </c>
      <c r="AK1100" s="12" t="s">
        <v>4</v>
      </c>
    </row>
    <row r="1101" customFormat="false" ht="15" hidden="false" customHeight="false" outlineLevel="0" collapsed="false">
      <c r="A1101" s="11" t="n">
        <v>1100</v>
      </c>
      <c r="B1101" s="12" t="s">
        <v>5947</v>
      </c>
      <c r="C1101" s="12" t="s">
        <v>106</v>
      </c>
      <c r="D1101" s="12" t="s">
        <v>5753</v>
      </c>
      <c r="E1101" s="12" t="s">
        <v>5753</v>
      </c>
      <c r="F1101" s="12" t="s">
        <v>5948</v>
      </c>
      <c r="G1101" s="12" t="s">
        <v>1876</v>
      </c>
      <c r="H1101" s="12" t="s">
        <v>5949</v>
      </c>
      <c r="I1101" s="12" t="s">
        <v>748</v>
      </c>
      <c r="J1101" s="13" t="s">
        <v>5950</v>
      </c>
      <c r="K1101" s="12"/>
      <c r="L1101" s="12" t="s">
        <v>5951</v>
      </c>
      <c r="M1101" s="12" t="s">
        <v>5952</v>
      </c>
      <c r="N1101" s="12" t="s">
        <v>352</v>
      </c>
      <c r="O1101" s="12" t="s">
        <v>102</v>
      </c>
      <c r="P1101" s="12" t="s">
        <v>155</v>
      </c>
      <c r="Q1101" s="12" t="s">
        <v>1937</v>
      </c>
      <c r="R1101" s="14" t="n">
        <v>3.63</v>
      </c>
      <c r="S1101" s="14" t="s">
        <v>129</v>
      </c>
      <c r="T1101" s="14" t="s">
        <v>653</v>
      </c>
      <c r="U1101" s="14" t="n">
        <v>2015</v>
      </c>
      <c r="V1101" s="12" t="s">
        <v>157</v>
      </c>
      <c r="W1101" s="14" t="s">
        <v>5953</v>
      </c>
      <c r="X1101" s="15" t="n">
        <f aca="false">IF(OR($S1101="%",$R1101=""),"",$R1101*INDEX(Cambi!$J$2:$J$5,MATCH($S1101,Cambi!$I$2:$I$5,0))/IF($T1101="EUR",1,INDEX(Cambi!$D:$D,MATCH($T1101&amp;"|"&amp;$U1101,Cambi!$C:$C,0))))</f>
        <v>3271.74402884182</v>
      </c>
      <c r="Y1101" s="12" t="s">
        <v>109</v>
      </c>
      <c r="Z1101" s="12" t="s">
        <v>285</v>
      </c>
      <c r="AA1101" s="12" t="s">
        <v>4418</v>
      </c>
      <c r="AB1101" s="16" t="s">
        <v>110</v>
      </c>
      <c r="AC1101" s="16" t="s">
        <v>5954</v>
      </c>
      <c r="AD1101" s="12" t="s">
        <v>112</v>
      </c>
      <c r="AE1101" s="12" t="s">
        <v>282</v>
      </c>
      <c r="AF1101" s="12" t="s">
        <v>5955</v>
      </c>
      <c r="AG1101" s="12" t="s">
        <v>284</v>
      </c>
      <c r="AH1101" s="12" t="s">
        <v>116</v>
      </c>
      <c r="AI1101" s="12" t="s">
        <v>117</v>
      </c>
      <c r="AJ1101" s="12" t="s">
        <v>5956</v>
      </c>
      <c r="AK1101" s="12" t="s">
        <v>4</v>
      </c>
    </row>
    <row r="1102" customFormat="false" ht="15" hidden="false" customHeight="false" outlineLevel="0" collapsed="false">
      <c r="A1102" s="11" t="n">
        <v>1101</v>
      </c>
      <c r="B1102" s="12" t="s">
        <v>5957</v>
      </c>
      <c r="C1102" s="12" t="s">
        <v>106</v>
      </c>
      <c r="D1102" s="12" t="s">
        <v>5753</v>
      </c>
      <c r="E1102" s="12" t="s">
        <v>5753</v>
      </c>
      <c r="F1102" s="12" t="s">
        <v>5958</v>
      </c>
      <c r="G1102" s="12" t="s">
        <v>1876</v>
      </c>
      <c r="H1102" s="12" t="s">
        <v>5959</v>
      </c>
      <c r="I1102" s="12" t="s">
        <v>4518</v>
      </c>
      <c r="J1102" s="13" t="s">
        <v>5960</v>
      </c>
      <c r="K1102" s="12"/>
      <c r="L1102" s="12" t="s">
        <v>5961</v>
      </c>
      <c r="M1102" s="12" t="s">
        <v>5962</v>
      </c>
      <c r="N1102" s="12" t="s">
        <v>352</v>
      </c>
      <c r="O1102" s="12" t="s">
        <v>213</v>
      </c>
      <c r="P1102" s="12" t="s">
        <v>103</v>
      </c>
      <c r="Q1102" s="12" t="s">
        <v>104</v>
      </c>
      <c r="R1102" s="14" t="n">
        <v>10.7</v>
      </c>
      <c r="S1102" s="14" t="s">
        <v>197</v>
      </c>
      <c r="T1102" s="14"/>
      <c r="U1102" s="14" t="n">
        <v>2028</v>
      </c>
      <c r="V1102" s="12" t="s">
        <v>107</v>
      </c>
      <c r="W1102" s="14"/>
      <c r="X1102" s="15" t="str">
        <f aca="false">IF(OR($S1102="%",$R1102=""),"",$R1102*INDEX(Cambi!$J$2:$J$5,MATCH($S1102,Cambi!$I$2:$I$5,0))/IF($T1102="EUR",1,INDEX(Cambi!$D:$D,MATCH($T1102&amp;"|"&amp;$U1102,Cambi!$C:$C,0))))</f>
        <v/>
      </c>
      <c r="Y1102" s="12" t="s">
        <v>109</v>
      </c>
      <c r="Z1102" s="12" t="s">
        <v>285</v>
      </c>
      <c r="AA1102" s="12" t="s">
        <v>5963</v>
      </c>
      <c r="AB1102" s="16" t="s">
        <v>679</v>
      </c>
      <c r="AC1102" s="16" t="s">
        <v>5920</v>
      </c>
      <c r="AD1102" s="12" t="s">
        <v>201</v>
      </c>
      <c r="AE1102" s="12" t="s">
        <v>5964</v>
      </c>
      <c r="AF1102" s="12" t="s">
        <v>5965</v>
      </c>
      <c r="AG1102" s="12" t="s">
        <v>498</v>
      </c>
      <c r="AH1102" s="12" t="s">
        <v>116</v>
      </c>
      <c r="AI1102" s="12" t="s">
        <v>117</v>
      </c>
      <c r="AJ1102" s="12" t="s">
        <v>5966</v>
      </c>
      <c r="AK1102" s="12" t="s">
        <v>4</v>
      </c>
    </row>
    <row r="1103" customFormat="false" ht="15" hidden="false" customHeight="false" outlineLevel="0" collapsed="false">
      <c r="A1103" s="11" t="n">
        <v>1102</v>
      </c>
      <c r="B1103" s="12" t="s">
        <v>5957</v>
      </c>
      <c r="C1103" s="12" t="s">
        <v>106</v>
      </c>
      <c r="D1103" s="12" t="s">
        <v>5753</v>
      </c>
      <c r="E1103" s="12" t="s">
        <v>5753</v>
      </c>
      <c r="F1103" s="12" t="s">
        <v>5958</v>
      </c>
      <c r="G1103" s="12" t="s">
        <v>1876</v>
      </c>
      <c r="H1103" s="12" t="s">
        <v>5959</v>
      </c>
      <c r="I1103" s="12" t="s">
        <v>4518</v>
      </c>
      <c r="J1103" s="13" t="s">
        <v>5960</v>
      </c>
      <c r="K1103" s="12"/>
      <c r="L1103" s="12" t="s">
        <v>5967</v>
      </c>
      <c r="M1103" s="12" t="s">
        <v>5968</v>
      </c>
      <c r="N1103" s="12" t="s">
        <v>352</v>
      </c>
      <c r="O1103" s="12" t="s">
        <v>213</v>
      </c>
      <c r="P1103" s="12" t="s">
        <v>103</v>
      </c>
      <c r="Q1103" s="12" t="s">
        <v>104</v>
      </c>
      <c r="R1103" s="14" t="n">
        <v>12.3</v>
      </c>
      <c r="S1103" s="14" t="s">
        <v>197</v>
      </c>
      <c r="T1103" s="14"/>
      <c r="U1103" s="14" t="n">
        <v>2028</v>
      </c>
      <c r="V1103" s="12" t="s">
        <v>107</v>
      </c>
      <c r="W1103" s="14" t="s">
        <v>5969</v>
      </c>
      <c r="X1103" s="15" t="str">
        <f aca="false">IF(OR($S1103="%",$R1103=""),"",$R1103*INDEX(Cambi!$J$2:$J$5,MATCH($S1103,Cambi!$I$2:$I$5,0))/IF($T1103="EUR",1,INDEX(Cambi!$D:$D,MATCH($T1103&amp;"|"&amp;$U1103,Cambi!$C:$C,0))))</f>
        <v/>
      </c>
      <c r="Y1103" s="12" t="s">
        <v>109</v>
      </c>
      <c r="Z1103" s="12" t="s">
        <v>285</v>
      </c>
      <c r="AA1103" s="12" t="s">
        <v>5963</v>
      </c>
      <c r="AB1103" s="16" t="s">
        <v>679</v>
      </c>
      <c r="AC1103" s="16" t="s">
        <v>5920</v>
      </c>
      <c r="AD1103" s="12" t="s">
        <v>201</v>
      </c>
      <c r="AE1103" s="12" t="s">
        <v>5964</v>
      </c>
      <c r="AF1103" s="12" t="s">
        <v>5970</v>
      </c>
      <c r="AG1103" s="12" t="s">
        <v>498</v>
      </c>
      <c r="AH1103" s="12" t="s">
        <v>116</v>
      </c>
      <c r="AI1103" s="12" t="s">
        <v>117</v>
      </c>
      <c r="AJ1103" s="12" t="s">
        <v>266</v>
      </c>
      <c r="AK1103" s="12" t="s">
        <v>4</v>
      </c>
    </row>
    <row r="1104" customFormat="false" ht="15" hidden="false" customHeight="false" outlineLevel="0" collapsed="false">
      <c r="A1104" s="11" t="n">
        <v>1103</v>
      </c>
      <c r="B1104" s="12" t="s">
        <v>5971</v>
      </c>
      <c r="C1104" s="12" t="s">
        <v>106</v>
      </c>
      <c r="D1104" s="12" t="s">
        <v>5753</v>
      </c>
      <c r="E1104" s="12" t="s">
        <v>5753</v>
      </c>
      <c r="F1104" s="12" t="s">
        <v>5958</v>
      </c>
      <c r="G1104" s="12" t="s">
        <v>1876</v>
      </c>
      <c r="H1104" s="12" t="s">
        <v>5972</v>
      </c>
      <c r="I1104" s="12" t="s">
        <v>5973</v>
      </c>
      <c r="J1104" s="13" t="s">
        <v>5974</v>
      </c>
      <c r="K1104" s="12"/>
      <c r="L1104" s="12" t="s">
        <v>5975</v>
      </c>
      <c r="M1104" s="12" t="s">
        <v>5976</v>
      </c>
      <c r="N1104" s="12" t="s">
        <v>352</v>
      </c>
      <c r="O1104" s="12" t="s">
        <v>102</v>
      </c>
      <c r="P1104" s="12" t="s">
        <v>103</v>
      </c>
      <c r="Q1104" s="12" t="s">
        <v>104</v>
      </c>
      <c r="R1104" s="14" t="n">
        <v>47</v>
      </c>
      <c r="S1104" s="14" t="s">
        <v>129</v>
      </c>
      <c r="T1104" s="14" t="s">
        <v>653</v>
      </c>
      <c r="U1104" s="14" t="n">
        <v>2024</v>
      </c>
      <c r="V1104" s="12" t="s">
        <v>198</v>
      </c>
      <c r="W1104" s="14"/>
      <c r="X1104" s="15" t="n">
        <f aca="false">IF(OR($S1104="%",$R1104=""),"",$R1104*INDEX(Cambi!$J$2:$J$5,MATCH($S1104,Cambi!$I$2:$I$5,0))/IF($T1104="EUR",1,INDEX(Cambi!$D:$D,MATCH($T1104&amp;"|"&amp;$U1104,Cambi!$C:$C,0))))</f>
        <v>43422.0251293422</v>
      </c>
      <c r="Y1104" s="12" t="s">
        <v>109</v>
      </c>
      <c r="Z1104" s="12" t="s">
        <v>285</v>
      </c>
      <c r="AA1104" s="12" t="s">
        <v>5963</v>
      </c>
      <c r="AB1104" s="16" t="s">
        <v>679</v>
      </c>
      <c r="AC1104" s="16" t="s">
        <v>5920</v>
      </c>
      <c r="AD1104" s="12" t="s">
        <v>201</v>
      </c>
      <c r="AE1104" s="12" t="s">
        <v>5964</v>
      </c>
      <c r="AF1104" s="12" t="s">
        <v>5977</v>
      </c>
      <c r="AG1104" s="12" t="s">
        <v>498</v>
      </c>
      <c r="AH1104" s="12" t="s">
        <v>116</v>
      </c>
      <c r="AI1104" s="12" t="s">
        <v>117</v>
      </c>
      <c r="AJ1104" s="12" t="s">
        <v>5978</v>
      </c>
      <c r="AK1104" s="12" t="s">
        <v>4</v>
      </c>
    </row>
    <row r="1105" customFormat="false" ht="15" hidden="false" customHeight="false" outlineLevel="0" collapsed="false">
      <c r="A1105" s="11" t="n">
        <v>1104</v>
      </c>
      <c r="B1105" s="12" t="s">
        <v>5979</v>
      </c>
      <c r="C1105" s="12" t="s">
        <v>106</v>
      </c>
      <c r="D1105" s="12" t="s">
        <v>5753</v>
      </c>
      <c r="E1105" s="12" t="s">
        <v>5753</v>
      </c>
      <c r="F1105" s="12" t="s">
        <v>5587</v>
      </c>
      <c r="G1105" s="12" t="s">
        <v>830</v>
      </c>
      <c r="H1105" s="12" t="s">
        <v>5980</v>
      </c>
      <c r="I1105" s="12" t="s">
        <v>5981</v>
      </c>
      <c r="J1105" s="13" t="s">
        <v>5982</v>
      </c>
      <c r="K1105" s="12"/>
      <c r="L1105" s="12" t="s">
        <v>5983</v>
      </c>
      <c r="M1105" s="12" t="s">
        <v>5984</v>
      </c>
      <c r="N1105" s="12" t="s">
        <v>352</v>
      </c>
      <c r="O1105" s="12" t="s">
        <v>102</v>
      </c>
      <c r="P1105" s="12" t="s">
        <v>103</v>
      </c>
      <c r="Q1105" s="12" t="s">
        <v>104</v>
      </c>
      <c r="R1105" s="14" t="n">
        <v>71.34</v>
      </c>
      <c r="S1105" s="14" t="s">
        <v>129</v>
      </c>
      <c r="T1105" s="14" t="s">
        <v>653</v>
      </c>
      <c r="U1105" s="14" t="n">
        <v>2025</v>
      </c>
      <c r="V1105" s="12" t="s">
        <v>157</v>
      </c>
      <c r="W1105" s="14"/>
      <c r="X1105" s="15" t="n">
        <f aca="false">IF(OR($S1105="%",$R1105=""),"",$R1105*INDEX(Cambi!$J$2:$J$5,MATCH($S1105,Cambi!$I$2:$I$5,0))/IF($T1105="EUR",1,INDEX(Cambi!$D:$D,MATCH($T1105&amp;"|"&amp;$U1105,Cambi!$C:$C,0))))</f>
        <v>63132.7433628319</v>
      </c>
      <c r="Y1105" s="12" t="s">
        <v>109</v>
      </c>
      <c r="Z1105" s="12" t="s">
        <v>285</v>
      </c>
      <c r="AA1105" s="12" t="s">
        <v>5985</v>
      </c>
      <c r="AB1105" s="12" t="s">
        <v>3261</v>
      </c>
      <c r="AC1105" s="12" t="s">
        <v>395</v>
      </c>
      <c r="AD1105" s="12" t="s">
        <v>201</v>
      </c>
      <c r="AE1105" s="12" t="s">
        <v>5986</v>
      </c>
      <c r="AF1105" s="12" t="s">
        <v>5987</v>
      </c>
      <c r="AG1105" s="12" t="s">
        <v>498</v>
      </c>
      <c r="AH1105" s="12" t="s">
        <v>838</v>
      </c>
      <c r="AI1105" s="12" t="s">
        <v>117</v>
      </c>
      <c r="AJ1105" s="12" t="s">
        <v>5988</v>
      </c>
      <c r="AK1105" s="12" t="s">
        <v>4</v>
      </c>
    </row>
    <row r="1106" customFormat="false" ht="15" hidden="false" customHeight="false" outlineLevel="0" collapsed="false">
      <c r="A1106" s="11" t="n">
        <v>1105</v>
      </c>
      <c r="B1106" s="12" t="s">
        <v>5979</v>
      </c>
      <c r="C1106" s="12" t="s">
        <v>106</v>
      </c>
      <c r="D1106" s="12" t="s">
        <v>5753</v>
      </c>
      <c r="E1106" s="12" t="s">
        <v>5753</v>
      </c>
      <c r="F1106" s="12" t="s">
        <v>5587</v>
      </c>
      <c r="G1106" s="12" t="s">
        <v>830</v>
      </c>
      <c r="H1106" s="12" t="s">
        <v>5980</v>
      </c>
      <c r="I1106" s="12" t="s">
        <v>5981</v>
      </c>
      <c r="J1106" s="13" t="s">
        <v>5982</v>
      </c>
      <c r="K1106" s="12"/>
      <c r="L1106" s="12" t="s">
        <v>5989</v>
      </c>
      <c r="M1106" s="12" t="s">
        <v>5990</v>
      </c>
      <c r="N1106" s="12" t="s">
        <v>352</v>
      </c>
      <c r="O1106" s="12" t="s">
        <v>196</v>
      </c>
      <c r="P1106" s="12" t="s">
        <v>155</v>
      </c>
      <c r="Q1106" s="12" t="s">
        <v>794</v>
      </c>
      <c r="R1106" s="14" t="n">
        <v>50.6</v>
      </c>
      <c r="S1106" s="14" t="s">
        <v>197</v>
      </c>
      <c r="T1106" s="14"/>
      <c r="U1106" s="14" t="n">
        <v>2025</v>
      </c>
      <c r="V1106" s="12" t="s">
        <v>157</v>
      </c>
      <c r="W1106" s="14"/>
      <c r="X1106" s="15" t="str">
        <f aca="false">IF(OR($S1106="%",$R1106=""),"",$R1106*INDEX(Cambi!$J$2:$J$5,MATCH($S1106,Cambi!$I$2:$I$5,0))/IF($T1106="EUR",1,INDEX(Cambi!$D:$D,MATCH($T1106&amp;"|"&amp;$U1106,Cambi!$C:$C,0))))</f>
        <v/>
      </c>
      <c r="Y1106" s="12" t="s">
        <v>109</v>
      </c>
      <c r="Z1106" s="12" t="s">
        <v>285</v>
      </c>
      <c r="AA1106" s="12" t="s">
        <v>5985</v>
      </c>
      <c r="AB1106" s="12" t="s">
        <v>3261</v>
      </c>
      <c r="AC1106" s="12" t="s">
        <v>395</v>
      </c>
      <c r="AD1106" s="12" t="s">
        <v>201</v>
      </c>
      <c r="AE1106" s="12" t="s">
        <v>5991</v>
      </c>
      <c r="AF1106" s="12" t="s">
        <v>5992</v>
      </c>
      <c r="AG1106" s="12" t="s">
        <v>498</v>
      </c>
      <c r="AH1106" s="12" t="s">
        <v>838</v>
      </c>
      <c r="AI1106" s="12" t="s">
        <v>117</v>
      </c>
      <c r="AJ1106" s="12" t="s">
        <v>5993</v>
      </c>
      <c r="AK1106" s="12" t="s">
        <v>4</v>
      </c>
    </row>
    <row r="1107" customFormat="false" ht="15" hidden="false" customHeight="false" outlineLevel="0" collapsed="false">
      <c r="A1107" s="11" t="n">
        <v>1106</v>
      </c>
      <c r="B1107" s="12" t="s">
        <v>5979</v>
      </c>
      <c r="C1107" s="12" t="s">
        <v>106</v>
      </c>
      <c r="D1107" s="12" t="s">
        <v>5753</v>
      </c>
      <c r="E1107" s="12" t="s">
        <v>5753</v>
      </c>
      <c r="F1107" s="12" t="s">
        <v>5587</v>
      </c>
      <c r="G1107" s="12" t="s">
        <v>830</v>
      </c>
      <c r="H1107" s="12" t="s">
        <v>5980</v>
      </c>
      <c r="I1107" s="12" t="s">
        <v>5981</v>
      </c>
      <c r="J1107" s="13" t="s">
        <v>5982</v>
      </c>
      <c r="K1107" s="12"/>
      <c r="L1107" s="12" t="s">
        <v>5994</v>
      </c>
      <c r="M1107" s="12" t="s">
        <v>5995</v>
      </c>
      <c r="N1107" s="12" t="s">
        <v>352</v>
      </c>
      <c r="O1107" s="12" t="s">
        <v>102</v>
      </c>
      <c r="P1107" s="12" t="s">
        <v>103</v>
      </c>
      <c r="Q1107" s="12" t="s">
        <v>104</v>
      </c>
      <c r="R1107" s="14" t="n">
        <v>78.46</v>
      </c>
      <c r="S1107" s="14" t="s">
        <v>129</v>
      </c>
      <c r="T1107" s="14" t="s">
        <v>653</v>
      </c>
      <c r="U1107" s="14" t="n">
        <v>2026</v>
      </c>
      <c r="V1107" s="12" t="s">
        <v>198</v>
      </c>
      <c r="W1107" s="14"/>
      <c r="X1107" s="15" t="n">
        <f aca="false">IF(OR($S1107="%",$R1107=""),"",$R1107*INDEX(Cambi!$J$2:$J$5,MATCH($S1107,Cambi!$I$2:$I$5,0))/IF($T1107="EUR",1,INDEX(Cambi!$D:$D,MATCH($T1107&amp;"|"&amp;$U1107,Cambi!$C:$C,0))))</f>
        <v>69433.6283185841</v>
      </c>
      <c r="Y1107" s="12" t="s">
        <v>109</v>
      </c>
      <c r="Z1107" s="12" t="s">
        <v>285</v>
      </c>
      <c r="AA1107" s="12" t="s">
        <v>5985</v>
      </c>
      <c r="AB1107" s="12" t="s">
        <v>3261</v>
      </c>
      <c r="AC1107" s="12" t="s">
        <v>395</v>
      </c>
      <c r="AD1107" s="12" t="s">
        <v>201</v>
      </c>
      <c r="AE1107" s="12" t="s">
        <v>5991</v>
      </c>
      <c r="AF1107" s="12" t="s">
        <v>5996</v>
      </c>
      <c r="AG1107" s="12" t="s">
        <v>498</v>
      </c>
      <c r="AH1107" s="12" t="s">
        <v>838</v>
      </c>
      <c r="AI1107" s="12" t="s">
        <v>117</v>
      </c>
      <c r="AJ1107" s="12" t="s">
        <v>5997</v>
      </c>
      <c r="AK1107" s="12" t="s">
        <v>4</v>
      </c>
    </row>
    <row r="1108" customFormat="false" ht="15" hidden="false" customHeight="false" outlineLevel="0" collapsed="false">
      <c r="A1108" s="11" t="n">
        <v>1107</v>
      </c>
      <c r="B1108" s="12" t="s">
        <v>5979</v>
      </c>
      <c r="C1108" s="12" t="s">
        <v>106</v>
      </c>
      <c r="D1108" s="12" t="s">
        <v>5753</v>
      </c>
      <c r="E1108" s="12" t="s">
        <v>5753</v>
      </c>
      <c r="F1108" s="12" t="s">
        <v>5587</v>
      </c>
      <c r="G1108" s="12" t="s">
        <v>830</v>
      </c>
      <c r="H1108" s="12" t="s">
        <v>5980</v>
      </c>
      <c r="I1108" s="12" t="s">
        <v>5981</v>
      </c>
      <c r="J1108" s="13" t="s">
        <v>5982</v>
      </c>
      <c r="K1108" s="12"/>
      <c r="L1108" s="12" t="s">
        <v>5983</v>
      </c>
      <c r="M1108" s="12" t="s">
        <v>5998</v>
      </c>
      <c r="N1108" s="12" t="s">
        <v>352</v>
      </c>
      <c r="O1108" s="12" t="s">
        <v>102</v>
      </c>
      <c r="P1108" s="12" t="s">
        <v>103</v>
      </c>
      <c r="Q1108" s="12" t="s">
        <v>104</v>
      </c>
      <c r="R1108" s="14" t="n">
        <v>160.74</v>
      </c>
      <c r="S1108" s="14" t="s">
        <v>129</v>
      </c>
      <c r="T1108" s="14" t="s">
        <v>653</v>
      </c>
      <c r="U1108" s="14" t="n">
        <v>2033</v>
      </c>
      <c r="V1108" s="12" t="s">
        <v>107</v>
      </c>
      <c r="W1108" s="14" t="s">
        <v>5999</v>
      </c>
      <c r="X1108" s="15" t="n">
        <f aca="false">IF(OR($S1108="%",$R1108=""),"",$R1108*INDEX(Cambi!$J$2:$J$5,MATCH($S1108,Cambi!$I$2:$I$5,0))/IF($T1108="EUR",1,INDEX(Cambi!$D:$D,MATCH($T1108&amp;"|"&amp;$U1108,Cambi!$C:$C,0))))</f>
        <v>142247.787610619</v>
      </c>
      <c r="Y1108" s="12" t="s">
        <v>109</v>
      </c>
      <c r="Z1108" s="12" t="s">
        <v>285</v>
      </c>
      <c r="AA1108" s="12" t="s">
        <v>5985</v>
      </c>
      <c r="AB1108" s="12" t="s">
        <v>3261</v>
      </c>
      <c r="AC1108" s="12" t="s">
        <v>395</v>
      </c>
      <c r="AD1108" s="12" t="s">
        <v>201</v>
      </c>
      <c r="AE1108" s="12" t="s">
        <v>5986</v>
      </c>
      <c r="AF1108" s="12" t="s">
        <v>6000</v>
      </c>
      <c r="AG1108" s="12" t="s">
        <v>498</v>
      </c>
      <c r="AH1108" s="12" t="s">
        <v>838</v>
      </c>
      <c r="AI1108" s="12" t="s">
        <v>117</v>
      </c>
      <c r="AJ1108" s="12" t="s">
        <v>266</v>
      </c>
      <c r="AK1108" s="12" t="s">
        <v>4</v>
      </c>
    </row>
    <row r="1109" customFormat="false" ht="15" hidden="false" customHeight="false" outlineLevel="0" collapsed="false">
      <c r="A1109" s="11" t="n">
        <v>1108</v>
      </c>
      <c r="B1109" s="12" t="s">
        <v>6001</v>
      </c>
      <c r="C1109" s="12" t="s">
        <v>106</v>
      </c>
      <c r="D1109" s="12" t="s">
        <v>5753</v>
      </c>
      <c r="E1109" s="12" t="s">
        <v>5753</v>
      </c>
      <c r="F1109" s="12" t="s">
        <v>5587</v>
      </c>
      <c r="G1109" s="12" t="s">
        <v>830</v>
      </c>
      <c r="H1109" s="12" t="s">
        <v>6002</v>
      </c>
      <c r="I1109" s="12" t="s">
        <v>181</v>
      </c>
      <c r="J1109" s="13" t="s">
        <v>6003</v>
      </c>
      <c r="K1109" s="12"/>
      <c r="L1109" s="12" t="s">
        <v>6004</v>
      </c>
      <c r="M1109" s="12" t="s">
        <v>6005</v>
      </c>
      <c r="N1109" s="12" t="s">
        <v>352</v>
      </c>
      <c r="O1109" s="12" t="s">
        <v>102</v>
      </c>
      <c r="P1109" s="12" t="s">
        <v>103</v>
      </c>
      <c r="Q1109" s="12" t="s">
        <v>104</v>
      </c>
      <c r="R1109" s="14" t="n">
        <v>72.0495</v>
      </c>
      <c r="S1109" s="14" t="s">
        <v>129</v>
      </c>
      <c r="T1109" s="14" t="s">
        <v>653</v>
      </c>
      <c r="U1109" s="14" t="n">
        <v>2025</v>
      </c>
      <c r="V1109" s="12" t="s">
        <v>157</v>
      </c>
      <c r="W1109" s="14"/>
      <c r="X1109" s="15" t="n">
        <f aca="false">IF(OR($S1109="%",$R1109=""),"",$R1109*INDEX(Cambi!$J$2:$J$5,MATCH($S1109,Cambi!$I$2:$I$5,0))/IF($T1109="EUR",1,INDEX(Cambi!$D:$D,MATCH($T1109&amp;"|"&amp;$U1109,Cambi!$C:$C,0))))</f>
        <v>63760.6194690266</v>
      </c>
      <c r="Y1109" s="12" t="s">
        <v>109</v>
      </c>
      <c r="Z1109" s="12" t="s">
        <v>285</v>
      </c>
      <c r="AA1109" s="12" t="s">
        <v>5985</v>
      </c>
      <c r="AB1109" s="12" t="s">
        <v>3261</v>
      </c>
      <c r="AC1109" s="12" t="s">
        <v>395</v>
      </c>
      <c r="AD1109" s="12" t="s">
        <v>201</v>
      </c>
      <c r="AE1109" s="12" t="s">
        <v>5986</v>
      </c>
      <c r="AF1109" s="12" t="s">
        <v>6006</v>
      </c>
      <c r="AG1109" s="12" t="s">
        <v>498</v>
      </c>
      <c r="AH1109" s="12" t="s">
        <v>838</v>
      </c>
      <c r="AI1109" s="12" t="s">
        <v>117</v>
      </c>
      <c r="AJ1109" s="12" t="s">
        <v>6007</v>
      </c>
      <c r="AK1109" s="12" t="s">
        <v>4</v>
      </c>
    </row>
    <row r="1110" customFormat="false" ht="15" hidden="false" customHeight="false" outlineLevel="0" collapsed="false">
      <c r="A1110" s="11" t="n">
        <v>1109</v>
      </c>
      <c r="B1110" s="12" t="s">
        <v>6001</v>
      </c>
      <c r="C1110" s="12" t="s">
        <v>106</v>
      </c>
      <c r="D1110" s="12" t="s">
        <v>5753</v>
      </c>
      <c r="E1110" s="12" t="s">
        <v>5753</v>
      </c>
      <c r="F1110" s="12" t="s">
        <v>5587</v>
      </c>
      <c r="G1110" s="12" t="s">
        <v>830</v>
      </c>
      <c r="H1110" s="12" t="s">
        <v>6002</v>
      </c>
      <c r="I1110" s="12" t="s">
        <v>181</v>
      </c>
      <c r="J1110" s="13" t="s">
        <v>6003</v>
      </c>
      <c r="K1110" s="12"/>
      <c r="L1110" s="12" t="s">
        <v>6008</v>
      </c>
      <c r="M1110" s="12" t="s">
        <v>6009</v>
      </c>
      <c r="N1110" s="12" t="s">
        <v>352</v>
      </c>
      <c r="O1110" s="12" t="s">
        <v>196</v>
      </c>
      <c r="P1110" s="12" t="s">
        <v>155</v>
      </c>
      <c r="Q1110" s="12" t="s">
        <v>794</v>
      </c>
      <c r="R1110" s="14" t="n">
        <v>55.18</v>
      </c>
      <c r="S1110" s="14" t="s">
        <v>197</v>
      </c>
      <c r="T1110" s="14"/>
      <c r="U1110" s="14" t="n">
        <v>2025</v>
      </c>
      <c r="V1110" s="12" t="s">
        <v>157</v>
      </c>
      <c r="W1110" s="14"/>
      <c r="X1110" s="15" t="str">
        <f aca="false">IF(OR($S1110="%",$R1110=""),"",$R1110*INDEX(Cambi!$J$2:$J$5,MATCH($S1110,Cambi!$I$2:$I$5,0))/IF($T1110="EUR",1,INDEX(Cambi!$D:$D,MATCH($T1110&amp;"|"&amp;$U1110,Cambi!$C:$C,0))))</f>
        <v/>
      </c>
      <c r="Y1110" s="12" t="s">
        <v>109</v>
      </c>
      <c r="Z1110" s="12" t="s">
        <v>285</v>
      </c>
      <c r="AA1110" s="12" t="s">
        <v>5985</v>
      </c>
      <c r="AB1110" s="12" t="s">
        <v>3261</v>
      </c>
      <c r="AC1110" s="12" t="s">
        <v>395</v>
      </c>
      <c r="AD1110" s="12" t="s">
        <v>201</v>
      </c>
      <c r="AE1110" s="12" t="s">
        <v>5986</v>
      </c>
      <c r="AF1110" s="12" t="s">
        <v>6010</v>
      </c>
      <c r="AG1110" s="12" t="s">
        <v>498</v>
      </c>
      <c r="AH1110" s="12" t="s">
        <v>838</v>
      </c>
      <c r="AI1110" s="12" t="s">
        <v>117</v>
      </c>
      <c r="AJ1110" s="12" t="s">
        <v>6011</v>
      </c>
      <c r="AK1110" s="12" t="s">
        <v>4</v>
      </c>
    </row>
    <row r="1111" customFormat="false" ht="15" hidden="false" customHeight="false" outlineLevel="0" collapsed="false">
      <c r="A1111" s="11" t="n">
        <v>1110</v>
      </c>
      <c r="B1111" s="12" t="s">
        <v>6001</v>
      </c>
      <c r="C1111" s="12" t="s">
        <v>106</v>
      </c>
      <c r="D1111" s="12" t="s">
        <v>5753</v>
      </c>
      <c r="E1111" s="12" t="s">
        <v>5753</v>
      </c>
      <c r="F1111" s="12" t="s">
        <v>5587</v>
      </c>
      <c r="G1111" s="12" t="s">
        <v>830</v>
      </c>
      <c r="H1111" s="12" t="s">
        <v>6002</v>
      </c>
      <c r="I1111" s="12" t="s">
        <v>181</v>
      </c>
      <c r="J1111" s="13" t="s">
        <v>6003</v>
      </c>
      <c r="K1111" s="12"/>
      <c r="L1111" s="12" t="s">
        <v>6012</v>
      </c>
      <c r="M1111" s="12" t="s">
        <v>6013</v>
      </c>
      <c r="N1111" s="12" t="s">
        <v>352</v>
      </c>
      <c r="O1111" s="12" t="s">
        <v>102</v>
      </c>
      <c r="P1111" s="12" t="s">
        <v>103</v>
      </c>
      <c r="Q1111" s="12" t="s">
        <v>104</v>
      </c>
      <c r="R1111" s="14" t="n">
        <v>165.1458</v>
      </c>
      <c r="S1111" s="14" t="s">
        <v>129</v>
      </c>
      <c r="T1111" s="14" t="s">
        <v>653</v>
      </c>
      <c r="U1111" s="14" t="n">
        <v>2033</v>
      </c>
      <c r="V1111" s="12" t="s">
        <v>107</v>
      </c>
      <c r="W1111" s="14" t="s">
        <v>6014</v>
      </c>
      <c r="X1111" s="15" t="n">
        <f aca="false">IF(OR($S1111="%",$R1111=""),"",$R1111*INDEX(Cambi!$J$2:$J$5,MATCH($S1111,Cambi!$I$2:$I$5,0))/IF($T1111="EUR",1,INDEX(Cambi!$D:$D,MATCH($T1111&amp;"|"&amp;$U1111,Cambi!$C:$C,0))))</f>
        <v>146146.725663717</v>
      </c>
      <c r="Y1111" s="12" t="s">
        <v>109</v>
      </c>
      <c r="Z1111" s="12" t="s">
        <v>285</v>
      </c>
      <c r="AA1111" s="12" t="s">
        <v>5985</v>
      </c>
      <c r="AB1111" s="12" t="s">
        <v>3261</v>
      </c>
      <c r="AC1111" s="12" t="s">
        <v>395</v>
      </c>
      <c r="AD1111" s="12" t="s">
        <v>201</v>
      </c>
      <c r="AE1111" s="12" t="s">
        <v>5986</v>
      </c>
      <c r="AF1111" s="12" t="s">
        <v>6015</v>
      </c>
      <c r="AG1111" s="12" t="s">
        <v>498</v>
      </c>
      <c r="AH1111" s="12" t="s">
        <v>838</v>
      </c>
      <c r="AI1111" s="12" t="s">
        <v>117</v>
      </c>
      <c r="AJ1111" s="12" t="s">
        <v>266</v>
      </c>
      <c r="AK1111" s="12" t="s">
        <v>4</v>
      </c>
    </row>
    <row r="1112" customFormat="false" ht="15" hidden="false" customHeight="false" outlineLevel="0" collapsed="false">
      <c r="A1112" s="11" t="n">
        <v>1111</v>
      </c>
      <c r="B1112" s="12" t="s">
        <v>6016</v>
      </c>
      <c r="C1112" s="12" t="s">
        <v>106</v>
      </c>
      <c r="D1112" s="12" t="s">
        <v>5753</v>
      </c>
      <c r="E1112" s="12" t="s">
        <v>5753</v>
      </c>
      <c r="F1112" s="12" t="s">
        <v>2235</v>
      </c>
      <c r="G1112" s="12" t="s">
        <v>1876</v>
      </c>
      <c r="H1112" s="12" t="s">
        <v>6017</v>
      </c>
      <c r="I1112" s="12" t="s">
        <v>2970</v>
      </c>
      <c r="J1112" s="13" t="s">
        <v>6018</v>
      </c>
      <c r="K1112" s="12"/>
      <c r="L1112" s="12" t="s">
        <v>6019</v>
      </c>
      <c r="M1112" s="12" t="s">
        <v>6020</v>
      </c>
      <c r="N1112" s="12" t="s">
        <v>352</v>
      </c>
      <c r="O1112" s="12" t="s">
        <v>102</v>
      </c>
      <c r="P1112" s="12" t="s">
        <v>103</v>
      </c>
      <c r="Q1112" s="12" t="s">
        <v>104</v>
      </c>
      <c r="R1112" s="14" t="n">
        <v>42</v>
      </c>
      <c r="S1112" s="14" t="s">
        <v>129</v>
      </c>
      <c r="T1112" s="14" t="s">
        <v>653</v>
      </c>
      <c r="U1112" s="14" t="n">
        <v>2021</v>
      </c>
      <c r="V1112" s="12" t="s">
        <v>157</v>
      </c>
      <c r="W1112" s="14"/>
      <c r="X1112" s="15" t="n">
        <f aca="false">IF(OR($S1112="%",$R1112=""),"",$R1112*INDEX(Cambi!$J$2:$J$5,MATCH($S1112,Cambi!$I$2:$I$5,0))/IF($T1112="EUR",1,INDEX(Cambi!$D:$D,MATCH($T1112&amp;"|"&amp;$U1112,Cambi!$C:$C,0))))</f>
        <v>35511.9641498267</v>
      </c>
      <c r="Y1112" s="12" t="s">
        <v>654</v>
      </c>
      <c r="Z1112" s="12" t="s">
        <v>285</v>
      </c>
      <c r="AA1112" s="12" t="s">
        <v>2788</v>
      </c>
      <c r="AB1112" s="16" t="s">
        <v>679</v>
      </c>
      <c r="AC1112" s="16" t="s">
        <v>2789</v>
      </c>
      <c r="AD1112" s="12" t="s">
        <v>112</v>
      </c>
      <c r="AE1112" s="12" t="s">
        <v>2790</v>
      </c>
      <c r="AF1112" s="12" t="s">
        <v>6021</v>
      </c>
      <c r="AG1112" s="12" t="s">
        <v>498</v>
      </c>
      <c r="AH1112" s="12" t="s">
        <v>116</v>
      </c>
      <c r="AI1112" s="12" t="s">
        <v>117</v>
      </c>
      <c r="AJ1112" s="12" t="s">
        <v>6022</v>
      </c>
      <c r="AK1112" s="12" t="s">
        <v>4</v>
      </c>
    </row>
    <row r="1113" customFormat="false" ht="15" hidden="false" customHeight="false" outlineLevel="0" collapsed="false">
      <c r="A1113" s="11" t="n">
        <v>1112</v>
      </c>
      <c r="B1113" s="12" t="s">
        <v>6016</v>
      </c>
      <c r="C1113" s="12" t="s">
        <v>106</v>
      </c>
      <c r="D1113" s="12" t="s">
        <v>5753</v>
      </c>
      <c r="E1113" s="12" t="s">
        <v>5753</v>
      </c>
      <c r="F1113" s="12" t="s">
        <v>2235</v>
      </c>
      <c r="G1113" s="12" t="s">
        <v>1876</v>
      </c>
      <c r="H1113" s="12" t="s">
        <v>6017</v>
      </c>
      <c r="I1113" s="12" t="s">
        <v>2970</v>
      </c>
      <c r="J1113" s="13" t="s">
        <v>6018</v>
      </c>
      <c r="K1113" s="12"/>
      <c r="L1113" s="12" t="s">
        <v>6023</v>
      </c>
      <c r="M1113" s="12" t="s">
        <v>6024</v>
      </c>
      <c r="N1113" s="12" t="s">
        <v>352</v>
      </c>
      <c r="O1113" s="12" t="s">
        <v>213</v>
      </c>
      <c r="P1113" s="12" t="s">
        <v>103</v>
      </c>
      <c r="Q1113" s="12" t="s">
        <v>104</v>
      </c>
      <c r="R1113" s="14" t="n">
        <v>11</v>
      </c>
      <c r="S1113" s="14" t="s">
        <v>197</v>
      </c>
      <c r="T1113" s="14"/>
      <c r="U1113" s="14" t="n">
        <v>2022</v>
      </c>
      <c r="V1113" s="12" t="s">
        <v>107</v>
      </c>
      <c r="W1113" s="14"/>
      <c r="X1113" s="15" t="str">
        <f aca="false">IF(OR($S1113="%",$R1113=""),"",$R1113*INDEX(Cambi!$J$2:$J$5,MATCH($S1113,Cambi!$I$2:$I$5,0))/IF($T1113="EUR",1,INDEX(Cambi!$D:$D,MATCH($T1113&amp;"|"&amp;$U1113,Cambi!$C:$C,0))))</f>
        <v/>
      </c>
      <c r="Y1113" s="12" t="s">
        <v>654</v>
      </c>
      <c r="Z1113" s="12" t="s">
        <v>285</v>
      </c>
      <c r="AA1113" s="12" t="s">
        <v>2788</v>
      </c>
      <c r="AB1113" s="16" t="s">
        <v>679</v>
      </c>
      <c r="AC1113" s="16" t="s">
        <v>2789</v>
      </c>
      <c r="AD1113" s="12" t="s">
        <v>112</v>
      </c>
      <c r="AE1113" s="12" t="s">
        <v>2790</v>
      </c>
      <c r="AF1113" s="12" t="s">
        <v>6025</v>
      </c>
      <c r="AG1113" s="12" t="s">
        <v>498</v>
      </c>
      <c r="AH1113" s="12" t="s">
        <v>116</v>
      </c>
      <c r="AI1113" s="12" t="s">
        <v>117</v>
      </c>
      <c r="AJ1113" s="12" t="s">
        <v>6026</v>
      </c>
      <c r="AK1113" s="12" t="s">
        <v>4</v>
      </c>
    </row>
    <row r="1114" customFormat="false" ht="15" hidden="false" customHeight="false" outlineLevel="0" collapsed="false">
      <c r="A1114" s="11" t="n">
        <v>1113</v>
      </c>
      <c r="B1114" s="12" t="s">
        <v>6027</v>
      </c>
      <c r="C1114" s="12" t="s">
        <v>106</v>
      </c>
      <c r="D1114" s="12" t="s">
        <v>5753</v>
      </c>
      <c r="E1114" s="12" t="s">
        <v>5753</v>
      </c>
      <c r="F1114" s="12" t="s">
        <v>2235</v>
      </c>
      <c r="G1114" s="12" t="s">
        <v>1876</v>
      </c>
      <c r="H1114" s="12" t="s">
        <v>6028</v>
      </c>
      <c r="I1114" s="12" t="s">
        <v>6029</v>
      </c>
      <c r="J1114" s="13" t="s">
        <v>6030</v>
      </c>
      <c r="K1114" s="12" t="s">
        <v>6031</v>
      </c>
      <c r="L1114" s="12" t="s">
        <v>6032</v>
      </c>
      <c r="M1114" s="12" t="s">
        <v>6033</v>
      </c>
      <c r="N1114" s="12" t="s">
        <v>352</v>
      </c>
      <c r="O1114" s="12" t="s">
        <v>102</v>
      </c>
      <c r="P1114" s="12" t="s">
        <v>155</v>
      </c>
      <c r="Q1114" s="12" t="s">
        <v>794</v>
      </c>
      <c r="R1114" s="14" t="n">
        <v>3.9</v>
      </c>
      <c r="S1114" s="14" t="s">
        <v>129</v>
      </c>
      <c r="T1114" s="14" t="s">
        <v>653</v>
      </c>
      <c r="U1114" s="14" t="n">
        <v>2019</v>
      </c>
      <c r="V1114" s="12" t="s">
        <v>198</v>
      </c>
      <c r="W1114" s="14"/>
      <c r="X1114" s="15" t="n">
        <f aca="false">IF(OR($S1114="%",$R1114=""),"",$R1114*INDEX(Cambi!$J$2:$J$5,MATCH($S1114,Cambi!$I$2:$I$5,0))/IF($T1114="EUR",1,INDEX(Cambi!$D:$D,MATCH($T1114&amp;"|"&amp;$U1114,Cambi!$C:$C,0))))</f>
        <v>3483.69807949978</v>
      </c>
      <c r="Y1114" s="12" t="s">
        <v>654</v>
      </c>
      <c r="Z1114" s="12" t="s">
        <v>285</v>
      </c>
      <c r="AA1114" s="12" t="s">
        <v>2788</v>
      </c>
      <c r="AB1114" s="16" t="s">
        <v>679</v>
      </c>
      <c r="AC1114" s="16" t="s">
        <v>2789</v>
      </c>
      <c r="AD1114" s="12" t="s">
        <v>201</v>
      </c>
      <c r="AE1114" s="12" t="s">
        <v>2790</v>
      </c>
      <c r="AF1114" s="12" t="s">
        <v>6034</v>
      </c>
      <c r="AG1114" s="12" t="s">
        <v>498</v>
      </c>
      <c r="AH1114" s="12" t="s">
        <v>499</v>
      </c>
      <c r="AI1114" s="12" t="s">
        <v>285</v>
      </c>
      <c r="AJ1114" s="12" t="s">
        <v>266</v>
      </c>
      <c r="AK1114" s="12" t="s">
        <v>4</v>
      </c>
    </row>
    <row r="1115" customFormat="false" ht="15" hidden="false" customHeight="false" outlineLevel="0" collapsed="false">
      <c r="A1115" s="11" t="n">
        <v>1114</v>
      </c>
      <c r="B1115" s="12" t="s">
        <v>6027</v>
      </c>
      <c r="C1115" s="12" t="s">
        <v>106</v>
      </c>
      <c r="D1115" s="12" t="s">
        <v>5753</v>
      </c>
      <c r="E1115" s="12" t="s">
        <v>5753</v>
      </c>
      <c r="F1115" s="12" t="s">
        <v>2235</v>
      </c>
      <c r="G1115" s="12" t="s">
        <v>1876</v>
      </c>
      <c r="H1115" s="12" t="s">
        <v>6028</v>
      </c>
      <c r="I1115" s="12" t="s">
        <v>6029</v>
      </c>
      <c r="J1115" s="13" t="s">
        <v>6030</v>
      </c>
      <c r="K1115" s="12" t="s">
        <v>6031</v>
      </c>
      <c r="L1115" s="12" t="s">
        <v>6032</v>
      </c>
      <c r="M1115" s="12" t="s">
        <v>6035</v>
      </c>
      <c r="N1115" s="12" t="s">
        <v>352</v>
      </c>
      <c r="O1115" s="12" t="s">
        <v>102</v>
      </c>
      <c r="P1115" s="12" t="s">
        <v>155</v>
      </c>
      <c r="Q1115" s="12" t="s">
        <v>787</v>
      </c>
      <c r="R1115" s="14" t="n">
        <v>14.8</v>
      </c>
      <c r="S1115" s="14" t="s">
        <v>129</v>
      </c>
      <c r="T1115" s="14" t="s">
        <v>653</v>
      </c>
      <c r="U1115" s="14" t="n">
        <v>2019</v>
      </c>
      <c r="V1115" s="12" t="s">
        <v>198</v>
      </c>
      <c r="W1115" s="14"/>
      <c r="X1115" s="15" t="n">
        <f aca="false">IF(OR($S1115="%",$R1115=""),"",$R1115*INDEX(Cambi!$J$2:$J$5,MATCH($S1115,Cambi!$I$2:$I$5,0))/IF($T1115="EUR",1,INDEX(Cambi!$D:$D,MATCH($T1115&amp;"|"&amp;$U1115,Cambi!$C:$C,0))))</f>
        <v>13220.1875837427</v>
      </c>
      <c r="Y1115" s="12" t="s">
        <v>654</v>
      </c>
      <c r="Z1115" s="12" t="s">
        <v>285</v>
      </c>
      <c r="AA1115" s="12" t="s">
        <v>2788</v>
      </c>
      <c r="AB1115" s="16" t="s">
        <v>679</v>
      </c>
      <c r="AC1115" s="16" t="s">
        <v>2789</v>
      </c>
      <c r="AD1115" s="12" t="s">
        <v>201</v>
      </c>
      <c r="AE1115" s="12" t="s">
        <v>2790</v>
      </c>
      <c r="AF1115" s="12" t="s">
        <v>6036</v>
      </c>
      <c r="AG1115" s="12" t="s">
        <v>498</v>
      </c>
      <c r="AH1115" s="12" t="s">
        <v>499</v>
      </c>
      <c r="AI1115" s="12" t="s">
        <v>285</v>
      </c>
      <c r="AJ1115" s="12" t="s">
        <v>266</v>
      </c>
      <c r="AK1115" s="12" t="s">
        <v>4</v>
      </c>
    </row>
    <row r="1116" customFormat="false" ht="15" hidden="false" customHeight="false" outlineLevel="0" collapsed="false">
      <c r="A1116" s="11" t="n">
        <v>1115</v>
      </c>
      <c r="B1116" s="12" t="s">
        <v>6027</v>
      </c>
      <c r="C1116" s="12" t="s">
        <v>106</v>
      </c>
      <c r="D1116" s="12" t="s">
        <v>5753</v>
      </c>
      <c r="E1116" s="12" t="s">
        <v>5753</v>
      </c>
      <c r="F1116" s="12" t="s">
        <v>2235</v>
      </c>
      <c r="G1116" s="12" t="s">
        <v>1876</v>
      </c>
      <c r="H1116" s="12" t="s">
        <v>6028</v>
      </c>
      <c r="I1116" s="12" t="s">
        <v>6029</v>
      </c>
      <c r="J1116" s="13" t="s">
        <v>6030</v>
      </c>
      <c r="K1116" s="12" t="s">
        <v>6031</v>
      </c>
      <c r="L1116" s="12" t="s">
        <v>6032</v>
      </c>
      <c r="M1116" s="12" t="s">
        <v>6037</v>
      </c>
      <c r="N1116" s="12" t="s">
        <v>352</v>
      </c>
      <c r="O1116" s="12" t="s">
        <v>102</v>
      </c>
      <c r="P1116" s="12" t="s">
        <v>155</v>
      </c>
      <c r="Q1116" s="12" t="s">
        <v>799</v>
      </c>
      <c r="R1116" s="14" t="n">
        <v>8.6</v>
      </c>
      <c r="S1116" s="14" t="s">
        <v>129</v>
      </c>
      <c r="T1116" s="14" t="s">
        <v>653</v>
      </c>
      <c r="U1116" s="14" t="n">
        <v>2019</v>
      </c>
      <c r="V1116" s="12" t="s">
        <v>198</v>
      </c>
      <c r="W1116" s="14"/>
      <c r="X1116" s="15" t="n">
        <f aca="false">IF(OR($S1116="%",$R1116=""),"",$R1116*INDEX(Cambi!$J$2:$J$5,MATCH($S1116,Cambi!$I$2:$I$5,0))/IF($T1116="EUR",1,INDEX(Cambi!$D:$D,MATCH($T1116&amp;"|"&amp;$U1116,Cambi!$C:$C,0))))</f>
        <v>7682.00089325592</v>
      </c>
      <c r="Y1116" s="12" t="s">
        <v>654</v>
      </c>
      <c r="Z1116" s="12" t="s">
        <v>285</v>
      </c>
      <c r="AA1116" s="12" t="s">
        <v>2788</v>
      </c>
      <c r="AB1116" s="16" t="s">
        <v>679</v>
      </c>
      <c r="AC1116" s="16" t="s">
        <v>2789</v>
      </c>
      <c r="AD1116" s="12" t="s">
        <v>201</v>
      </c>
      <c r="AE1116" s="12" t="s">
        <v>2790</v>
      </c>
      <c r="AF1116" s="12" t="s">
        <v>6034</v>
      </c>
      <c r="AG1116" s="12" t="s">
        <v>498</v>
      </c>
      <c r="AH1116" s="12" t="s">
        <v>499</v>
      </c>
      <c r="AI1116" s="12" t="s">
        <v>285</v>
      </c>
      <c r="AJ1116" s="12" t="s">
        <v>266</v>
      </c>
      <c r="AK1116" s="12" t="s">
        <v>4</v>
      </c>
    </row>
    <row r="1117" customFormat="false" ht="15" hidden="false" customHeight="false" outlineLevel="0" collapsed="false">
      <c r="A1117" s="11" t="n">
        <v>1116</v>
      </c>
      <c r="B1117" s="12" t="s">
        <v>6027</v>
      </c>
      <c r="C1117" s="12" t="s">
        <v>106</v>
      </c>
      <c r="D1117" s="12" t="s">
        <v>5753</v>
      </c>
      <c r="E1117" s="12" t="s">
        <v>5753</v>
      </c>
      <c r="F1117" s="12" t="s">
        <v>2235</v>
      </c>
      <c r="G1117" s="12" t="s">
        <v>1876</v>
      </c>
      <c r="H1117" s="12" t="s">
        <v>6028</v>
      </c>
      <c r="I1117" s="12" t="s">
        <v>6029</v>
      </c>
      <c r="J1117" s="13" t="s">
        <v>6030</v>
      </c>
      <c r="K1117" s="12" t="s">
        <v>6031</v>
      </c>
      <c r="L1117" s="12" t="s">
        <v>6038</v>
      </c>
      <c r="M1117" s="12" t="s">
        <v>6039</v>
      </c>
      <c r="N1117" s="12" t="s">
        <v>352</v>
      </c>
      <c r="O1117" s="12" t="s">
        <v>102</v>
      </c>
      <c r="P1117" s="12" t="s">
        <v>155</v>
      </c>
      <c r="Q1117" s="12" t="s">
        <v>6040</v>
      </c>
      <c r="R1117" s="14" t="n">
        <v>5.4</v>
      </c>
      <c r="S1117" s="14" t="s">
        <v>129</v>
      </c>
      <c r="T1117" s="14" t="s">
        <v>653</v>
      </c>
      <c r="U1117" s="14" t="n">
        <v>2019</v>
      </c>
      <c r="V1117" s="12" t="s">
        <v>198</v>
      </c>
      <c r="W1117" s="14"/>
      <c r="X1117" s="15" t="n">
        <f aca="false">IF(OR($S1117="%",$R1117=""),"",$R1117*INDEX(Cambi!$J$2:$J$5,MATCH($S1117,Cambi!$I$2:$I$5,0))/IF($T1117="EUR",1,INDEX(Cambi!$D:$D,MATCH($T1117&amp;"|"&amp;$U1117,Cambi!$C:$C,0))))</f>
        <v>4823.58195623046</v>
      </c>
      <c r="Y1117" s="12" t="s">
        <v>654</v>
      </c>
      <c r="Z1117" s="12" t="s">
        <v>285</v>
      </c>
      <c r="AA1117" s="12" t="s">
        <v>2788</v>
      </c>
      <c r="AB1117" s="16" t="s">
        <v>679</v>
      </c>
      <c r="AC1117" s="16" t="s">
        <v>2789</v>
      </c>
      <c r="AD1117" s="12" t="s">
        <v>201</v>
      </c>
      <c r="AE1117" s="12" t="s">
        <v>2790</v>
      </c>
      <c r="AF1117" s="12" t="s">
        <v>6041</v>
      </c>
      <c r="AG1117" s="12" t="s">
        <v>498</v>
      </c>
      <c r="AH1117" s="12" t="s">
        <v>499</v>
      </c>
      <c r="AI1117" s="12" t="s">
        <v>285</v>
      </c>
      <c r="AJ1117" s="12" t="s">
        <v>266</v>
      </c>
      <c r="AK1117" s="12" t="s">
        <v>4</v>
      </c>
    </row>
    <row r="1118" customFormat="false" ht="15" hidden="false" customHeight="false" outlineLevel="0" collapsed="false">
      <c r="A1118" s="11" t="n">
        <v>1117</v>
      </c>
      <c r="B1118" s="12" t="s">
        <v>6027</v>
      </c>
      <c r="C1118" s="12" t="s">
        <v>106</v>
      </c>
      <c r="D1118" s="12" t="s">
        <v>5753</v>
      </c>
      <c r="E1118" s="12" t="s">
        <v>5753</v>
      </c>
      <c r="F1118" s="12" t="s">
        <v>2235</v>
      </c>
      <c r="G1118" s="12" t="s">
        <v>1876</v>
      </c>
      <c r="H1118" s="12" t="s">
        <v>6028</v>
      </c>
      <c r="I1118" s="12" t="s">
        <v>6029</v>
      </c>
      <c r="J1118" s="13" t="s">
        <v>6030</v>
      </c>
      <c r="K1118" s="12" t="s">
        <v>6031</v>
      </c>
      <c r="L1118" s="12" t="s">
        <v>6038</v>
      </c>
      <c r="M1118" s="12" t="s">
        <v>6042</v>
      </c>
      <c r="N1118" s="12" t="s">
        <v>352</v>
      </c>
      <c r="O1118" s="12" t="s">
        <v>102</v>
      </c>
      <c r="P1118" s="12" t="s">
        <v>155</v>
      </c>
      <c r="Q1118" s="12" t="s">
        <v>4418</v>
      </c>
      <c r="R1118" s="14" t="n">
        <v>5.8</v>
      </c>
      <c r="S1118" s="14" t="s">
        <v>129</v>
      </c>
      <c r="T1118" s="14" t="s">
        <v>653</v>
      </c>
      <c r="U1118" s="14" t="n">
        <v>2019</v>
      </c>
      <c r="V1118" s="12" t="s">
        <v>198</v>
      </c>
      <c r="W1118" s="14"/>
      <c r="X1118" s="15" t="n">
        <f aca="false">IF(OR($S1118="%",$R1118=""),"",$R1118*INDEX(Cambi!$J$2:$J$5,MATCH($S1118,Cambi!$I$2:$I$5,0))/IF($T1118="EUR",1,INDEX(Cambi!$D:$D,MATCH($T1118&amp;"|"&amp;$U1118,Cambi!$C:$C,0))))</f>
        <v>5180.88432335864</v>
      </c>
      <c r="Y1118" s="12" t="s">
        <v>654</v>
      </c>
      <c r="Z1118" s="12" t="s">
        <v>285</v>
      </c>
      <c r="AA1118" s="12" t="s">
        <v>2788</v>
      </c>
      <c r="AB1118" s="16" t="s">
        <v>679</v>
      </c>
      <c r="AC1118" s="16" t="s">
        <v>2789</v>
      </c>
      <c r="AD1118" s="12" t="s">
        <v>201</v>
      </c>
      <c r="AE1118" s="12" t="s">
        <v>2790</v>
      </c>
      <c r="AF1118" s="12" t="s">
        <v>6041</v>
      </c>
      <c r="AG1118" s="12" t="s">
        <v>498</v>
      </c>
      <c r="AH1118" s="12" t="s">
        <v>499</v>
      </c>
      <c r="AI1118" s="12" t="s">
        <v>285</v>
      </c>
      <c r="AJ1118" s="12" t="s">
        <v>266</v>
      </c>
      <c r="AK1118" s="12" t="s">
        <v>4</v>
      </c>
    </row>
    <row r="1119" customFormat="false" ht="15" hidden="false" customHeight="false" outlineLevel="0" collapsed="false">
      <c r="A1119" s="11" t="n">
        <v>1118</v>
      </c>
      <c r="B1119" s="12" t="s">
        <v>6027</v>
      </c>
      <c r="C1119" s="12" t="s">
        <v>106</v>
      </c>
      <c r="D1119" s="12" t="s">
        <v>5753</v>
      </c>
      <c r="E1119" s="12" t="s">
        <v>5753</v>
      </c>
      <c r="F1119" s="12" t="s">
        <v>2235</v>
      </c>
      <c r="G1119" s="12" t="s">
        <v>1876</v>
      </c>
      <c r="H1119" s="12" t="s">
        <v>6028</v>
      </c>
      <c r="I1119" s="12" t="s">
        <v>6029</v>
      </c>
      <c r="J1119" s="13" t="s">
        <v>6030</v>
      </c>
      <c r="K1119" s="12" t="s">
        <v>6031</v>
      </c>
      <c r="L1119" s="12" t="s">
        <v>6043</v>
      </c>
      <c r="M1119" s="12" t="s">
        <v>6044</v>
      </c>
      <c r="N1119" s="12" t="s">
        <v>352</v>
      </c>
      <c r="O1119" s="12" t="s">
        <v>102</v>
      </c>
      <c r="P1119" s="12" t="s">
        <v>103</v>
      </c>
      <c r="Q1119" s="12" t="s">
        <v>104</v>
      </c>
      <c r="R1119" s="14" t="n">
        <v>27.3</v>
      </c>
      <c r="S1119" s="14" t="s">
        <v>129</v>
      </c>
      <c r="T1119" s="14" t="s">
        <v>653</v>
      </c>
      <c r="U1119" s="14" t="n">
        <v>2019</v>
      </c>
      <c r="V1119" s="12" t="s">
        <v>198</v>
      </c>
      <c r="W1119" s="14"/>
      <c r="X1119" s="15" t="n">
        <f aca="false">IF(OR($S1119="%",$R1119=""),"",$R1119*INDEX(Cambi!$J$2:$J$5,MATCH($S1119,Cambi!$I$2:$I$5,0))/IF($T1119="EUR",1,INDEX(Cambi!$D:$D,MATCH($T1119&amp;"|"&amp;$U1119,Cambi!$C:$C,0))))</f>
        <v>24385.8865564984</v>
      </c>
      <c r="Y1119" s="12" t="s">
        <v>654</v>
      </c>
      <c r="Z1119" s="12" t="s">
        <v>285</v>
      </c>
      <c r="AA1119" s="12" t="s">
        <v>2788</v>
      </c>
      <c r="AB1119" s="16" t="s">
        <v>679</v>
      </c>
      <c r="AC1119" s="16" t="s">
        <v>2789</v>
      </c>
      <c r="AD1119" s="12" t="s">
        <v>201</v>
      </c>
      <c r="AE1119" s="12" t="s">
        <v>2790</v>
      </c>
      <c r="AF1119" s="12" t="s">
        <v>6045</v>
      </c>
      <c r="AG1119" s="12" t="s">
        <v>498</v>
      </c>
      <c r="AH1119" s="12" t="s">
        <v>499</v>
      </c>
      <c r="AI1119" s="12" t="s">
        <v>285</v>
      </c>
      <c r="AJ1119" s="12" t="s">
        <v>6046</v>
      </c>
      <c r="AK1119" s="12" t="s">
        <v>4</v>
      </c>
    </row>
    <row r="1120" customFormat="false" ht="15" hidden="false" customHeight="false" outlineLevel="0" collapsed="false">
      <c r="A1120" s="11" t="n">
        <v>1119</v>
      </c>
      <c r="B1120" s="12" t="s">
        <v>6027</v>
      </c>
      <c r="C1120" s="12" t="s">
        <v>106</v>
      </c>
      <c r="D1120" s="12" t="s">
        <v>5753</v>
      </c>
      <c r="E1120" s="12" t="s">
        <v>5753</v>
      </c>
      <c r="F1120" s="12" t="s">
        <v>2235</v>
      </c>
      <c r="G1120" s="12" t="s">
        <v>1876</v>
      </c>
      <c r="H1120" s="12" t="s">
        <v>6028</v>
      </c>
      <c r="I1120" s="12" t="s">
        <v>6029</v>
      </c>
      <c r="J1120" s="13" t="s">
        <v>6030</v>
      </c>
      <c r="K1120" s="12" t="s">
        <v>6031</v>
      </c>
      <c r="L1120" s="12" t="s">
        <v>6047</v>
      </c>
      <c r="M1120" s="12" t="s">
        <v>6048</v>
      </c>
      <c r="N1120" s="12" t="s">
        <v>352</v>
      </c>
      <c r="O1120" s="12" t="s">
        <v>102</v>
      </c>
      <c r="P1120" s="12" t="s">
        <v>103</v>
      </c>
      <c r="Q1120" s="12" t="s">
        <v>104</v>
      </c>
      <c r="R1120" s="14" t="n">
        <v>33.6</v>
      </c>
      <c r="S1120" s="14" t="s">
        <v>129</v>
      </c>
      <c r="T1120" s="14" t="s">
        <v>653</v>
      </c>
      <c r="U1120" s="14" t="n">
        <v>2022</v>
      </c>
      <c r="V1120" s="12" t="s">
        <v>107</v>
      </c>
      <c r="W1120" s="14"/>
      <c r="X1120" s="15" t="n">
        <f aca="false">IF(OR($S1120="%",$R1120=""),"",$R1120*INDEX(Cambi!$J$2:$J$5,MATCH($S1120,Cambi!$I$2:$I$5,0))/IF($T1120="EUR",1,INDEX(Cambi!$D:$D,MATCH($T1120&amp;"|"&amp;$U1120,Cambi!$C:$C,0))))</f>
        <v>31908.8319088319</v>
      </c>
      <c r="Y1120" s="12" t="s">
        <v>654</v>
      </c>
      <c r="Z1120" s="12" t="s">
        <v>285</v>
      </c>
      <c r="AA1120" s="12" t="s">
        <v>2788</v>
      </c>
      <c r="AB1120" s="16" t="s">
        <v>679</v>
      </c>
      <c r="AC1120" s="16" t="s">
        <v>2789</v>
      </c>
      <c r="AD1120" s="12" t="s">
        <v>201</v>
      </c>
      <c r="AE1120" s="12" t="s">
        <v>2790</v>
      </c>
      <c r="AF1120" s="12" t="s">
        <v>6049</v>
      </c>
      <c r="AG1120" s="12" t="s">
        <v>498</v>
      </c>
      <c r="AH1120" s="12" t="s">
        <v>499</v>
      </c>
      <c r="AI1120" s="12" t="s">
        <v>285</v>
      </c>
      <c r="AJ1120" s="12" t="s">
        <v>6050</v>
      </c>
      <c r="AK1120" s="12" t="s">
        <v>4</v>
      </c>
    </row>
    <row r="1121" customFormat="false" ht="15" hidden="false" customHeight="false" outlineLevel="0" collapsed="false">
      <c r="A1121" s="11" t="n">
        <v>1120</v>
      </c>
      <c r="B1121" s="12" t="s">
        <v>6051</v>
      </c>
      <c r="C1121" s="12" t="s">
        <v>106</v>
      </c>
      <c r="D1121" s="12" t="s">
        <v>5753</v>
      </c>
      <c r="E1121" s="12" t="s">
        <v>5753</v>
      </c>
      <c r="F1121" s="12" t="s">
        <v>2235</v>
      </c>
      <c r="G1121" s="12" t="s">
        <v>1876</v>
      </c>
      <c r="H1121" s="12" t="s">
        <v>6052</v>
      </c>
      <c r="I1121" s="12" t="s">
        <v>6053</v>
      </c>
      <c r="J1121" s="13" t="s">
        <v>6054</v>
      </c>
      <c r="K1121" s="12" t="s">
        <v>6055</v>
      </c>
      <c r="L1121" s="12" t="s">
        <v>6056</v>
      </c>
      <c r="M1121" s="12" t="s">
        <v>6057</v>
      </c>
      <c r="N1121" s="12" t="s">
        <v>352</v>
      </c>
      <c r="O1121" s="12" t="s">
        <v>102</v>
      </c>
      <c r="P1121" s="12" t="s">
        <v>103</v>
      </c>
      <c r="Q1121" s="12" t="s">
        <v>104</v>
      </c>
      <c r="R1121" s="14" t="n">
        <v>47</v>
      </c>
      <c r="S1121" s="14" t="s">
        <v>129</v>
      </c>
      <c r="T1121" s="14" t="s">
        <v>653</v>
      </c>
      <c r="U1121" s="14" t="n">
        <v>2022</v>
      </c>
      <c r="V1121" s="12" t="s">
        <v>198</v>
      </c>
      <c r="W1121" s="14" t="s">
        <v>6058</v>
      </c>
      <c r="X1121" s="15" t="n">
        <f aca="false">IF(OR($S1121="%",$R1121=""),"",$R1121*INDEX(Cambi!$J$2:$J$5,MATCH($S1121,Cambi!$I$2:$I$5,0))/IF($T1121="EUR",1,INDEX(Cambi!$D:$D,MATCH($T1121&amp;"|"&amp;$U1121,Cambi!$C:$C,0))))</f>
        <v>44634.3779677113</v>
      </c>
      <c r="Y1121" s="12" t="s">
        <v>654</v>
      </c>
      <c r="Z1121" s="12" t="s">
        <v>285</v>
      </c>
      <c r="AA1121" s="12" t="s">
        <v>2788</v>
      </c>
      <c r="AB1121" s="16" t="s">
        <v>679</v>
      </c>
      <c r="AC1121" s="16" t="s">
        <v>2789</v>
      </c>
      <c r="AD1121" s="12" t="s">
        <v>201</v>
      </c>
      <c r="AE1121" s="12" t="s">
        <v>2790</v>
      </c>
      <c r="AF1121" s="12" t="s">
        <v>6059</v>
      </c>
      <c r="AG1121" s="12" t="s">
        <v>498</v>
      </c>
      <c r="AH1121" s="12" t="s">
        <v>499</v>
      </c>
      <c r="AI1121" s="12" t="s">
        <v>285</v>
      </c>
      <c r="AJ1121" s="12" t="s">
        <v>6060</v>
      </c>
      <c r="AK1121" s="12" t="s">
        <v>4</v>
      </c>
    </row>
    <row r="1122" customFormat="false" ht="15" hidden="false" customHeight="false" outlineLevel="0" collapsed="false">
      <c r="A1122" s="11" t="n">
        <v>1121</v>
      </c>
      <c r="B1122" s="12" t="s">
        <v>6051</v>
      </c>
      <c r="C1122" s="12" t="s">
        <v>106</v>
      </c>
      <c r="D1122" s="12" t="s">
        <v>5753</v>
      </c>
      <c r="E1122" s="12" t="s">
        <v>5753</v>
      </c>
      <c r="F1122" s="12" t="s">
        <v>2235</v>
      </c>
      <c r="G1122" s="12" t="s">
        <v>1876</v>
      </c>
      <c r="H1122" s="12" t="s">
        <v>6052</v>
      </c>
      <c r="I1122" s="12" t="s">
        <v>6053</v>
      </c>
      <c r="J1122" s="13" t="s">
        <v>6054</v>
      </c>
      <c r="K1122" s="12" t="s">
        <v>6055</v>
      </c>
      <c r="L1122" s="12" t="s">
        <v>6061</v>
      </c>
      <c r="M1122" s="12" t="s">
        <v>6062</v>
      </c>
      <c r="N1122" s="12" t="s">
        <v>352</v>
      </c>
      <c r="O1122" s="12" t="s">
        <v>102</v>
      </c>
      <c r="P1122" s="12" t="s">
        <v>214</v>
      </c>
      <c r="Q1122" s="12" t="s">
        <v>418</v>
      </c>
      <c r="R1122" s="14" t="n">
        <v>6</v>
      </c>
      <c r="S1122" s="14" t="s">
        <v>129</v>
      </c>
      <c r="T1122" s="14" t="s">
        <v>653</v>
      </c>
      <c r="U1122" s="14" t="n">
        <v>2022</v>
      </c>
      <c r="V1122" s="12" t="s">
        <v>198</v>
      </c>
      <c r="W1122" s="14"/>
      <c r="X1122" s="15" t="n">
        <f aca="false">IF(OR($S1122="%",$R1122=""),"",$R1122*INDEX(Cambi!$J$2:$J$5,MATCH($S1122,Cambi!$I$2:$I$5,0))/IF($T1122="EUR",1,INDEX(Cambi!$D:$D,MATCH($T1122&amp;"|"&amp;$U1122,Cambi!$C:$C,0))))</f>
        <v>5698.0056980057</v>
      </c>
      <c r="Y1122" s="12" t="s">
        <v>239</v>
      </c>
      <c r="Z1122" s="12" t="s">
        <v>285</v>
      </c>
      <c r="AA1122" s="12" t="s">
        <v>2788</v>
      </c>
      <c r="AB1122" s="16" t="s">
        <v>679</v>
      </c>
      <c r="AC1122" s="16" t="s">
        <v>2789</v>
      </c>
      <c r="AD1122" s="12" t="s">
        <v>201</v>
      </c>
      <c r="AE1122" s="12" t="s">
        <v>2790</v>
      </c>
      <c r="AF1122" s="12" t="s">
        <v>6063</v>
      </c>
      <c r="AG1122" s="12" t="s">
        <v>498</v>
      </c>
      <c r="AH1122" s="12" t="s">
        <v>499</v>
      </c>
      <c r="AI1122" s="12" t="s">
        <v>285</v>
      </c>
      <c r="AJ1122" s="12" t="s">
        <v>6064</v>
      </c>
      <c r="AK1122" s="12" t="s">
        <v>4</v>
      </c>
    </row>
    <row r="1123" customFormat="false" ht="15" hidden="false" customHeight="false" outlineLevel="0" collapsed="false">
      <c r="A1123" s="11" t="n">
        <v>1122</v>
      </c>
      <c r="B1123" s="12" t="s">
        <v>6051</v>
      </c>
      <c r="C1123" s="12" t="s">
        <v>106</v>
      </c>
      <c r="D1123" s="12" t="s">
        <v>5753</v>
      </c>
      <c r="E1123" s="12" t="s">
        <v>5753</v>
      </c>
      <c r="F1123" s="12" t="s">
        <v>2235</v>
      </c>
      <c r="G1123" s="12" t="s">
        <v>1876</v>
      </c>
      <c r="H1123" s="12" t="s">
        <v>6052</v>
      </c>
      <c r="I1123" s="12" t="s">
        <v>6053</v>
      </c>
      <c r="J1123" s="13" t="s">
        <v>6054</v>
      </c>
      <c r="K1123" s="12" t="s">
        <v>6055</v>
      </c>
      <c r="L1123" s="12" t="s">
        <v>6061</v>
      </c>
      <c r="M1123" s="12" t="s">
        <v>6065</v>
      </c>
      <c r="N1123" s="12" t="s">
        <v>352</v>
      </c>
      <c r="O1123" s="12" t="s">
        <v>102</v>
      </c>
      <c r="P1123" s="12" t="s">
        <v>214</v>
      </c>
      <c r="Q1123" s="12" t="s">
        <v>6066</v>
      </c>
      <c r="R1123" s="14" t="n">
        <v>5</v>
      </c>
      <c r="S1123" s="14" t="s">
        <v>129</v>
      </c>
      <c r="T1123" s="14" t="s">
        <v>653</v>
      </c>
      <c r="U1123" s="14" t="n">
        <v>2022</v>
      </c>
      <c r="V1123" s="12" t="s">
        <v>198</v>
      </c>
      <c r="W1123" s="14"/>
      <c r="X1123" s="15" t="n">
        <f aca="false">IF(OR($S1123="%",$R1123=""),"",$R1123*INDEX(Cambi!$J$2:$J$5,MATCH($S1123,Cambi!$I$2:$I$5,0))/IF($T1123="EUR",1,INDEX(Cambi!$D:$D,MATCH($T1123&amp;"|"&amp;$U1123,Cambi!$C:$C,0))))</f>
        <v>4748.33808167142</v>
      </c>
      <c r="Y1123" s="12" t="s">
        <v>239</v>
      </c>
      <c r="Z1123" s="12" t="s">
        <v>285</v>
      </c>
      <c r="AA1123" s="12" t="s">
        <v>2788</v>
      </c>
      <c r="AB1123" s="16" t="s">
        <v>679</v>
      </c>
      <c r="AC1123" s="16" t="s">
        <v>2789</v>
      </c>
      <c r="AD1123" s="12" t="s">
        <v>201</v>
      </c>
      <c r="AE1123" s="12" t="s">
        <v>2790</v>
      </c>
      <c r="AF1123" s="12" t="s">
        <v>6067</v>
      </c>
      <c r="AG1123" s="12" t="s">
        <v>498</v>
      </c>
      <c r="AH1123" s="12" t="s">
        <v>499</v>
      </c>
      <c r="AI1123" s="12" t="s">
        <v>285</v>
      </c>
      <c r="AJ1123" s="12" t="s">
        <v>6068</v>
      </c>
      <c r="AK1123" s="12" t="s">
        <v>4</v>
      </c>
    </row>
    <row r="1124" customFormat="false" ht="15" hidden="false" customHeight="false" outlineLevel="0" collapsed="false">
      <c r="A1124" s="11" t="n">
        <v>1123</v>
      </c>
      <c r="B1124" s="12" t="s">
        <v>6051</v>
      </c>
      <c r="C1124" s="12" t="s">
        <v>106</v>
      </c>
      <c r="D1124" s="12" t="s">
        <v>5753</v>
      </c>
      <c r="E1124" s="12" t="s">
        <v>5753</v>
      </c>
      <c r="F1124" s="12" t="s">
        <v>2235</v>
      </c>
      <c r="G1124" s="12" t="s">
        <v>1876</v>
      </c>
      <c r="H1124" s="12" t="s">
        <v>6052</v>
      </c>
      <c r="I1124" s="12" t="s">
        <v>6053</v>
      </c>
      <c r="J1124" s="13" t="s">
        <v>6054</v>
      </c>
      <c r="K1124" s="12" t="s">
        <v>6055</v>
      </c>
      <c r="L1124" s="12" t="s">
        <v>6061</v>
      </c>
      <c r="M1124" s="12" t="s">
        <v>6069</v>
      </c>
      <c r="N1124" s="12" t="s">
        <v>352</v>
      </c>
      <c r="O1124" s="12" t="s">
        <v>102</v>
      </c>
      <c r="P1124" s="12" t="s">
        <v>214</v>
      </c>
      <c r="Q1124" s="12" t="s">
        <v>3246</v>
      </c>
      <c r="R1124" s="14" t="n">
        <v>4</v>
      </c>
      <c r="S1124" s="14" t="s">
        <v>129</v>
      </c>
      <c r="T1124" s="14" t="s">
        <v>653</v>
      </c>
      <c r="U1124" s="14" t="n">
        <v>2022</v>
      </c>
      <c r="V1124" s="12" t="s">
        <v>198</v>
      </c>
      <c r="W1124" s="14"/>
      <c r="X1124" s="15" t="n">
        <f aca="false">IF(OR($S1124="%",$R1124=""),"",$R1124*INDEX(Cambi!$J$2:$J$5,MATCH($S1124,Cambi!$I$2:$I$5,0))/IF($T1124="EUR",1,INDEX(Cambi!$D:$D,MATCH($T1124&amp;"|"&amp;$U1124,Cambi!$C:$C,0))))</f>
        <v>3798.67046533713</v>
      </c>
      <c r="Y1124" s="12" t="s">
        <v>239</v>
      </c>
      <c r="Z1124" s="12" t="s">
        <v>285</v>
      </c>
      <c r="AA1124" s="12" t="s">
        <v>2788</v>
      </c>
      <c r="AB1124" s="16" t="s">
        <v>679</v>
      </c>
      <c r="AC1124" s="16" t="s">
        <v>2789</v>
      </c>
      <c r="AD1124" s="12" t="s">
        <v>201</v>
      </c>
      <c r="AE1124" s="12" t="s">
        <v>2790</v>
      </c>
      <c r="AF1124" s="12" t="s">
        <v>6067</v>
      </c>
      <c r="AG1124" s="12" t="s">
        <v>498</v>
      </c>
      <c r="AH1124" s="12" t="s">
        <v>499</v>
      </c>
      <c r="AI1124" s="12" t="s">
        <v>285</v>
      </c>
      <c r="AJ1124" s="12" t="s">
        <v>6068</v>
      </c>
      <c r="AK1124" s="12" t="s">
        <v>4</v>
      </c>
    </row>
    <row r="1125" customFormat="false" ht="15" hidden="false" customHeight="false" outlineLevel="0" collapsed="false">
      <c r="A1125" s="11" t="n">
        <v>1124</v>
      </c>
      <c r="B1125" s="12" t="s">
        <v>6051</v>
      </c>
      <c r="C1125" s="12" t="s">
        <v>106</v>
      </c>
      <c r="D1125" s="12" t="s">
        <v>5753</v>
      </c>
      <c r="E1125" s="12" t="s">
        <v>5753</v>
      </c>
      <c r="F1125" s="12" t="s">
        <v>2235</v>
      </c>
      <c r="G1125" s="12" t="s">
        <v>1876</v>
      </c>
      <c r="H1125" s="12" t="s">
        <v>6052</v>
      </c>
      <c r="I1125" s="12" t="s">
        <v>6053</v>
      </c>
      <c r="J1125" s="13" t="s">
        <v>6054</v>
      </c>
      <c r="K1125" s="12" t="s">
        <v>6055</v>
      </c>
      <c r="L1125" s="12" t="s">
        <v>6056</v>
      </c>
      <c r="M1125" s="12" t="s">
        <v>6070</v>
      </c>
      <c r="N1125" s="12" t="s">
        <v>352</v>
      </c>
      <c r="O1125" s="12" t="s">
        <v>102</v>
      </c>
      <c r="P1125" s="12" t="s">
        <v>103</v>
      </c>
      <c r="Q1125" s="12" t="s">
        <v>104</v>
      </c>
      <c r="R1125" s="14" t="n">
        <v>66</v>
      </c>
      <c r="S1125" s="14" t="s">
        <v>129</v>
      </c>
      <c r="T1125" s="14" t="s">
        <v>653</v>
      </c>
      <c r="U1125" s="14" t="n">
        <v>2026</v>
      </c>
      <c r="V1125" s="12" t="s">
        <v>107</v>
      </c>
      <c r="W1125" s="14" t="s">
        <v>6071</v>
      </c>
      <c r="X1125" s="15" t="n">
        <f aca="false">IF(OR($S1125="%",$R1125=""),"",$R1125*INDEX(Cambi!$J$2:$J$5,MATCH($S1125,Cambi!$I$2:$I$5,0))/IF($T1125="EUR",1,INDEX(Cambi!$D:$D,MATCH($T1125&amp;"|"&amp;$U1125,Cambi!$C:$C,0))))</f>
        <v>58407.0796460177</v>
      </c>
      <c r="Y1125" s="12" t="s">
        <v>654</v>
      </c>
      <c r="Z1125" s="12" t="s">
        <v>285</v>
      </c>
      <c r="AA1125" s="12" t="s">
        <v>2788</v>
      </c>
      <c r="AB1125" s="16" t="s">
        <v>679</v>
      </c>
      <c r="AC1125" s="16" t="s">
        <v>2789</v>
      </c>
      <c r="AD1125" s="12" t="s">
        <v>201</v>
      </c>
      <c r="AE1125" s="12" t="s">
        <v>2790</v>
      </c>
      <c r="AF1125" s="12" t="s">
        <v>6072</v>
      </c>
      <c r="AG1125" s="12" t="s">
        <v>498</v>
      </c>
      <c r="AH1125" s="12" t="s">
        <v>499</v>
      </c>
      <c r="AI1125" s="12" t="s">
        <v>285</v>
      </c>
      <c r="AJ1125" s="12" t="s">
        <v>6073</v>
      </c>
      <c r="AK1125" s="12" t="s">
        <v>4</v>
      </c>
    </row>
    <row r="1126" customFormat="false" ht="15" hidden="false" customHeight="false" outlineLevel="0" collapsed="false">
      <c r="A1126" s="11" t="n">
        <v>1125</v>
      </c>
      <c r="B1126" s="12" t="s">
        <v>4442</v>
      </c>
      <c r="C1126" s="12" t="s">
        <v>106</v>
      </c>
      <c r="D1126" s="12" t="s">
        <v>5753</v>
      </c>
      <c r="E1126" s="12" t="s">
        <v>5753</v>
      </c>
      <c r="F1126" s="12" t="s">
        <v>2235</v>
      </c>
      <c r="G1126" s="12" t="s">
        <v>1876</v>
      </c>
      <c r="H1126" s="12" t="s">
        <v>4443</v>
      </c>
      <c r="I1126" s="12" t="s">
        <v>4444</v>
      </c>
      <c r="J1126" s="13" t="s">
        <v>4445</v>
      </c>
      <c r="K1126" s="12" t="s">
        <v>4446</v>
      </c>
      <c r="L1126" s="12" t="s">
        <v>6074</v>
      </c>
      <c r="M1126" s="12" t="s">
        <v>6075</v>
      </c>
      <c r="N1126" s="12" t="s">
        <v>352</v>
      </c>
      <c r="O1126" s="12" t="s">
        <v>213</v>
      </c>
      <c r="P1126" s="12" t="s">
        <v>103</v>
      </c>
      <c r="Q1126" s="12" t="s">
        <v>104</v>
      </c>
      <c r="R1126" s="14" t="n">
        <v>12.3</v>
      </c>
      <c r="S1126" s="14" t="s">
        <v>197</v>
      </c>
      <c r="T1126" s="14"/>
      <c r="U1126" s="14" t="n">
        <v>2024</v>
      </c>
      <c r="V1126" s="12" t="s">
        <v>107</v>
      </c>
      <c r="W1126" s="14"/>
      <c r="X1126" s="15" t="str">
        <f aca="false">IF(OR($S1126="%",$R1126=""),"",$R1126*INDEX(Cambi!$J$2:$J$5,MATCH($S1126,Cambi!$I$2:$I$5,0))/IF($T1126="EUR",1,INDEX(Cambi!$D:$D,MATCH($T1126&amp;"|"&amp;$U1126,Cambi!$C:$C,0))))</f>
        <v/>
      </c>
      <c r="Y1126" s="12" t="s">
        <v>654</v>
      </c>
      <c r="Z1126" s="12" t="s">
        <v>285</v>
      </c>
      <c r="AA1126" s="12" t="s">
        <v>2788</v>
      </c>
      <c r="AB1126" s="16" t="s">
        <v>679</v>
      </c>
      <c r="AC1126" s="16" t="s">
        <v>2789</v>
      </c>
      <c r="AD1126" s="12" t="s">
        <v>201</v>
      </c>
      <c r="AE1126" s="12" t="s">
        <v>2790</v>
      </c>
      <c r="AF1126" s="12" t="s">
        <v>6076</v>
      </c>
      <c r="AG1126" s="12" t="s">
        <v>498</v>
      </c>
      <c r="AH1126" s="12" t="s">
        <v>116</v>
      </c>
      <c r="AI1126" s="12" t="s">
        <v>117</v>
      </c>
      <c r="AJ1126" s="12" t="s">
        <v>6077</v>
      </c>
      <c r="AK1126" s="12" t="s">
        <v>4</v>
      </c>
    </row>
    <row r="1127" customFormat="false" ht="15" hidden="false" customHeight="false" outlineLevel="0" collapsed="false">
      <c r="A1127" s="11" t="n">
        <v>1126</v>
      </c>
      <c r="B1127" s="12" t="s">
        <v>4442</v>
      </c>
      <c r="C1127" s="12" t="s">
        <v>106</v>
      </c>
      <c r="D1127" s="12" t="s">
        <v>5753</v>
      </c>
      <c r="E1127" s="12" t="s">
        <v>5753</v>
      </c>
      <c r="F1127" s="12" t="s">
        <v>2235</v>
      </c>
      <c r="G1127" s="12" t="s">
        <v>1876</v>
      </c>
      <c r="H1127" s="12" t="s">
        <v>4443</v>
      </c>
      <c r="I1127" s="12" t="s">
        <v>4444</v>
      </c>
      <c r="J1127" s="13" t="s">
        <v>4445</v>
      </c>
      <c r="K1127" s="12" t="s">
        <v>4446</v>
      </c>
      <c r="L1127" s="12" t="s">
        <v>6078</v>
      </c>
      <c r="M1127" s="12" t="s">
        <v>6079</v>
      </c>
      <c r="N1127" s="12" t="s">
        <v>352</v>
      </c>
      <c r="O1127" s="12" t="s">
        <v>213</v>
      </c>
      <c r="P1127" s="12" t="s">
        <v>214</v>
      </c>
      <c r="Q1127" s="12" t="s">
        <v>6080</v>
      </c>
      <c r="R1127" s="14" t="n">
        <v>13.8</v>
      </c>
      <c r="S1127" s="14" t="s">
        <v>197</v>
      </c>
      <c r="T1127" s="14"/>
      <c r="U1127" s="14" t="n">
        <v>2024</v>
      </c>
      <c r="V1127" s="12" t="s">
        <v>107</v>
      </c>
      <c r="W1127" s="14"/>
      <c r="X1127" s="15" t="str">
        <f aca="false">IF(OR($S1127="%",$R1127=""),"",$R1127*INDEX(Cambi!$J$2:$J$5,MATCH($S1127,Cambi!$I$2:$I$5,0))/IF($T1127="EUR",1,INDEX(Cambi!$D:$D,MATCH($T1127&amp;"|"&amp;$U1127,Cambi!$C:$C,0))))</f>
        <v/>
      </c>
      <c r="Y1127" s="12" t="s">
        <v>654</v>
      </c>
      <c r="Z1127" s="12" t="s">
        <v>285</v>
      </c>
      <c r="AA1127" s="12" t="s">
        <v>2788</v>
      </c>
      <c r="AB1127" s="16" t="s">
        <v>679</v>
      </c>
      <c r="AC1127" s="16" t="s">
        <v>2789</v>
      </c>
      <c r="AD1127" s="12" t="s">
        <v>201</v>
      </c>
      <c r="AE1127" s="12" t="s">
        <v>2790</v>
      </c>
      <c r="AF1127" s="12" t="s">
        <v>6081</v>
      </c>
      <c r="AG1127" s="12" t="s">
        <v>498</v>
      </c>
      <c r="AH1127" s="12" t="s">
        <v>116</v>
      </c>
      <c r="AI1127" s="12" t="s">
        <v>117</v>
      </c>
      <c r="AJ1127" s="12" t="s">
        <v>266</v>
      </c>
      <c r="AK1127" s="12" t="s">
        <v>4</v>
      </c>
    </row>
    <row r="1128" customFormat="false" ht="15" hidden="false" customHeight="false" outlineLevel="0" collapsed="false">
      <c r="A1128" s="11" t="n">
        <v>1127</v>
      </c>
      <c r="B1128" s="12" t="s">
        <v>4442</v>
      </c>
      <c r="C1128" s="12" t="s">
        <v>106</v>
      </c>
      <c r="D1128" s="12" t="s">
        <v>5753</v>
      </c>
      <c r="E1128" s="12" t="s">
        <v>5753</v>
      </c>
      <c r="F1128" s="12" t="s">
        <v>2235</v>
      </c>
      <c r="G1128" s="12" t="s">
        <v>1876</v>
      </c>
      <c r="H1128" s="12" t="s">
        <v>4443</v>
      </c>
      <c r="I1128" s="12" t="s">
        <v>4444</v>
      </c>
      <c r="J1128" s="13" t="s">
        <v>4445</v>
      </c>
      <c r="K1128" s="12" t="s">
        <v>4446</v>
      </c>
      <c r="L1128" s="12" t="s">
        <v>6078</v>
      </c>
      <c r="M1128" s="12" t="s">
        <v>6082</v>
      </c>
      <c r="N1128" s="12" t="s">
        <v>352</v>
      </c>
      <c r="O1128" s="12" t="s">
        <v>213</v>
      </c>
      <c r="P1128" s="12" t="s">
        <v>214</v>
      </c>
      <c r="Q1128" s="12" t="s">
        <v>418</v>
      </c>
      <c r="R1128" s="14" t="n">
        <v>14.2</v>
      </c>
      <c r="S1128" s="14" t="s">
        <v>197</v>
      </c>
      <c r="T1128" s="14"/>
      <c r="U1128" s="14" t="n">
        <v>2024</v>
      </c>
      <c r="V1128" s="12" t="s">
        <v>107</v>
      </c>
      <c r="W1128" s="14"/>
      <c r="X1128" s="15" t="str">
        <f aca="false">IF(OR($S1128="%",$R1128=""),"",$R1128*INDEX(Cambi!$J$2:$J$5,MATCH($S1128,Cambi!$I$2:$I$5,0))/IF($T1128="EUR",1,INDEX(Cambi!$D:$D,MATCH($T1128&amp;"|"&amp;$U1128,Cambi!$C:$C,0))))</f>
        <v/>
      </c>
      <c r="Y1128" s="12" t="s">
        <v>654</v>
      </c>
      <c r="Z1128" s="12" t="s">
        <v>285</v>
      </c>
      <c r="AA1128" s="12" t="s">
        <v>2788</v>
      </c>
      <c r="AB1128" s="16" t="s">
        <v>679</v>
      </c>
      <c r="AC1128" s="16" t="s">
        <v>2789</v>
      </c>
      <c r="AD1128" s="12" t="s">
        <v>201</v>
      </c>
      <c r="AE1128" s="12" t="s">
        <v>2790</v>
      </c>
      <c r="AF1128" s="12" t="s">
        <v>6081</v>
      </c>
      <c r="AG1128" s="12" t="s">
        <v>498</v>
      </c>
      <c r="AH1128" s="12" t="s">
        <v>116</v>
      </c>
      <c r="AI1128" s="12" t="s">
        <v>117</v>
      </c>
      <c r="AJ1128" s="12" t="s">
        <v>266</v>
      </c>
      <c r="AK1128" s="12" t="s">
        <v>4</v>
      </c>
    </row>
    <row r="1129" customFormat="false" ht="15" hidden="false" customHeight="false" outlineLevel="0" collapsed="false">
      <c r="A1129" s="11" t="n">
        <v>1128</v>
      </c>
      <c r="B1129" s="12" t="s">
        <v>4442</v>
      </c>
      <c r="C1129" s="12" t="s">
        <v>106</v>
      </c>
      <c r="D1129" s="12" t="s">
        <v>5753</v>
      </c>
      <c r="E1129" s="12" t="s">
        <v>5753</v>
      </c>
      <c r="F1129" s="12" t="s">
        <v>2235</v>
      </c>
      <c r="G1129" s="12" t="s">
        <v>1876</v>
      </c>
      <c r="H1129" s="12" t="s">
        <v>4443</v>
      </c>
      <c r="I1129" s="12" t="s">
        <v>4444</v>
      </c>
      <c r="J1129" s="13" t="s">
        <v>4445</v>
      </c>
      <c r="K1129" s="12" t="s">
        <v>4446</v>
      </c>
      <c r="L1129" s="12" t="s">
        <v>6078</v>
      </c>
      <c r="M1129" s="12" t="s">
        <v>6083</v>
      </c>
      <c r="N1129" s="12" t="s">
        <v>352</v>
      </c>
      <c r="O1129" s="12" t="s">
        <v>213</v>
      </c>
      <c r="P1129" s="12" t="s">
        <v>214</v>
      </c>
      <c r="Q1129" s="12" t="s">
        <v>6084</v>
      </c>
      <c r="R1129" s="14" t="n">
        <v>14</v>
      </c>
      <c r="S1129" s="14" t="s">
        <v>197</v>
      </c>
      <c r="T1129" s="14"/>
      <c r="U1129" s="14" t="n">
        <v>2024</v>
      </c>
      <c r="V1129" s="12" t="s">
        <v>107</v>
      </c>
      <c r="W1129" s="14"/>
      <c r="X1129" s="15" t="str">
        <f aca="false">IF(OR($S1129="%",$R1129=""),"",$R1129*INDEX(Cambi!$J$2:$J$5,MATCH($S1129,Cambi!$I$2:$I$5,0))/IF($T1129="EUR",1,INDEX(Cambi!$D:$D,MATCH($T1129&amp;"|"&amp;$U1129,Cambi!$C:$C,0))))</f>
        <v/>
      </c>
      <c r="Y1129" s="12" t="s">
        <v>654</v>
      </c>
      <c r="Z1129" s="12" t="s">
        <v>285</v>
      </c>
      <c r="AA1129" s="12" t="s">
        <v>2788</v>
      </c>
      <c r="AB1129" s="16" t="s">
        <v>679</v>
      </c>
      <c r="AC1129" s="16" t="s">
        <v>2789</v>
      </c>
      <c r="AD1129" s="12" t="s">
        <v>201</v>
      </c>
      <c r="AE1129" s="12" t="s">
        <v>2790</v>
      </c>
      <c r="AF1129" s="12" t="s">
        <v>6081</v>
      </c>
      <c r="AG1129" s="12" t="s">
        <v>498</v>
      </c>
      <c r="AH1129" s="12" t="s">
        <v>116</v>
      </c>
      <c r="AI1129" s="12" t="s">
        <v>117</v>
      </c>
      <c r="AJ1129" s="12" t="s">
        <v>266</v>
      </c>
      <c r="AK1129" s="12" t="s">
        <v>4</v>
      </c>
    </row>
    <row r="1130" customFormat="false" ht="15" hidden="false" customHeight="false" outlineLevel="0" collapsed="false">
      <c r="A1130" s="11" t="n">
        <v>1129</v>
      </c>
      <c r="B1130" s="12" t="s">
        <v>4442</v>
      </c>
      <c r="C1130" s="12" t="s">
        <v>106</v>
      </c>
      <c r="D1130" s="12" t="s">
        <v>5753</v>
      </c>
      <c r="E1130" s="12" t="s">
        <v>5753</v>
      </c>
      <c r="F1130" s="12" t="s">
        <v>2235</v>
      </c>
      <c r="G1130" s="12" t="s">
        <v>1876</v>
      </c>
      <c r="H1130" s="12" t="s">
        <v>4443</v>
      </c>
      <c r="I1130" s="12" t="s">
        <v>4444</v>
      </c>
      <c r="J1130" s="13" t="s">
        <v>4445</v>
      </c>
      <c r="K1130" s="12" t="s">
        <v>4446</v>
      </c>
      <c r="L1130" s="12" t="s">
        <v>6085</v>
      </c>
      <c r="M1130" s="12" t="s">
        <v>6086</v>
      </c>
      <c r="N1130" s="12" t="s">
        <v>352</v>
      </c>
      <c r="O1130" s="12" t="s">
        <v>102</v>
      </c>
      <c r="P1130" s="12" t="s">
        <v>103</v>
      </c>
      <c r="Q1130" s="12" t="s">
        <v>104</v>
      </c>
      <c r="R1130" s="14" t="n">
        <v>84</v>
      </c>
      <c r="S1130" s="14" t="s">
        <v>129</v>
      </c>
      <c r="T1130" s="14" t="s">
        <v>653</v>
      </c>
      <c r="U1130" s="14" t="n">
        <v>2027</v>
      </c>
      <c r="V1130" s="12" t="s">
        <v>107</v>
      </c>
      <c r="W1130" s="14"/>
      <c r="X1130" s="15" t="n">
        <f aca="false">IF(OR($S1130="%",$R1130=""),"",$R1130*INDEX(Cambi!$J$2:$J$5,MATCH($S1130,Cambi!$I$2:$I$5,0))/IF($T1130="EUR",1,INDEX(Cambi!$D:$D,MATCH($T1130&amp;"|"&amp;$U1130,Cambi!$C:$C,0))))</f>
        <v>74336.2831858407</v>
      </c>
      <c r="Y1130" s="12" t="s">
        <v>654</v>
      </c>
      <c r="Z1130" s="12" t="s">
        <v>285</v>
      </c>
      <c r="AA1130" s="12" t="s">
        <v>2788</v>
      </c>
      <c r="AB1130" s="16" t="s">
        <v>679</v>
      </c>
      <c r="AC1130" s="16" t="s">
        <v>2789</v>
      </c>
      <c r="AD1130" s="12" t="s">
        <v>201</v>
      </c>
      <c r="AE1130" s="12" t="s">
        <v>2790</v>
      </c>
      <c r="AF1130" s="12" t="s">
        <v>6087</v>
      </c>
      <c r="AG1130" s="12" t="s">
        <v>498</v>
      </c>
      <c r="AH1130" s="12" t="s">
        <v>116</v>
      </c>
      <c r="AI1130" s="12" t="s">
        <v>117</v>
      </c>
      <c r="AJ1130" s="12" t="s">
        <v>266</v>
      </c>
      <c r="AK1130" s="12" t="s">
        <v>4</v>
      </c>
    </row>
    <row r="1131" customFormat="false" ht="15" hidden="false" customHeight="false" outlineLevel="0" collapsed="false">
      <c r="A1131" s="11" t="n">
        <v>1130</v>
      </c>
      <c r="B1131" s="12" t="s">
        <v>2781</v>
      </c>
      <c r="C1131" s="12" t="s">
        <v>106</v>
      </c>
      <c r="D1131" s="12" t="s">
        <v>5753</v>
      </c>
      <c r="E1131" s="12" t="s">
        <v>5753</v>
      </c>
      <c r="F1131" s="12" t="s">
        <v>2235</v>
      </c>
      <c r="G1131" s="12" t="s">
        <v>1876</v>
      </c>
      <c r="H1131" s="12" t="s">
        <v>2782</v>
      </c>
      <c r="I1131" s="12" t="s">
        <v>2783</v>
      </c>
      <c r="J1131" s="13" t="s">
        <v>2784</v>
      </c>
      <c r="K1131" s="12" t="s">
        <v>2785</v>
      </c>
      <c r="L1131" s="12" t="s">
        <v>6088</v>
      </c>
      <c r="M1131" s="12" t="s">
        <v>6089</v>
      </c>
      <c r="N1131" s="12" t="s">
        <v>352</v>
      </c>
      <c r="O1131" s="12" t="s">
        <v>213</v>
      </c>
      <c r="P1131" s="12" t="s">
        <v>214</v>
      </c>
      <c r="Q1131" s="12" t="s">
        <v>6080</v>
      </c>
      <c r="R1131" s="14" t="n">
        <v>13.5</v>
      </c>
      <c r="S1131" s="14" t="s">
        <v>197</v>
      </c>
      <c r="T1131" s="14"/>
      <c r="U1131" s="14" t="n">
        <v>2025</v>
      </c>
      <c r="V1131" s="12" t="s">
        <v>107</v>
      </c>
      <c r="W1131" s="14"/>
      <c r="X1131" s="15" t="str">
        <f aca="false">IF(OR($S1131="%",$R1131=""),"",$R1131*INDEX(Cambi!$J$2:$J$5,MATCH($S1131,Cambi!$I$2:$I$5,0))/IF($T1131="EUR",1,INDEX(Cambi!$D:$D,MATCH($T1131&amp;"|"&amp;$U1131,Cambi!$C:$C,0))))</f>
        <v/>
      </c>
      <c r="Y1131" s="12" t="s">
        <v>654</v>
      </c>
      <c r="Z1131" s="12" t="s">
        <v>285</v>
      </c>
      <c r="AA1131" s="12" t="s">
        <v>2788</v>
      </c>
      <c r="AB1131" s="16" t="s">
        <v>679</v>
      </c>
      <c r="AC1131" s="16" t="s">
        <v>2789</v>
      </c>
      <c r="AD1131" s="12" t="s">
        <v>201</v>
      </c>
      <c r="AE1131" s="12" t="s">
        <v>2790</v>
      </c>
      <c r="AF1131" s="12" t="s">
        <v>6090</v>
      </c>
      <c r="AG1131" s="12" t="s">
        <v>498</v>
      </c>
      <c r="AH1131" s="12" t="s">
        <v>116</v>
      </c>
      <c r="AI1131" s="12" t="s">
        <v>117</v>
      </c>
      <c r="AJ1131" s="12" t="s">
        <v>266</v>
      </c>
      <c r="AK1131" s="12" t="s">
        <v>4</v>
      </c>
    </row>
    <row r="1132" customFormat="false" ht="15" hidden="false" customHeight="false" outlineLevel="0" collapsed="false">
      <c r="A1132" s="11" t="n">
        <v>1131</v>
      </c>
      <c r="B1132" s="12" t="s">
        <v>2781</v>
      </c>
      <c r="C1132" s="12" t="s">
        <v>106</v>
      </c>
      <c r="D1132" s="12" t="s">
        <v>5753</v>
      </c>
      <c r="E1132" s="12" t="s">
        <v>5753</v>
      </c>
      <c r="F1132" s="12" t="s">
        <v>2235</v>
      </c>
      <c r="G1132" s="12" t="s">
        <v>1876</v>
      </c>
      <c r="H1132" s="12" t="s">
        <v>2782</v>
      </c>
      <c r="I1132" s="12" t="s">
        <v>2783</v>
      </c>
      <c r="J1132" s="13" t="s">
        <v>2784</v>
      </c>
      <c r="K1132" s="12" t="s">
        <v>2785</v>
      </c>
      <c r="L1132" s="12" t="s">
        <v>6088</v>
      </c>
      <c r="M1132" s="12" t="s">
        <v>6091</v>
      </c>
      <c r="N1132" s="12" t="s">
        <v>352</v>
      </c>
      <c r="O1132" s="12" t="s">
        <v>213</v>
      </c>
      <c r="P1132" s="12" t="s">
        <v>214</v>
      </c>
      <c r="Q1132" s="12" t="s">
        <v>418</v>
      </c>
      <c r="R1132" s="14" t="n">
        <v>13.5</v>
      </c>
      <c r="S1132" s="14" t="s">
        <v>197</v>
      </c>
      <c r="T1132" s="14"/>
      <c r="U1132" s="14" t="n">
        <v>2025</v>
      </c>
      <c r="V1132" s="12" t="s">
        <v>107</v>
      </c>
      <c r="W1132" s="14"/>
      <c r="X1132" s="15" t="str">
        <f aca="false">IF(OR($S1132="%",$R1132=""),"",$R1132*INDEX(Cambi!$J$2:$J$5,MATCH($S1132,Cambi!$I$2:$I$5,0))/IF($T1132="EUR",1,INDEX(Cambi!$D:$D,MATCH($T1132&amp;"|"&amp;$U1132,Cambi!$C:$C,0))))</f>
        <v/>
      </c>
      <c r="Y1132" s="12" t="s">
        <v>654</v>
      </c>
      <c r="Z1132" s="12" t="s">
        <v>285</v>
      </c>
      <c r="AA1132" s="12" t="s">
        <v>2788</v>
      </c>
      <c r="AB1132" s="16" t="s">
        <v>679</v>
      </c>
      <c r="AC1132" s="16" t="s">
        <v>2789</v>
      </c>
      <c r="AD1132" s="12" t="s">
        <v>201</v>
      </c>
      <c r="AE1132" s="12" t="s">
        <v>2790</v>
      </c>
      <c r="AF1132" s="12" t="s">
        <v>6090</v>
      </c>
      <c r="AG1132" s="12" t="s">
        <v>498</v>
      </c>
      <c r="AH1132" s="12" t="s">
        <v>116</v>
      </c>
      <c r="AI1132" s="12" t="s">
        <v>117</v>
      </c>
      <c r="AJ1132" s="12" t="s">
        <v>6092</v>
      </c>
      <c r="AK1132" s="12" t="s">
        <v>4</v>
      </c>
    </row>
    <row r="1133" customFormat="false" ht="15" hidden="false" customHeight="false" outlineLevel="0" collapsed="false">
      <c r="A1133" s="11" t="n">
        <v>1132</v>
      </c>
      <c r="B1133" s="12" t="s">
        <v>2781</v>
      </c>
      <c r="C1133" s="12" t="s">
        <v>106</v>
      </c>
      <c r="D1133" s="12" t="s">
        <v>5753</v>
      </c>
      <c r="E1133" s="12" t="s">
        <v>5753</v>
      </c>
      <c r="F1133" s="12" t="s">
        <v>2235</v>
      </c>
      <c r="G1133" s="12" t="s">
        <v>1876</v>
      </c>
      <c r="H1133" s="12" t="s">
        <v>2782</v>
      </c>
      <c r="I1133" s="12" t="s">
        <v>2783</v>
      </c>
      <c r="J1133" s="13" t="s">
        <v>2784</v>
      </c>
      <c r="K1133" s="12" t="s">
        <v>2785</v>
      </c>
      <c r="L1133" s="12" t="s">
        <v>6088</v>
      </c>
      <c r="M1133" s="12" t="s">
        <v>6093</v>
      </c>
      <c r="N1133" s="12" t="s">
        <v>352</v>
      </c>
      <c r="O1133" s="12" t="s">
        <v>213</v>
      </c>
      <c r="P1133" s="12" t="s">
        <v>214</v>
      </c>
      <c r="Q1133" s="12" t="s">
        <v>6094</v>
      </c>
      <c r="R1133" s="14" t="n">
        <v>13.3</v>
      </c>
      <c r="S1133" s="14" t="s">
        <v>197</v>
      </c>
      <c r="T1133" s="14"/>
      <c r="U1133" s="14" t="n">
        <v>2025</v>
      </c>
      <c r="V1133" s="12" t="s">
        <v>107</v>
      </c>
      <c r="W1133" s="14"/>
      <c r="X1133" s="15" t="str">
        <f aca="false">IF(OR($S1133="%",$R1133=""),"",$R1133*INDEX(Cambi!$J$2:$J$5,MATCH($S1133,Cambi!$I$2:$I$5,0))/IF($T1133="EUR",1,INDEX(Cambi!$D:$D,MATCH($T1133&amp;"|"&amp;$U1133,Cambi!$C:$C,0))))</f>
        <v/>
      </c>
      <c r="Y1133" s="12" t="s">
        <v>654</v>
      </c>
      <c r="Z1133" s="12" t="s">
        <v>285</v>
      </c>
      <c r="AA1133" s="12" t="s">
        <v>2788</v>
      </c>
      <c r="AB1133" s="16" t="s">
        <v>679</v>
      </c>
      <c r="AC1133" s="16" t="s">
        <v>2789</v>
      </c>
      <c r="AD1133" s="12" t="s">
        <v>201</v>
      </c>
      <c r="AE1133" s="12" t="s">
        <v>2790</v>
      </c>
      <c r="AF1133" s="12" t="s">
        <v>6095</v>
      </c>
      <c r="AG1133" s="12" t="s">
        <v>498</v>
      </c>
      <c r="AH1133" s="12" t="s">
        <v>116</v>
      </c>
      <c r="AI1133" s="12" t="s">
        <v>117</v>
      </c>
      <c r="AJ1133" s="12" t="s">
        <v>266</v>
      </c>
      <c r="AK1133" s="12" t="s">
        <v>4</v>
      </c>
    </row>
    <row r="1134" customFormat="false" ht="15" hidden="false" customHeight="false" outlineLevel="0" collapsed="false">
      <c r="A1134" s="11" t="n">
        <v>1133</v>
      </c>
      <c r="B1134" s="12" t="s">
        <v>2781</v>
      </c>
      <c r="C1134" s="12" t="s">
        <v>106</v>
      </c>
      <c r="D1134" s="12" t="s">
        <v>5753</v>
      </c>
      <c r="E1134" s="12" t="s">
        <v>5753</v>
      </c>
      <c r="F1134" s="12" t="s">
        <v>2235</v>
      </c>
      <c r="G1134" s="12" t="s">
        <v>1876</v>
      </c>
      <c r="H1134" s="12" t="s">
        <v>2782</v>
      </c>
      <c r="I1134" s="12" t="s">
        <v>2783</v>
      </c>
      <c r="J1134" s="13" t="s">
        <v>2784</v>
      </c>
      <c r="K1134" s="12" t="s">
        <v>2785</v>
      </c>
      <c r="L1134" s="12" t="s">
        <v>6096</v>
      </c>
      <c r="M1134" s="12" t="s">
        <v>6097</v>
      </c>
      <c r="N1134" s="12" t="s">
        <v>352</v>
      </c>
      <c r="O1134" s="12" t="s">
        <v>213</v>
      </c>
      <c r="P1134" s="12" t="s">
        <v>103</v>
      </c>
      <c r="Q1134" s="12" t="s">
        <v>104</v>
      </c>
      <c r="R1134" s="14" t="n">
        <v>11.8</v>
      </c>
      <c r="S1134" s="14" t="s">
        <v>197</v>
      </c>
      <c r="T1134" s="14"/>
      <c r="U1134" s="14" t="n">
        <v>2025</v>
      </c>
      <c r="V1134" s="12" t="s">
        <v>107</v>
      </c>
      <c r="W1134" s="14"/>
      <c r="X1134" s="15" t="str">
        <f aca="false">IF(OR($S1134="%",$R1134=""),"",$R1134*INDEX(Cambi!$J$2:$J$5,MATCH($S1134,Cambi!$I$2:$I$5,0))/IF($T1134="EUR",1,INDEX(Cambi!$D:$D,MATCH($T1134&amp;"|"&amp;$U1134,Cambi!$C:$C,0))))</f>
        <v/>
      </c>
      <c r="Y1134" s="12" t="s">
        <v>654</v>
      </c>
      <c r="Z1134" s="12" t="s">
        <v>285</v>
      </c>
      <c r="AA1134" s="12" t="s">
        <v>2788</v>
      </c>
      <c r="AB1134" s="16" t="s">
        <v>679</v>
      </c>
      <c r="AC1134" s="16" t="s">
        <v>2789</v>
      </c>
      <c r="AD1134" s="12" t="s">
        <v>201</v>
      </c>
      <c r="AE1134" s="12" t="s">
        <v>2790</v>
      </c>
      <c r="AF1134" s="12" t="s">
        <v>6098</v>
      </c>
      <c r="AG1134" s="12" t="s">
        <v>498</v>
      </c>
      <c r="AH1134" s="12" t="s">
        <v>116</v>
      </c>
      <c r="AI1134" s="12" t="s">
        <v>117</v>
      </c>
      <c r="AJ1134" s="12" t="s">
        <v>266</v>
      </c>
      <c r="AK1134" s="12" t="s">
        <v>4</v>
      </c>
    </row>
    <row r="1135" customFormat="false" ht="15" hidden="false" customHeight="false" outlineLevel="0" collapsed="false">
      <c r="A1135" s="11" t="n">
        <v>1134</v>
      </c>
      <c r="B1135" s="12" t="s">
        <v>2781</v>
      </c>
      <c r="C1135" s="12" t="s">
        <v>106</v>
      </c>
      <c r="D1135" s="12" t="s">
        <v>5753</v>
      </c>
      <c r="E1135" s="12" t="s">
        <v>5753</v>
      </c>
      <c r="F1135" s="12" t="s">
        <v>2235</v>
      </c>
      <c r="G1135" s="12" t="s">
        <v>1876</v>
      </c>
      <c r="H1135" s="12" t="s">
        <v>2782</v>
      </c>
      <c r="I1135" s="12" t="s">
        <v>2783</v>
      </c>
      <c r="J1135" s="13" t="s">
        <v>2784</v>
      </c>
      <c r="K1135" s="12" t="s">
        <v>2785</v>
      </c>
      <c r="L1135" s="12" t="s">
        <v>6085</v>
      </c>
      <c r="M1135" s="12" t="s">
        <v>6099</v>
      </c>
      <c r="N1135" s="12" t="s">
        <v>352</v>
      </c>
      <c r="O1135" s="12" t="s">
        <v>102</v>
      </c>
      <c r="P1135" s="12" t="s">
        <v>103</v>
      </c>
      <c r="Q1135" s="12" t="s">
        <v>104</v>
      </c>
      <c r="R1135" s="14" t="n">
        <v>97</v>
      </c>
      <c r="S1135" s="14" t="s">
        <v>129</v>
      </c>
      <c r="T1135" s="14" t="s">
        <v>653</v>
      </c>
      <c r="U1135" s="14" t="n">
        <v>2028</v>
      </c>
      <c r="V1135" s="12" t="s">
        <v>107</v>
      </c>
      <c r="W1135" s="14"/>
      <c r="X1135" s="15" t="n">
        <f aca="false">IF(OR($S1135="%",$R1135=""),"",$R1135*INDEX(Cambi!$J$2:$J$5,MATCH($S1135,Cambi!$I$2:$I$5,0))/IF($T1135="EUR",1,INDEX(Cambi!$D:$D,MATCH($T1135&amp;"|"&amp;$U1135,Cambi!$C:$C,0))))</f>
        <v>85840.7079646018</v>
      </c>
      <c r="Y1135" s="12" t="s">
        <v>654</v>
      </c>
      <c r="Z1135" s="12" t="s">
        <v>285</v>
      </c>
      <c r="AA1135" s="12" t="s">
        <v>2788</v>
      </c>
      <c r="AB1135" s="16" t="s">
        <v>679</v>
      </c>
      <c r="AC1135" s="16" t="s">
        <v>2789</v>
      </c>
      <c r="AD1135" s="12" t="s">
        <v>201</v>
      </c>
      <c r="AE1135" s="12" t="s">
        <v>2790</v>
      </c>
      <c r="AF1135" s="12" t="s">
        <v>6100</v>
      </c>
      <c r="AG1135" s="12" t="s">
        <v>498</v>
      </c>
      <c r="AH1135" s="12" t="s">
        <v>116</v>
      </c>
      <c r="AI1135" s="12" t="s">
        <v>117</v>
      </c>
      <c r="AJ1135" s="12" t="s">
        <v>6101</v>
      </c>
      <c r="AK1135" s="12" t="s">
        <v>4</v>
      </c>
    </row>
    <row r="1136" customFormat="false" ht="15" hidden="false" customHeight="false" outlineLevel="0" collapsed="false">
      <c r="A1136" s="11" t="n">
        <v>1135</v>
      </c>
      <c r="B1136" s="12" t="s">
        <v>6102</v>
      </c>
      <c r="C1136" s="12" t="s">
        <v>106</v>
      </c>
      <c r="D1136" s="12" t="s">
        <v>5753</v>
      </c>
      <c r="E1136" s="12" t="s">
        <v>5753</v>
      </c>
      <c r="F1136" s="12" t="s">
        <v>2235</v>
      </c>
      <c r="G1136" s="12" t="s">
        <v>1876</v>
      </c>
      <c r="H1136" s="12" t="s">
        <v>6103</v>
      </c>
      <c r="I1136" s="12" t="s">
        <v>583</v>
      </c>
      <c r="J1136" s="13" t="s">
        <v>6104</v>
      </c>
      <c r="K1136" s="12" t="s">
        <v>6105</v>
      </c>
      <c r="L1136" s="12" t="s">
        <v>6106</v>
      </c>
      <c r="M1136" s="12" t="s">
        <v>6107</v>
      </c>
      <c r="N1136" s="12" t="s">
        <v>352</v>
      </c>
      <c r="O1136" s="12" t="s">
        <v>213</v>
      </c>
      <c r="P1136" s="12" t="s">
        <v>103</v>
      </c>
      <c r="Q1136" s="12" t="s">
        <v>104</v>
      </c>
      <c r="R1136" s="14" t="n">
        <v>10.6</v>
      </c>
      <c r="S1136" s="14" t="s">
        <v>197</v>
      </c>
      <c r="T1136" s="14"/>
      <c r="U1136" s="14" t="n">
        <v>2023</v>
      </c>
      <c r="V1136" s="12" t="s">
        <v>107</v>
      </c>
      <c r="W1136" s="14"/>
      <c r="X1136" s="15" t="str">
        <f aca="false">IF(OR($S1136="%",$R1136=""),"",$R1136*INDEX(Cambi!$J$2:$J$5,MATCH($S1136,Cambi!$I$2:$I$5,0))/IF($T1136="EUR",1,INDEX(Cambi!$D:$D,MATCH($T1136&amp;"|"&amp;$U1136,Cambi!$C:$C,0))))</f>
        <v/>
      </c>
      <c r="Y1136" s="12" t="s">
        <v>654</v>
      </c>
      <c r="Z1136" s="12" t="s">
        <v>285</v>
      </c>
      <c r="AA1136" s="12" t="s">
        <v>2788</v>
      </c>
      <c r="AB1136" s="16" t="s">
        <v>679</v>
      </c>
      <c r="AC1136" s="16" t="s">
        <v>2789</v>
      </c>
      <c r="AD1136" s="12" t="s">
        <v>201</v>
      </c>
      <c r="AE1136" s="12" t="s">
        <v>2790</v>
      </c>
      <c r="AF1136" s="12" t="s">
        <v>6108</v>
      </c>
      <c r="AG1136" s="12" t="s">
        <v>498</v>
      </c>
      <c r="AH1136" s="12" t="s">
        <v>116</v>
      </c>
      <c r="AI1136" s="12" t="s">
        <v>117</v>
      </c>
      <c r="AJ1136" s="12" t="s">
        <v>6109</v>
      </c>
      <c r="AK1136" s="12" t="s">
        <v>4</v>
      </c>
    </row>
    <row r="1137" customFormat="false" ht="15" hidden="false" customHeight="false" outlineLevel="0" collapsed="false">
      <c r="A1137" s="11" t="n">
        <v>1136</v>
      </c>
      <c r="B1137" s="12" t="s">
        <v>6102</v>
      </c>
      <c r="C1137" s="12" t="s">
        <v>106</v>
      </c>
      <c r="D1137" s="12" t="s">
        <v>5753</v>
      </c>
      <c r="E1137" s="12" t="s">
        <v>5753</v>
      </c>
      <c r="F1137" s="12" t="s">
        <v>2235</v>
      </c>
      <c r="G1137" s="12" t="s">
        <v>1876</v>
      </c>
      <c r="H1137" s="12" t="s">
        <v>6103</v>
      </c>
      <c r="I1137" s="12" t="s">
        <v>583</v>
      </c>
      <c r="J1137" s="13" t="s">
        <v>6104</v>
      </c>
      <c r="K1137" s="12" t="s">
        <v>6105</v>
      </c>
      <c r="L1137" s="12" t="s">
        <v>6110</v>
      </c>
      <c r="M1137" s="12" t="s">
        <v>6111</v>
      </c>
      <c r="N1137" s="12" t="s">
        <v>352</v>
      </c>
      <c r="O1137" s="12" t="s">
        <v>102</v>
      </c>
      <c r="P1137" s="12" t="s">
        <v>103</v>
      </c>
      <c r="Q1137" s="12" t="s">
        <v>104</v>
      </c>
      <c r="R1137" s="14" t="n">
        <v>71</v>
      </c>
      <c r="S1137" s="14" t="s">
        <v>129</v>
      </c>
      <c r="T1137" s="14" t="s">
        <v>653</v>
      </c>
      <c r="U1137" s="14" t="n">
        <v>2026</v>
      </c>
      <c r="V1137" s="12" t="s">
        <v>107</v>
      </c>
      <c r="W1137" s="14"/>
      <c r="X1137" s="15" t="n">
        <f aca="false">IF(OR($S1137="%",$R1137=""),"",$R1137*INDEX(Cambi!$J$2:$J$5,MATCH($S1137,Cambi!$I$2:$I$5,0))/IF($T1137="EUR",1,INDEX(Cambi!$D:$D,MATCH($T1137&amp;"|"&amp;$U1137,Cambi!$C:$C,0))))</f>
        <v>62831.8584070797</v>
      </c>
      <c r="Y1137" s="12" t="s">
        <v>654</v>
      </c>
      <c r="Z1137" s="12" t="s">
        <v>285</v>
      </c>
      <c r="AA1137" s="12" t="s">
        <v>2788</v>
      </c>
      <c r="AB1137" s="16" t="s">
        <v>679</v>
      </c>
      <c r="AC1137" s="16" t="s">
        <v>2789</v>
      </c>
      <c r="AD1137" s="12" t="s">
        <v>201</v>
      </c>
      <c r="AE1137" s="12" t="s">
        <v>2790</v>
      </c>
      <c r="AF1137" s="12" t="s">
        <v>6112</v>
      </c>
      <c r="AG1137" s="12" t="s">
        <v>498</v>
      </c>
      <c r="AH1137" s="12" t="s">
        <v>116</v>
      </c>
      <c r="AI1137" s="12" t="s">
        <v>117</v>
      </c>
      <c r="AJ1137" s="12" t="s">
        <v>859</v>
      </c>
      <c r="AK1137" s="12" t="s">
        <v>4</v>
      </c>
    </row>
    <row r="1138" customFormat="false" ht="15" hidden="false" customHeight="false" outlineLevel="0" collapsed="false">
      <c r="A1138" s="11" t="n">
        <v>1137</v>
      </c>
      <c r="B1138" s="12" t="s">
        <v>6113</v>
      </c>
      <c r="C1138" s="12" t="s">
        <v>106</v>
      </c>
      <c r="D1138" s="12" t="s">
        <v>5753</v>
      </c>
      <c r="E1138" s="12" t="s">
        <v>5753</v>
      </c>
      <c r="F1138" s="12" t="s">
        <v>2235</v>
      </c>
      <c r="G1138" s="12" t="s">
        <v>1876</v>
      </c>
      <c r="H1138" s="12" t="s">
        <v>6114</v>
      </c>
      <c r="I1138" s="12" t="s">
        <v>847</v>
      </c>
      <c r="J1138" s="13" t="s">
        <v>6115</v>
      </c>
      <c r="K1138" s="12"/>
      <c r="L1138" s="12" t="s">
        <v>5975</v>
      </c>
      <c r="M1138" s="12" t="s">
        <v>6116</v>
      </c>
      <c r="N1138" s="12" t="s">
        <v>352</v>
      </c>
      <c r="O1138" s="12" t="s">
        <v>102</v>
      </c>
      <c r="P1138" s="12" t="s">
        <v>103</v>
      </c>
      <c r="Q1138" s="12" t="s">
        <v>104</v>
      </c>
      <c r="R1138" s="14" t="n">
        <v>60</v>
      </c>
      <c r="S1138" s="14" t="s">
        <v>129</v>
      </c>
      <c r="T1138" s="14" t="s">
        <v>653</v>
      </c>
      <c r="U1138" s="14" t="n">
        <v>2028</v>
      </c>
      <c r="V1138" s="12" t="s">
        <v>107</v>
      </c>
      <c r="W1138" s="14" t="s">
        <v>6117</v>
      </c>
      <c r="X1138" s="15" t="n">
        <f aca="false">IF(OR($S1138="%",$R1138=""),"",$R1138*INDEX(Cambi!$J$2:$J$5,MATCH($S1138,Cambi!$I$2:$I$5,0))/IF($T1138="EUR",1,INDEX(Cambi!$D:$D,MATCH($T1138&amp;"|"&amp;$U1138,Cambi!$C:$C,0))))</f>
        <v>53097.3451327434</v>
      </c>
      <c r="Y1138" s="12" t="s">
        <v>654</v>
      </c>
      <c r="Z1138" s="12" t="s">
        <v>285</v>
      </c>
      <c r="AA1138" s="12" t="s">
        <v>2788</v>
      </c>
      <c r="AB1138" s="16" t="s">
        <v>679</v>
      </c>
      <c r="AC1138" s="16" t="s">
        <v>2789</v>
      </c>
      <c r="AD1138" s="12" t="s">
        <v>201</v>
      </c>
      <c r="AE1138" s="12" t="s">
        <v>2790</v>
      </c>
      <c r="AF1138" s="12" t="s">
        <v>6118</v>
      </c>
      <c r="AG1138" s="12" t="s">
        <v>498</v>
      </c>
      <c r="AH1138" s="12" t="s">
        <v>116</v>
      </c>
      <c r="AI1138" s="12" t="s">
        <v>117</v>
      </c>
      <c r="AJ1138" s="12" t="s">
        <v>6119</v>
      </c>
      <c r="AK1138" s="12" t="s">
        <v>4</v>
      </c>
    </row>
    <row r="1139" customFormat="false" ht="15" hidden="false" customHeight="false" outlineLevel="0" collapsed="false">
      <c r="A1139" s="11" t="n">
        <v>1138</v>
      </c>
      <c r="B1139" s="12" t="s">
        <v>6113</v>
      </c>
      <c r="C1139" s="12" t="s">
        <v>106</v>
      </c>
      <c r="D1139" s="12" t="s">
        <v>5753</v>
      </c>
      <c r="E1139" s="12" t="s">
        <v>5753</v>
      </c>
      <c r="F1139" s="12" t="s">
        <v>2235</v>
      </c>
      <c r="G1139" s="12" t="s">
        <v>1876</v>
      </c>
      <c r="H1139" s="12" t="s">
        <v>6114</v>
      </c>
      <c r="I1139" s="12" t="s">
        <v>847</v>
      </c>
      <c r="J1139" s="13" t="s">
        <v>6115</v>
      </c>
      <c r="K1139" s="12"/>
      <c r="L1139" s="12" t="s">
        <v>6120</v>
      </c>
      <c r="M1139" s="12" t="s">
        <v>6121</v>
      </c>
      <c r="N1139" s="12" t="s">
        <v>352</v>
      </c>
      <c r="O1139" s="12" t="s">
        <v>213</v>
      </c>
      <c r="P1139" s="12" t="s">
        <v>103</v>
      </c>
      <c r="Q1139" s="12" t="s">
        <v>104</v>
      </c>
      <c r="R1139" s="14" t="n">
        <v>9.4</v>
      </c>
      <c r="S1139" s="14" t="s">
        <v>197</v>
      </c>
      <c r="T1139" s="14"/>
      <c r="U1139" s="14" t="n">
        <v>2029</v>
      </c>
      <c r="V1139" s="12" t="s">
        <v>107</v>
      </c>
      <c r="W1139" s="14"/>
      <c r="X1139" s="15" t="str">
        <f aca="false">IF(OR($S1139="%",$R1139=""),"",$R1139*INDEX(Cambi!$J$2:$J$5,MATCH($S1139,Cambi!$I$2:$I$5,0))/IF($T1139="EUR",1,INDEX(Cambi!$D:$D,MATCH($T1139&amp;"|"&amp;$U1139,Cambi!$C:$C,0))))</f>
        <v/>
      </c>
      <c r="Y1139" s="12" t="s">
        <v>654</v>
      </c>
      <c r="Z1139" s="12" t="s">
        <v>285</v>
      </c>
      <c r="AA1139" s="12" t="s">
        <v>2788</v>
      </c>
      <c r="AB1139" s="16" t="s">
        <v>679</v>
      </c>
      <c r="AC1139" s="16" t="s">
        <v>2789</v>
      </c>
      <c r="AD1139" s="12" t="s">
        <v>201</v>
      </c>
      <c r="AE1139" s="12" t="s">
        <v>2790</v>
      </c>
      <c r="AF1139" s="12" t="s">
        <v>6122</v>
      </c>
      <c r="AG1139" s="12" t="s">
        <v>498</v>
      </c>
      <c r="AH1139" s="12" t="s">
        <v>116</v>
      </c>
      <c r="AI1139" s="12" t="s">
        <v>117</v>
      </c>
      <c r="AJ1139" s="12" t="s">
        <v>266</v>
      </c>
      <c r="AK1139" s="12" t="s">
        <v>4</v>
      </c>
    </row>
    <row r="1140" customFormat="false" ht="15" hidden="false" customHeight="false" outlineLevel="0" collapsed="false">
      <c r="A1140" s="11" t="n">
        <v>1139</v>
      </c>
      <c r="B1140" s="12" t="s">
        <v>6123</v>
      </c>
      <c r="C1140" s="12" t="s">
        <v>106</v>
      </c>
      <c r="D1140" s="12" t="s">
        <v>5753</v>
      </c>
      <c r="E1140" s="12" t="s">
        <v>5753</v>
      </c>
      <c r="F1140" s="12" t="s">
        <v>2500</v>
      </c>
      <c r="G1140" s="12" t="s">
        <v>830</v>
      </c>
      <c r="H1140" s="12" t="s">
        <v>3276</v>
      </c>
      <c r="I1140" s="12" t="s">
        <v>847</v>
      </c>
      <c r="J1140" s="13" t="s">
        <v>3277</v>
      </c>
      <c r="K1140" s="12"/>
      <c r="L1140" s="12" t="s">
        <v>6124</v>
      </c>
      <c r="M1140" s="12" t="s">
        <v>6125</v>
      </c>
      <c r="N1140" s="12" t="s">
        <v>352</v>
      </c>
      <c r="O1140" s="12" t="s">
        <v>102</v>
      </c>
      <c r="P1140" s="12" t="s">
        <v>103</v>
      </c>
      <c r="Q1140" s="12" t="s">
        <v>104</v>
      </c>
      <c r="R1140" s="14" t="n">
        <v>55.27</v>
      </c>
      <c r="S1140" s="14" t="s">
        <v>129</v>
      </c>
      <c r="T1140" s="14" t="s">
        <v>653</v>
      </c>
      <c r="U1140" s="14" t="n">
        <v>2020</v>
      </c>
      <c r="V1140" s="12" t="s">
        <v>157</v>
      </c>
      <c r="W1140" s="14"/>
      <c r="X1140" s="15" t="n">
        <f aca="false">IF(OR($S1140="%",$R1140=""),"",$R1140*INDEX(Cambi!$J$2:$J$5,MATCH($S1140,Cambi!$I$2:$I$5,0))/IF($T1140="EUR",1,INDEX(Cambi!$D:$D,MATCH($T1140&amp;"|"&amp;$U1140,Cambi!$C:$C,0))))</f>
        <v>48389.0737173875</v>
      </c>
      <c r="Y1140" s="12" t="s">
        <v>109</v>
      </c>
      <c r="Z1140" s="12" t="s">
        <v>285</v>
      </c>
      <c r="AA1140" s="12" t="s">
        <v>6126</v>
      </c>
      <c r="AB1140" s="16" t="s">
        <v>394</v>
      </c>
      <c r="AC1140" s="16" t="s">
        <v>6127</v>
      </c>
      <c r="AD1140" s="12" t="s">
        <v>617</v>
      </c>
      <c r="AE1140" s="12" t="s">
        <v>6128</v>
      </c>
      <c r="AF1140" s="12" t="s">
        <v>6129</v>
      </c>
      <c r="AG1140" s="12" t="s">
        <v>115</v>
      </c>
      <c r="AH1140" s="12" t="s">
        <v>838</v>
      </c>
      <c r="AI1140" s="12" t="s">
        <v>117</v>
      </c>
      <c r="AJ1140" s="12" t="s">
        <v>6130</v>
      </c>
      <c r="AK1140" s="12" t="s">
        <v>4</v>
      </c>
    </row>
    <row r="1141" customFormat="false" ht="15" hidden="false" customHeight="false" outlineLevel="0" collapsed="false">
      <c r="A1141" s="11" t="n">
        <v>1140</v>
      </c>
      <c r="B1141" s="12" t="s">
        <v>6123</v>
      </c>
      <c r="C1141" s="12" t="s">
        <v>106</v>
      </c>
      <c r="D1141" s="12" t="s">
        <v>5753</v>
      </c>
      <c r="E1141" s="12" t="s">
        <v>5753</v>
      </c>
      <c r="F1141" s="12" t="s">
        <v>2500</v>
      </c>
      <c r="G1141" s="12" t="s">
        <v>830</v>
      </c>
      <c r="H1141" s="12" t="s">
        <v>3276</v>
      </c>
      <c r="I1141" s="12" t="s">
        <v>847</v>
      </c>
      <c r="J1141" s="13" t="s">
        <v>3277</v>
      </c>
      <c r="K1141" s="12"/>
      <c r="L1141" s="12" t="s">
        <v>6131</v>
      </c>
      <c r="M1141" s="12" t="s">
        <v>6132</v>
      </c>
      <c r="N1141" s="12" t="s">
        <v>352</v>
      </c>
      <c r="O1141" s="12" t="s">
        <v>102</v>
      </c>
      <c r="P1141" s="12" t="s">
        <v>103</v>
      </c>
      <c r="Q1141" s="12" t="s">
        <v>104</v>
      </c>
      <c r="R1141" s="14" t="n">
        <v>81.81</v>
      </c>
      <c r="S1141" s="14" t="s">
        <v>129</v>
      </c>
      <c r="T1141" s="14" t="s">
        <v>653</v>
      </c>
      <c r="U1141" s="14" t="n">
        <v>2025</v>
      </c>
      <c r="V1141" s="12" t="s">
        <v>157</v>
      </c>
      <c r="W1141" s="14"/>
      <c r="X1141" s="15" t="n">
        <f aca="false">IF(OR($S1141="%",$R1141=""),"",$R1141*INDEX(Cambi!$J$2:$J$5,MATCH($S1141,Cambi!$I$2:$I$5,0))/IF($T1141="EUR",1,INDEX(Cambi!$D:$D,MATCH($T1141&amp;"|"&amp;$U1141,Cambi!$C:$C,0))))</f>
        <v>72398.2300884956</v>
      </c>
      <c r="Y1141" s="12" t="s">
        <v>109</v>
      </c>
      <c r="Z1141" s="12" t="s">
        <v>285</v>
      </c>
      <c r="AA1141" s="12" t="s">
        <v>6126</v>
      </c>
      <c r="AB1141" s="16" t="s">
        <v>394</v>
      </c>
      <c r="AC1141" s="16" t="s">
        <v>6127</v>
      </c>
      <c r="AD1141" s="12" t="s">
        <v>617</v>
      </c>
      <c r="AE1141" s="12" t="s">
        <v>6128</v>
      </c>
      <c r="AF1141" s="12" t="s">
        <v>6133</v>
      </c>
      <c r="AG1141" s="12" t="s">
        <v>115</v>
      </c>
      <c r="AH1141" s="12" t="s">
        <v>838</v>
      </c>
      <c r="AI1141" s="12" t="s">
        <v>117</v>
      </c>
      <c r="AJ1141" s="12" t="s">
        <v>6134</v>
      </c>
      <c r="AK1141" s="12" t="s">
        <v>4</v>
      </c>
    </row>
    <row r="1142" customFormat="false" ht="15" hidden="false" customHeight="false" outlineLevel="0" collapsed="false">
      <c r="A1142" s="11" t="n">
        <v>1141</v>
      </c>
      <c r="B1142" s="12" t="s">
        <v>6123</v>
      </c>
      <c r="C1142" s="12" t="s">
        <v>106</v>
      </c>
      <c r="D1142" s="12" t="s">
        <v>5753</v>
      </c>
      <c r="E1142" s="12" t="s">
        <v>5753</v>
      </c>
      <c r="F1142" s="12" t="s">
        <v>2500</v>
      </c>
      <c r="G1142" s="12" t="s">
        <v>830</v>
      </c>
      <c r="H1142" s="12" t="s">
        <v>3276</v>
      </c>
      <c r="I1142" s="12" t="s">
        <v>847</v>
      </c>
      <c r="J1142" s="13" t="s">
        <v>3277</v>
      </c>
      <c r="K1142" s="12"/>
      <c r="L1142" s="12" t="s">
        <v>6135</v>
      </c>
      <c r="M1142" s="12" t="s">
        <v>6136</v>
      </c>
      <c r="N1142" s="12" t="s">
        <v>352</v>
      </c>
      <c r="O1142" s="12" t="s">
        <v>196</v>
      </c>
      <c r="P1142" s="12" t="s">
        <v>214</v>
      </c>
      <c r="Q1142" s="12" t="s">
        <v>6137</v>
      </c>
      <c r="R1142" s="14" t="n">
        <v>24.15</v>
      </c>
      <c r="S1142" s="14" t="s">
        <v>197</v>
      </c>
      <c r="T1142" s="14"/>
      <c r="U1142" s="14" t="n">
        <v>2025</v>
      </c>
      <c r="V1142" s="12" t="s">
        <v>157</v>
      </c>
      <c r="W1142" s="14"/>
      <c r="X1142" s="15" t="str">
        <f aca="false">IF(OR($S1142="%",$R1142=""),"",$R1142*INDEX(Cambi!$J$2:$J$5,MATCH($S1142,Cambi!$I$2:$I$5,0))/IF($T1142="EUR",1,INDEX(Cambi!$D:$D,MATCH($T1142&amp;"|"&amp;$U1142,Cambi!$C:$C,0))))</f>
        <v/>
      </c>
      <c r="Y1142" s="12" t="s">
        <v>109</v>
      </c>
      <c r="Z1142" s="12" t="s">
        <v>285</v>
      </c>
      <c r="AA1142" s="12" t="s">
        <v>6126</v>
      </c>
      <c r="AB1142" s="16" t="s">
        <v>394</v>
      </c>
      <c r="AC1142" s="16" t="s">
        <v>6127</v>
      </c>
      <c r="AD1142" s="12" t="s">
        <v>617</v>
      </c>
      <c r="AE1142" s="12" t="s">
        <v>6128</v>
      </c>
      <c r="AF1142" s="12" t="s">
        <v>6138</v>
      </c>
      <c r="AG1142" s="12" t="s">
        <v>115</v>
      </c>
      <c r="AH1142" s="12" t="s">
        <v>838</v>
      </c>
      <c r="AI1142" s="12" t="s">
        <v>117</v>
      </c>
      <c r="AJ1142" s="12" t="s">
        <v>266</v>
      </c>
      <c r="AK1142" s="12" t="s">
        <v>4</v>
      </c>
    </row>
    <row r="1143" customFormat="false" ht="15" hidden="false" customHeight="false" outlineLevel="0" collapsed="false">
      <c r="A1143" s="11" t="n">
        <v>1142</v>
      </c>
      <c r="B1143" s="12" t="s">
        <v>6123</v>
      </c>
      <c r="C1143" s="12" t="s">
        <v>106</v>
      </c>
      <c r="D1143" s="12" t="s">
        <v>5753</v>
      </c>
      <c r="E1143" s="12" t="s">
        <v>5753</v>
      </c>
      <c r="F1143" s="12" t="s">
        <v>2500</v>
      </c>
      <c r="G1143" s="12" t="s">
        <v>830</v>
      </c>
      <c r="H1143" s="12" t="s">
        <v>3276</v>
      </c>
      <c r="I1143" s="12" t="s">
        <v>847</v>
      </c>
      <c r="J1143" s="13" t="s">
        <v>3277</v>
      </c>
      <c r="K1143" s="12"/>
      <c r="L1143" s="12" t="s">
        <v>6135</v>
      </c>
      <c r="M1143" s="12" t="s">
        <v>6139</v>
      </c>
      <c r="N1143" s="12" t="s">
        <v>352</v>
      </c>
      <c r="O1143" s="12" t="s">
        <v>196</v>
      </c>
      <c r="P1143" s="12" t="s">
        <v>856</v>
      </c>
      <c r="Q1143" s="12" t="s">
        <v>857</v>
      </c>
      <c r="R1143" s="14" t="n">
        <v>70.1</v>
      </c>
      <c r="S1143" s="14" t="s">
        <v>197</v>
      </c>
      <c r="T1143" s="14"/>
      <c r="U1143" s="14" t="n">
        <v>2025</v>
      </c>
      <c r="V1143" s="12" t="s">
        <v>157</v>
      </c>
      <c r="W1143" s="14"/>
      <c r="X1143" s="15" t="str">
        <f aca="false">IF(OR($S1143="%",$R1143=""),"",$R1143*INDEX(Cambi!$J$2:$J$5,MATCH($S1143,Cambi!$I$2:$I$5,0))/IF($T1143="EUR",1,INDEX(Cambi!$D:$D,MATCH($T1143&amp;"|"&amp;$U1143,Cambi!$C:$C,0))))</f>
        <v/>
      </c>
      <c r="Y1143" s="12" t="s">
        <v>109</v>
      </c>
      <c r="Z1143" s="12" t="s">
        <v>285</v>
      </c>
      <c r="AA1143" s="12" t="s">
        <v>6126</v>
      </c>
      <c r="AB1143" s="16" t="s">
        <v>394</v>
      </c>
      <c r="AC1143" s="16" t="s">
        <v>6127</v>
      </c>
      <c r="AD1143" s="12" t="s">
        <v>617</v>
      </c>
      <c r="AE1143" s="12" t="s">
        <v>6128</v>
      </c>
      <c r="AF1143" s="12" t="s">
        <v>6140</v>
      </c>
      <c r="AG1143" s="12" t="s">
        <v>115</v>
      </c>
      <c r="AH1143" s="12" t="s">
        <v>838</v>
      </c>
      <c r="AI1143" s="12" t="s">
        <v>117</v>
      </c>
      <c r="AJ1143" s="12" t="s">
        <v>266</v>
      </c>
      <c r="AK1143" s="12" t="s">
        <v>4</v>
      </c>
    </row>
    <row r="1144" customFormat="false" ht="15" hidden="false" customHeight="false" outlineLevel="0" collapsed="false">
      <c r="A1144" s="11" t="n">
        <v>1143</v>
      </c>
      <c r="B1144" s="12" t="s">
        <v>6123</v>
      </c>
      <c r="C1144" s="12" t="s">
        <v>106</v>
      </c>
      <c r="D1144" s="12" t="s">
        <v>5753</v>
      </c>
      <c r="E1144" s="12" t="s">
        <v>5753</v>
      </c>
      <c r="F1144" s="12" t="s">
        <v>2500</v>
      </c>
      <c r="G1144" s="12" t="s">
        <v>830</v>
      </c>
      <c r="H1144" s="12" t="s">
        <v>3276</v>
      </c>
      <c r="I1144" s="12" t="s">
        <v>847</v>
      </c>
      <c r="J1144" s="13" t="s">
        <v>3277</v>
      </c>
      <c r="K1144" s="12"/>
      <c r="L1144" s="12" t="s">
        <v>6135</v>
      </c>
      <c r="M1144" s="12" t="s">
        <v>6141</v>
      </c>
      <c r="N1144" s="12" t="s">
        <v>352</v>
      </c>
      <c r="O1144" s="12" t="s">
        <v>196</v>
      </c>
      <c r="P1144" s="12" t="s">
        <v>155</v>
      </c>
      <c r="Q1144" s="12" t="s">
        <v>787</v>
      </c>
      <c r="R1144" s="14" t="n">
        <v>54.08</v>
      </c>
      <c r="S1144" s="14" t="s">
        <v>197</v>
      </c>
      <c r="T1144" s="14"/>
      <c r="U1144" s="14" t="n">
        <v>2025</v>
      </c>
      <c r="V1144" s="12" t="s">
        <v>157</v>
      </c>
      <c r="W1144" s="14"/>
      <c r="X1144" s="15" t="str">
        <f aca="false">IF(OR($S1144="%",$R1144=""),"",$R1144*INDEX(Cambi!$J$2:$J$5,MATCH($S1144,Cambi!$I$2:$I$5,0))/IF($T1144="EUR",1,INDEX(Cambi!$D:$D,MATCH($T1144&amp;"|"&amp;$U1144,Cambi!$C:$C,0))))</f>
        <v/>
      </c>
      <c r="Y1144" s="12" t="s">
        <v>109</v>
      </c>
      <c r="Z1144" s="12" t="s">
        <v>285</v>
      </c>
      <c r="AA1144" s="12" t="s">
        <v>6126</v>
      </c>
      <c r="AB1144" s="16" t="s">
        <v>394</v>
      </c>
      <c r="AC1144" s="16" t="s">
        <v>6127</v>
      </c>
      <c r="AD1144" s="12" t="s">
        <v>617</v>
      </c>
      <c r="AE1144" s="12" t="s">
        <v>6128</v>
      </c>
      <c r="AF1144" s="12" t="s">
        <v>6142</v>
      </c>
      <c r="AG1144" s="12" t="s">
        <v>115</v>
      </c>
      <c r="AH1144" s="12" t="s">
        <v>838</v>
      </c>
      <c r="AI1144" s="12" t="s">
        <v>117</v>
      </c>
      <c r="AJ1144" s="12" t="s">
        <v>6143</v>
      </c>
      <c r="AK1144" s="12" t="s">
        <v>4</v>
      </c>
    </row>
    <row r="1145" customFormat="false" ht="15" hidden="false" customHeight="false" outlineLevel="0" collapsed="false">
      <c r="A1145" s="11" t="n">
        <v>1144</v>
      </c>
      <c r="B1145" s="12" t="s">
        <v>6123</v>
      </c>
      <c r="C1145" s="12" t="s">
        <v>106</v>
      </c>
      <c r="D1145" s="12" t="s">
        <v>5753</v>
      </c>
      <c r="E1145" s="12" t="s">
        <v>5753</v>
      </c>
      <c r="F1145" s="12" t="s">
        <v>2500</v>
      </c>
      <c r="G1145" s="12" t="s">
        <v>830</v>
      </c>
      <c r="H1145" s="12" t="s">
        <v>3276</v>
      </c>
      <c r="I1145" s="12" t="s">
        <v>847</v>
      </c>
      <c r="J1145" s="13" t="s">
        <v>3277</v>
      </c>
      <c r="K1145" s="12"/>
      <c r="L1145" s="12" t="s">
        <v>6144</v>
      </c>
      <c r="M1145" s="12" t="s">
        <v>6145</v>
      </c>
      <c r="N1145" s="12" t="s">
        <v>352</v>
      </c>
      <c r="O1145" s="12" t="s">
        <v>102</v>
      </c>
      <c r="P1145" s="12" t="s">
        <v>103</v>
      </c>
      <c r="Q1145" s="12" t="s">
        <v>104</v>
      </c>
      <c r="R1145" s="14" t="n">
        <v>88.48</v>
      </c>
      <c r="S1145" s="14" t="s">
        <v>129</v>
      </c>
      <c r="T1145" s="14" t="s">
        <v>653</v>
      </c>
      <c r="U1145" s="14" t="n">
        <v>2026</v>
      </c>
      <c r="V1145" s="12" t="s">
        <v>198</v>
      </c>
      <c r="W1145" s="14"/>
      <c r="X1145" s="15" t="n">
        <f aca="false">IF(OR($S1145="%",$R1145=""),"",$R1145*INDEX(Cambi!$J$2:$J$5,MATCH($S1145,Cambi!$I$2:$I$5,0))/IF($T1145="EUR",1,INDEX(Cambi!$D:$D,MATCH($T1145&amp;"|"&amp;$U1145,Cambi!$C:$C,0))))</f>
        <v>78300.8849557522</v>
      </c>
      <c r="Y1145" s="12" t="s">
        <v>109</v>
      </c>
      <c r="Z1145" s="12" t="s">
        <v>285</v>
      </c>
      <c r="AA1145" s="12" t="s">
        <v>6126</v>
      </c>
      <c r="AB1145" s="16" t="s">
        <v>394</v>
      </c>
      <c r="AC1145" s="16" t="s">
        <v>6127</v>
      </c>
      <c r="AD1145" s="12" t="s">
        <v>617</v>
      </c>
      <c r="AE1145" s="12" t="s">
        <v>6128</v>
      </c>
      <c r="AF1145" s="12" t="s">
        <v>6133</v>
      </c>
      <c r="AG1145" s="12" t="s">
        <v>115</v>
      </c>
      <c r="AH1145" s="12" t="s">
        <v>838</v>
      </c>
      <c r="AI1145" s="12" t="s">
        <v>117</v>
      </c>
      <c r="AJ1145" s="12" t="s">
        <v>6146</v>
      </c>
      <c r="AK1145" s="12" t="s">
        <v>4</v>
      </c>
    </row>
    <row r="1146" customFormat="false" ht="15" hidden="false" customHeight="false" outlineLevel="0" collapsed="false">
      <c r="A1146" s="11" t="n">
        <v>1145</v>
      </c>
      <c r="B1146" s="12" t="s">
        <v>6123</v>
      </c>
      <c r="C1146" s="12" t="s">
        <v>106</v>
      </c>
      <c r="D1146" s="12" t="s">
        <v>5753</v>
      </c>
      <c r="E1146" s="12" t="s">
        <v>5753</v>
      </c>
      <c r="F1146" s="12" t="s">
        <v>2500</v>
      </c>
      <c r="G1146" s="12" t="s">
        <v>830</v>
      </c>
      <c r="H1146" s="12" t="s">
        <v>3276</v>
      </c>
      <c r="I1146" s="12" t="s">
        <v>847</v>
      </c>
      <c r="J1146" s="13" t="s">
        <v>3277</v>
      </c>
      <c r="K1146" s="12"/>
      <c r="L1146" s="12" t="s">
        <v>6147</v>
      </c>
      <c r="M1146" s="12" t="s">
        <v>6148</v>
      </c>
      <c r="N1146" s="12" t="s">
        <v>352</v>
      </c>
      <c r="O1146" s="12" t="s">
        <v>102</v>
      </c>
      <c r="P1146" s="12" t="s">
        <v>103</v>
      </c>
      <c r="Q1146" s="12" t="s">
        <v>104</v>
      </c>
      <c r="R1146" s="14" t="n">
        <v>121.1</v>
      </c>
      <c r="S1146" s="14" t="s">
        <v>129</v>
      </c>
      <c r="T1146" s="14" t="s">
        <v>653</v>
      </c>
      <c r="U1146" s="14" t="n">
        <v>2030</v>
      </c>
      <c r="V1146" s="12" t="s">
        <v>107</v>
      </c>
      <c r="W1146" s="14"/>
      <c r="X1146" s="15" t="n">
        <f aca="false">IF(OR($S1146="%",$R1146=""),"",$R1146*INDEX(Cambi!$J$2:$J$5,MATCH($S1146,Cambi!$I$2:$I$5,0))/IF($T1146="EUR",1,INDEX(Cambi!$D:$D,MATCH($T1146&amp;"|"&amp;$U1146,Cambi!$C:$C,0))))</f>
        <v>107168.14159292</v>
      </c>
      <c r="Y1146" s="12" t="s">
        <v>109</v>
      </c>
      <c r="Z1146" s="12" t="s">
        <v>285</v>
      </c>
      <c r="AA1146" s="12" t="s">
        <v>6126</v>
      </c>
      <c r="AB1146" s="16" t="s">
        <v>394</v>
      </c>
      <c r="AC1146" s="16" t="s">
        <v>6127</v>
      </c>
      <c r="AD1146" s="12" t="s">
        <v>617</v>
      </c>
      <c r="AE1146" s="12" t="s">
        <v>6128</v>
      </c>
      <c r="AF1146" s="12" t="s">
        <v>6149</v>
      </c>
      <c r="AG1146" s="12" t="s">
        <v>115</v>
      </c>
      <c r="AH1146" s="12" t="s">
        <v>838</v>
      </c>
      <c r="AI1146" s="12" t="s">
        <v>117</v>
      </c>
      <c r="AJ1146" s="12" t="s">
        <v>266</v>
      </c>
      <c r="AK1146" s="12" t="s">
        <v>4</v>
      </c>
    </row>
    <row r="1147" customFormat="false" ht="15" hidden="false" customHeight="false" outlineLevel="0" collapsed="false">
      <c r="A1147" s="11" t="n">
        <v>1146</v>
      </c>
      <c r="B1147" s="12" t="s">
        <v>6123</v>
      </c>
      <c r="C1147" s="12" t="s">
        <v>106</v>
      </c>
      <c r="D1147" s="12" t="s">
        <v>5753</v>
      </c>
      <c r="E1147" s="12" t="s">
        <v>5753</v>
      </c>
      <c r="F1147" s="12" t="s">
        <v>2500</v>
      </c>
      <c r="G1147" s="12" t="s">
        <v>830</v>
      </c>
      <c r="H1147" s="12" t="s">
        <v>3276</v>
      </c>
      <c r="I1147" s="12" t="s">
        <v>847</v>
      </c>
      <c r="J1147" s="13" t="s">
        <v>3277</v>
      </c>
      <c r="K1147" s="12"/>
      <c r="L1147" s="12" t="s">
        <v>6150</v>
      </c>
      <c r="M1147" s="12" t="s">
        <v>6151</v>
      </c>
      <c r="N1147" s="12" t="s">
        <v>352</v>
      </c>
      <c r="O1147" s="12" t="s">
        <v>102</v>
      </c>
      <c r="P1147" s="12" t="s">
        <v>103</v>
      </c>
      <c r="Q1147" s="12" t="s">
        <v>104</v>
      </c>
      <c r="R1147" s="14" t="n">
        <v>165.73</v>
      </c>
      <c r="S1147" s="14" t="s">
        <v>129</v>
      </c>
      <c r="T1147" s="14" t="s">
        <v>653</v>
      </c>
      <c r="U1147" s="14" t="n">
        <v>2034</v>
      </c>
      <c r="V1147" s="12" t="s">
        <v>107</v>
      </c>
      <c r="W1147" s="14" t="s">
        <v>6152</v>
      </c>
      <c r="X1147" s="15" t="n">
        <f aca="false">IF(OR($S1147="%",$R1147=""),"",$R1147*INDEX(Cambi!$J$2:$J$5,MATCH($S1147,Cambi!$I$2:$I$5,0))/IF($T1147="EUR",1,INDEX(Cambi!$D:$D,MATCH($T1147&amp;"|"&amp;$U1147,Cambi!$C:$C,0))))</f>
        <v>146663.716814159</v>
      </c>
      <c r="Y1147" s="12" t="s">
        <v>109</v>
      </c>
      <c r="Z1147" s="12" t="s">
        <v>285</v>
      </c>
      <c r="AA1147" s="12" t="s">
        <v>6126</v>
      </c>
      <c r="AB1147" s="16" t="s">
        <v>394</v>
      </c>
      <c r="AC1147" s="16" t="s">
        <v>6127</v>
      </c>
      <c r="AD1147" s="12" t="s">
        <v>617</v>
      </c>
      <c r="AE1147" s="12" t="s">
        <v>6128</v>
      </c>
      <c r="AF1147" s="12" t="s">
        <v>6153</v>
      </c>
      <c r="AG1147" s="12" t="s">
        <v>115</v>
      </c>
      <c r="AH1147" s="12" t="s">
        <v>838</v>
      </c>
      <c r="AI1147" s="12" t="s">
        <v>117</v>
      </c>
      <c r="AJ1147" s="12" t="s">
        <v>266</v>
      </c>
      <c r="AK1147" s="12" t="s">
        <v>4</v>
      </c>
    </row>
    <row r="1148" customFormat="false" ht="15" hidden="false" customHeight="false" outlineLevel="0" collapsed="false">
      <c r="A1148" s="11" t="n">
        <v>1147</v>
      </c>
      <c r="B1148" s="12" t="s">
        <v>6154</v>
      </c>
      <c r="C1148" s="12" t="s">
        <v>106</v>
      </c>
      <c r="D1148" s="12" t="s">
        <v>5753</v>
      </c>
      <c r="E1148" s="12" t="s">
        <v>5753</v>
      </c>
      <c r="F1148" s="12" t="s">
        <v>2513</v>
      </c>
      <c r="G1148" s="12" t="s">
        <v>830</v>
      </c>
      <c r="H1148" s="12" t="s">
        <v>6155</v>
      </c>
      <c r="I1148" s="12" t="s">
        <v>6156</v>
      </c>
      <c r="J1148" s="13" t="s">
        <v>6157</v>
      </c>
      <c r="K1148" s="12"/>
      <c r="L1148" s="12" t="s">
        <v>6158</v>
      </c>
      <c r="M1148" s="12" t="s">
        <v>6159</v>
      </c>
      <c r="N1148" s="12" t="s">
        <v>352</v>
      </c>
      <c r="O1148" s="12" t="s">
        <v>213</v>
      </c>
      <c r="P1148" s="12" t="s">
        <v>103</v>
      </c>
      <c r="Q1148" s="12" t="s">
        <v>104</v>
      </c>
      <c r="R1148" s="14" t="n">
        <v>9</v>
      </c>
      <c r="S1148" s="14" t="s">
        <v>197</v>
      </c>
      <c r="T1148" s="14"/>
      <c r="U1148" s="14" t="n">
        <v>2023</v>
      </c>
      <c r="V1148" s="12" t="s">
        <v>107</v>
      </c>
      <c r="W1148" s="14"/>
      <c r="X1148" s="15" t="str">
        <f aca="false">IF(OR($S1148="%",$R1148=""),"",$R1148*INDEX(Cambi!$J$2:$J$5,MATCH($S1148,Cambi!$I$2:$I$5,0))/IF($T1148="EUR",1,INDEX(Cambi!$D:$D,MATCH($T1148&amp;"|"&amp;$U1148,Cambi!$C:$C,0))))</f>
        <v/>
      </c>
      <c r="Y1148" s="12" t="s">
        <v>109</v>
      </c>
      <c r="Z1148" s="12" t="s">
        <v>285</v>
      </c>
      <c r="AA1148" s="12" t="s">
        <v>6160</v>
      </c>
      <c r="AB1148" s="16" t="s">
        <v>110</v>
      </c>
      <c r="AC1148" s="16" t="s">
        <v>5837</v>
      </c>
      <c r="AD1148" s="12" t="s">
        <v>112</v>
      </c>
      <c r="AE1148" s="12" t="s">
        <v>282</v>
      </c>
      <c r="AF1148" s="12" t="s">
        <v>6161</v>
      </c>
      <c r="AG1148" s="12" t="s">
        <v>284</v>
      </c>
      <c r="AH1148" s="12" t="s">
        <v>838</v>
      </c>
      <c r="AI1148" s="12" t="s">
        <v>117</v>
      </c>
      <c r="AJ1148" s="12" t="s">
        <v>6162</v>
      </c>
      <c r="AK1148" s="12" t="s">
        <v>4</v>
      </c>
    </row>
    <row r="1149" customFormat="false" ht="15" hidden="false" customHeight="false" outlineLevel="0" collapsed="false">
      <c r="A1149" s="11" t="n">
        <v>1148</v>
      </c>
      <c r="B1149" s="12" t="s">
        <v>6163</v>
      </c>
      <c r="C1149" s="12" t="s">
        <v>106</v>
      </c>
      <c r="D1149" s="12" t="s">
        <v>5753</v>
      </c>
      <c r="E1149" s="12" t="s">
        <v>5753</v>
      </c>
      <c r="F1149" s="12" t="s">
        <v>6164</v>
      </c>
      <c r="G1149" s="12" t="s">
        <v>830</v>
      </c>
      <c r="H1149" s="12" t="s">
        <v>6165</v>
      </c>
      <c r="I1149" s="12" t="s">
        <v>6166</v>
      </c>
      <c r="J1149" s="13" t="s">
        <v>6167</v>
      </c>
      <c r="K1149" s="12"/>
      <c r="L1149" s="12" t="s">
        <v>6168</v>
      </c>
      <c r="M1149" s="12" t="s">
        <v>6169</v>
      </c>
      <c r="N1149" s="12" t="s">
        <v>352</v>
      </c>
      <c r="O1149" s="12" t="s">
        <v>196</v>
      </c>
      <c r="P1149" s="12" t="s">
        <v>155</v>
      </c>
      <c r="Q1149" s="12" t="s">
        <v>787</v>
      </c>
      <c r="R1149" s="14" t="n">
        <v>58.3</v>
      </c>
      <c r="S1149" s="14" t="s">
        <v>197</v>
      </c>
      <c r="T1149" s="14"/>
      <c r="U1149" s="14" t="n">
        <v>2024</v>
      </c>
      <c r="V1149" s="12" t="s">
        <v>157</v>
      </c>
      <c r="W1149" s="14"/>
      <c r="X1149" s="15" t="str">
        <f aca="false">IF(OR($S1149="%",$R1149=""),"",$R1149*INDEX(Cambi!$J$2:$J$5,MATCH($S1149,Cambi!$I$2:$I$5,0))/IF($T1149="EUR",1,INDEX(Cambi!$D:$D,MATCH($T1149&amp;"|"&amp;$U1149,Cambi!$C:$C,0))))</f>
        <v/>
      </c>
      <c r="Y1149" s="12" t="s">
        <v>109</v>
      </c>
      <c r="Z1149" s="12" t="s">
        <v>285</v>
      </c>
      <c r="AA1149" s="12" t="s">
        <v>109</v>
      </c>
      <c r="AB1149" s="16" t="s">
        <v>110</v>
      </c>
      <c r="AC1149" s="16" t="s">
        <v>5837</v>
      </c>
      <c r="AD1149" s="12" t="s">
        <v>112</v>
      </c>
      <c r="AE1149" s="12" t="s">
        <v>282</v>
      </c>
      <c r="AF1149" s="12" t="s">
        <v>6170</v>
      </c>
      <c r="AG1149" s="12" t="s">
        <v>284</v>
      </c>
      <c r="AH1149" s="12" t="s">
        <v>838</v>
      </c>
      <c r="AI1149" s="12" t="s">
        <v>117</v>
      </c>
      <c r="AJ1149" s="12" t="s">
        <v>266</v>
      </c>
      <c r="AK1149" s="12" t="s">
        <v>4</v>
      </c>
    </row>
    <row r="1150" customFormat="false" ht="15" hidden="false" customHeight="false" outlineLevel="0" collapsed="false">
      <c r="A1150" s="11" t="n">
        <v>1149</v>
      </c>
      <c r="B1150" s="12" t="s">
        <v>6163</v>
      </c>
      <c r="C1150" s="12" t="s">
        <v>106</v>
      </c>
      <c r="D1150" s="12" t="s">
        <v>5753</v>
      </c>
      <c r="E1150" s="12" t="s">
        <v>5753</v>
      </c>
      <c r="F1150" s="12" t="s">
        <v>6164</v>
      </c>
      <c r="G1150" s="12" t="s">
        <v>830</v>
      </c>
      <c r="H1150" s="12" t="s">
        <v>6165</v>
      </c>
      <c r="I1150" s="12" t="s">
        <v>6166</v>
      </c>
      <c r="J1150" s="13" t="s">
        <v>6167</v>
      </c>
      <c r="K1150" s="12"/>
      <c r="L1150" s="12" t="s">
        <v>6171</v>
      </c>
      <c r="M1150" s="12" t="s">
        <v>6172</v>
      </c>
      <c r="N1150" s="12" t="s">
        <v>352</v>
      </c>
      <c r="O1150" s="12" t="s">
        <v>102</v>
      </c>
      <c r="P1150" s="12" t="s">
        <v>103</v>
      </c>
      <c r="Q1150" s="12" t="s">
        <v>104</v>
      </c>
      <c r="R1150" s="14" t="n">
        <v>76.21</v>
      </c>
      <c r="S1150" s="14" t="s">
        <v>129</v>
      </c>
      <c r="T1150" s="14" t="s">
        <v>653</v>
      </c>
      <c r="U1150" s="14" t="n">
        <v>2025</v>
      </c>
      <c r="V1150" s="12" t="s">
        <v>157</v>
      </c>
      <c r="W1150" s="14"/>
      <c r="X1150" s="15" t="n">
        <f aca="false">IF(OR($S1150="%",$R1150=""),"",$R1150*INDEX(Cambi!$J$2:$J$5,MATCH($S1150,Cambi!$I$2:$I$5,0))/IF($T1150="EUR",1,INDEX(Cambi!$D:$D,MATCH($T1150&amp;"|"&amp;$U1150,Cambi!$C:$C,0))))</f>
        <v>67442.4778761062</v>
      </c>
      <c r="Y1150" s="12" t="s">
        <v>109</v>
      </c>
      <c r="Z1150" s="12" t="s">
        <v>285</v>
      </c>
      <c r="AA1150" s="12" t="s">
        <v>109</v>
      </c>
      <c r="AB1150" s="16" t="s">
        <v>110</v>
      </c>
      <c r="AC1150" s="16" t="s">
        <v>5837</v>
      </c>
      <c r="AD1150" s="12" t="s">
        <v>112</v>
      </c>
      <c r="AE1150" s="12" t="s">
        <v>282</v>
      </c>
      <c r="AF1150" s="12" t="s">
        <v>6173</v>
      </c>
      <c r="AG1150" s="12" t="s">
        <v>284</v>
      </c>
      <c r="AH1150" s="12" t="s">
        <v>838</v>
      </c>
      <c r="AI1150" s="12" t="s">
        <v>117</v>
      </c>
      <c r="AJ1150" s="12" t="s">
        <v>1904</v>
      </c>
      <c r="AK1150" s="12" t="s">
        <v>4</v>
      </c>
    </row>
    <row r="1151" customFormat="false" ht="15" hidden="false" customHeight="false" outlineLevel="0" collapsed="false">
      <c r="A1151" s="11" t="n">
        <v>1150</v>
      </c>
      <c r="B1151" s="12" t="s">
        <v>6163</v>
      </c>
      <c r="C1151" s="12" t="s">
        <v>106</v>
      </c>
      <c r="D1151" s="12" t="s">
        <v>5753</v>
      </c>
      <c r="E1151" s="12" t="s">
        <v>5753</v>
      </c>
      <c r="F1151" s="12" t="s">
        <v>6164</v>
      </c>
      <c r="G1151" s="12" t="s">
        <v>830</v>
      </c>
      <c r="H1151" s="12" t="s">
        <v>6165</v>
      </c>
      <c r="I1151" s="12" t="s">
        <v>6166</v>
      </c>
      <c r="J1151" s="13" t="s">
        <v>6167</v>
      </c>
      <c r="K1151" s="12"/>
      <c r="L1151" s="12" t="s">
        <v>6174</v>
      </c>
      <c r="M1151" s="12" t="s">
        <v>6175</v>
      </c>
      <c r="N1151" s="12" t="s">
        <v>352</v>
      </c>
      <c r="O1151" s="12" t="s">
        <v>102</v>
      </c>
      <c r="P1151" s="12" t="s">
        <v>103</v>
      </c>
      <c r="Q1151" s="12" t="s">
        <v>104</v>
      </c>
      <c r="R1151" s="14" t="n">
        <v>85.68</v>
      </c>
      <c r="S1151" s="14" t="s">
        <v>129</v>
      </c>
      <c r="T1151" s="14" t="s">
        <v>653</v>
      </c>
      <c r="U1151" s="14" t="n">
        <v>2026</v>
      </c>
      <c r="V1151" s="12" t="s">
        <v>198</v>
      </c>
      <c r="W1151" s="14"/>
      <c r="X1151" s="15" t="n">
        <f aca="false">IF(OR($S1151="%",$R1151=""),"",$R1151*INDEX(Cambi!$J$2:$J$5,MATCH($S1151,Cambi!$I$2:$I$5,0))/IF($T1151="EUR",1,INDEX(Cambi!$D:$D,MATCH($T1151&amp;"|"&amp;$U1151,Cambi!$C:$C,0))))</f>
        <v>75823.0088495575</v>
      </c>
      <c r="Y1151" s="12" t="s">
        <v>109</v>
      </c>
      <c r="Z1151" s="12" t="s">
        <v>285</v>
      </c>
      <c r="AA1151" s="12" t="s">
        <v>109</v>
      </c>
      <c r="AB1151" s="16" t="s">
        <v>110</v>
      </c>
      <c r="AC1151" s="16" t="s">
        <v>5837</v>
      </c>
      <c r="AD1151" s="12" t="s">
        <v>112</v>
      </c>
      <c r="AE1151" s="12" t="s">
        <v>282</v>
      </c>
      <c r="AF1151" s="12" t="s">
        <v>6176</v>
      </c>
      <c r="AG1151" s="12" t="s">
        <v>284</v>
      </c>
      <c r="AH1151" s="12" t="s">
        <v>838</v>
      </c>
      <c r="AI1151" s="12" t="s">
        <v>117</v>
      </c>
      <c r="AJ1151" s="12" t="s">
        <v>2034</v>
      </c>
      <c r="AK1151" s="12" t="s">
        <v>4</v>
      </c>
    </row>
    <row r="1152" customFormat="false" ht="15" hidden="false" customHeight="false" outlineLevel="0" collapsed="false">
      <c r="A1152" s="11" t="n">
        <v>1151</v>
      </c>
      <c r="B1152" s="12" t="s">
        <v>6163</v>
      </c>
      <c r="C1152" s="12" t="s">
        <v>106</v>
      </c>
      <c r="D1152" s="12" t="s">
        <v>5753</v>
      </c>
      <c r="E1152" s="12" t="s">
        <v>5753</v>
      </c>
      <c r="F1152" s="12" t="s">
        <v>6164</v>
      </c>
      <c r="G1152" s="12" t="s">
        <v>830</v>
      </c>
      <c r="H1152" s="12" t="s">
        <v>6165</v>
      </c>
      <c r="I1152" s="12" t="s">
        <v>6166</v>
      </c>
      <c r="J1152" s="13" t="s">
        <v>6167</v>
      </c>
      <c r="K1152" s="12"/>
      <c r="L1152" s="12" t="s">
        <v>6177</v>
      </c>
      <c r="M1152" s="12" t="s">
        <v>6178</v>
      </c>
      <c r="N1152" s="12" t="s">
        <v>352</v>
      </c>
      <c r="O1152" s="12" t="s">
        <v>102</v>
      </c>
      <c r="P1152" s="12" t="s">
        <v>103</v>
      </c>
      <c r="Q1152" s="12" t="s">
        <v>104</v>
      </c>
      <c r="R1152" s="14" t="n">
        <v>218.58</v>
      </c>
      <c r="S1152" s="14" t="s">
        <v>129</v>
      </c>
      <c r="T1152" s="14" t="s">
        <v>653</v>
      </c>
      <c r="U1152" s="14" t="n">
        <v>2034</v>
      </c>
      <c r="V1152" s="12" t="s">
        <v>107</v>
      </c>
      <c r="W1152" s="14" t="s">
        <v>6179</v>
      </c>
      <c r="X1152" s="15" t="n">
        <f aca="false">IF(OR($S1152="%",$R1152=""),"",$R1152*INDEX(Cambi!$J$2:$J$5,MATCH($S1152,Cambi!$I$2:$I$5,0))/IF($T1152="EUR",1,INDEX(Cambi!$D:$D,MATCH($T1152&amp;"|"&amp;$U1152,Cambi!$C:$C,0))))</f>
        <v>193433.628318584</v>
      </c>
      <c r="Y1152" s="12" t="s">
        <v>109</v>
      </c>
      <c r="Z1152" s="12" t="s">
        <v>285</v>
      </c>
      <c r="AA1152" s="12" t="s">
        <v>109</v>
      </c>
      <c r="AB1152" s="16" t="s">
        <v>110</v>
      </c>
      <c r="AC1152" s="16" t="s">
        <v>5837</v>
      </c>
      <c r="AD1152" s="12" t="s">
        <v>112</v>
      </c>
      <c r="AE1152" s="12" t="s">
        <v>282</v>
      </c>
      <c r="AF1152" s="12" t="s">
        <v>6180</v>
      </c>
      <c r="AG1152" s="12" t="s">
        <v>284</v>
      </c>
      <c r="AH1152" s="12" t="s">
        <v>838</v>
      </c>
      <c r="AI1152" s="12" t="s">
        <v>117</v>
      </c>
      <c r="AJ1152" s="12" t="s">
        <v>266</v>
      </c>
      <c r="AK1152" s="12" t="s">
        <v>4</v>
      </c>
    </row>
    <row r="1153" customFormat="false" ht="15" hidden="false" customHeight="false" outlineLevel="0" collapsed="false">
      <c r="A1153" s="11" t="n">
        <v>1152</v>
      </c>
      <c r="B1153" s="12" t="s">
        <v>6181</v>
      </c>
      <c r="C1153" s="12" t="s">
        <v>106</v>
      </c>
      <c r="D1153" s="12" t="s">
        <v>5753</v>
      </c>
      <c r="E1153" s="12" t="s">
        <v>5753</v>
      </c>
      <c r="F1153" s="12" t="s">
        <v>1984</v>
      </c>
      <c r="G1153" s="12" t="s">
        <v>830</v>
      </c>
      <c r="H1153" s="12" t="s">
        <v>6182</v>
      </c>
      <c r="I1153" s="12" t="s">
        <v>181</v>
      </c>
      <c r="J1153" s="13" t="s">
        <v>6183</v>
      </c>
      <c r="K1153" s="12"/>
      <c r="L1153" s="12" t="s">
        <v>6184</v>
      </c>
      <c r="M1153" s="12" t="s">
        <v>6185</v>
      </c>
      <c r="N1153" s="12" t="s">
        <v>352</v>
      </c>
      <c r="O1153" s="12" t="s">
        <v>102</v>
      </c>
      <c r="P1153" s="12" t="s">
        <v>103</v>
      </c>
      <c r="Q1153" s="12" t="s">
        <v>104</v>
      </c>
      <c r="R1153" s="14" t="n">
        <v>50.22</v>
      </c>
      <c r="S1153" s="14" t="s">
        <v>129</v>
      </c>
      <c r="T1153" s="14" t="s">
        <v>653</v>
      </c>
      <c r="U1153" s="14" t="n">
        <v>2024</v>
      </c>
      <c r="V1153" s="12" t="s">
        <v>157</v>
      </c>
      <c r="W1153" s="14"/>
      <c r="X1153" s="15" t="n">
        <f aca="false">IF(OR($S1153="%",$R1153=""),"",$R1153*INDEX(Cambi!$J$2:$J$5,MATCH($S1153,Cambi!$I$2:$I$5,0))/IF($T1153="EUR",1,INDEX(Cambi!$D:$D,MATCH($T1153&amp;"|"&amp;$U1153,Cambi!$C:$C,0))))</f>
        <v>46396.8957871397</v>
      </c>
      <c r="Y1153" s="12" t="s">
        <v>109</v>
      </c>
      <c r="Z1153" s="12" t="s">
        <v>285</v>
      </c>
      <c r="AA1153" s="12" t="s">
        <v>6186</v>
      </c>
      <c r="AB1153" s="12" t="s">
        <v>3261</v>
      </c>
      <c r="AC1153" s="12" t="s">
        <v>395</v>
      </c>
      <c r="AD1153" s="12" t="s">
        <v>201</v>
      </c>
      <c r="AE1153" s="12" t="s">
        <v>6187</v>
      </c>
      <c r="AF1153" s="12" t="s">
        <v>6188</v>
      </c>
      <c r="AG1153" s="12" t="s">
        <v>498</v>
      </c>
      <c r="AH1153" s="12" t="s">
        <v>838</v>
      </c>
      <c r="AI1153" s="12" t="s">
        <v>117</v>
      </c>
      <c r="AJ1153" s="12" t="s">
        <v>6189</v>
      </c>
      <c r="AK1153" s="12" t="s">
        <v>4</v>
      </c>
    </row>
    <row r="1154" customFormat="false" ht="15" hidden="false" customHeight="false" outlineLevel="0" collapsed="false">
      <c r="A1154" s="11" t="n">
        <v>1153</v>
      </c>
      <c r="B1154" s="12" t="s">
        <v>6181</v>
      </c>
      <c r="C1154" s="12" t="s">
        <v>106</v>
      </c>
      <c r="D1154" s="12" t="s">
        <v>5753</v>
      </c>
      <c r="E1154" s="12" t="s">
        <v>5753</v>
      </c>
      <c r="F1154" s="12" t="s">
        <v>1984</v>
      </c>
      <c r="G1154" s="12" t="s">
        <v>830</v>
      </c>
      <c r="H1154" s="12" t="s">
        <v>6182</v>
      </c>
      <c r="I1154" s="12" t="s">
        <v>181</v>
      </c>
      <c r="J1154" s="13" t="s">
        <v>6183</v>
      </c>
      <c r="K1154" s="12"/>
      <c r="L1154" s="12" t="s">
        <v>5983</v>
      </c>
      <c r="M1154" s="12" t="s">
        <v>6190</v>
      </c>
      <c r="N1154" s="12" t="s">
        <v>352</v>
      </c>
      <c r="O1154" s="12" t="s">
        <v>102</v>
      </c>
      <c r="P1154" s="12" t="s">
        <v>103</v>
      </c>
      <c r="Q1154" s="12" t="s">
        <v>104</v>
      </c>
      <c r="R1154" s="14" t="n">
        <v>54.77</v>
      </c>
      <c r="S1154" s="14" t="s">
        <v>129</v>
      </c>
      <c r="T1154" s="14" t="s">
        <v>653</v>
      </c>
      <c r="U1154" s="14" t="n">
        <v>2025</v>
      </c>
      <c r="V1154" s="12" t="s">
        <v>107</v>
      </c>
      <c r="W1154" s="14"/>
      <c r="X1154" s="15" t="n">
        <f aca="false">IF(OR($S1154="%",$R1154=""),"",$R1154*INDEX(Cambi!$J$2:$J$5,MATCH($S1154,Cambi!$I$2:$I$5,0))/IF($T1154="EUR",1,INDEX(Cambi!$D:$D,MATCH($T1154&amp;"|"&amp;$U1154,Cambi!$C:$C,0))))</f>
        <v>48469.0265486726</v>
      </c>
      <c r="Y1154" s="12" t="s">
        <v>109</v>
      </c>
      <c r="Z1154" s="12" t="s">
        <v>285</v>
      </c>
      <c r="AA1154" s="12" t="s">
        <v>6186</v>
      </c>
      <c r="AB1154" s="12" t="s">
        <v>3261</v>
      </c>
      <c r="AC1154" s="12" t="s">
        <v>395</v>
      </c>
      <c r="AD1154" s="12" t="s">
        <v>201</v>
      </c>
      <c r="AE1154" s="12" t="s">
        <v>6187</v>
      </c>
      <c r="AF1154" s="12" t="s">
        <v>6191</v>
      </c>
      <c r="AG1154" s="12" t="s">
        <v>498</v>
      </c>
      <c r="AH1154" s="12" t="s">
        <v>838</v>
      </c>
      <c r="AI1154" s="12" t="s">
        <v>117</v>
      </c>
      <c r="AJ1154" s="12" t="s">
        <v>266</v>
      </c>
      <c r="AK1154" s="12" t="s">
        <v>4</v>
      </c>
    </row>
    <row r="1155" customFormat="false" ht="15" hidden="false" customHeight="false" outlineLevel="0" collapsed="false">
      <c r="A1155" s="11" t="n">
        <v>1154</v>
      </c>
      <c r="B1155" s="12" t="s">
        <v>6181</v>
      </c>
      <c r="C1155" s="12" t="s">
        <v>106</v>
      </c>
      <c r="D1155" s="12" t="s">
        <v>5753</v>
      </c>
      <c r="E1155" s="12" t="s">
        <v>5753</v>
      </c>
      <c r="F1155" s="12" t="s">
        <v>1984</v>
      </c>
      <c r="G1155" s="12" t="s">
        <v>830</v>
      </c>
      <c r="H1155" s="12" t="s">
        <v>6182</v>
      </c>
      <c r="I1155" s="12" t="s">
        <v>181</v>
      </c>
      <c r="J1155" s="13" t="s">
        <v>6183</v>
      </c>
      <c r="K1155" s="12"/>
      <c r="L1155" s="12" t="s">
        <v>5983</v>
      </c>
      <c r="M1155" s="12" t="s">
        <v>6192</v>
      </c>
      <c r="N1155" s="12" t="s">
        <v>352</v>
      </c>
      <c r="O1155" s="12" t="s">
        <v>102</v>
      </c>
      <c r="P1155" s="12" t="s">
        <v>103</v>
      </c>
      <c r="Q1155" s="12" t="s">
        <v>104</v>
      </c>
      <c r="R1155" s="14" t="n">
        <v>83.14</v>
      </c>
      <c r="S1155" s="14" t="s">
        <v>129</v>
      </c>
      <c r="T1155" s="14" t="s">
        <v>653</v>
      </c>
      <c r="U1155" s="14" t="n">
        <v>2030</v>
      </c>
      <c r="V1155" s="12" t="s">
        <v>107</v>
      </c>
      <c r="W1155" s="14" t="s">
        <v>6193</v>
      </c>
      <c r="X1155" s="15" t="n">
        <f aca="false">IF(OR($S1155="%",$R1155=""),"",$R1155*INDEX(Cambi!$J$2:$J$5,MATCH($S1155,Cambi!$I$2:$I$5,0))/IF($T1155="EUR",1,INDEX(Cambi!$D:$D,MATCH($T1155&amp;"|"&amp;$U1155,Cambi!$C:$C,0))))</f>
        <v>73575.2212389381</v>
      </c>
      <c r="Y1155" s="12" t="s">
        <v>109</v>
      </c>
      <c r="Z1155" s="12" t="s">
        <v>285</v>
      </c>
      <c r="AA1155" s="12" t="s">
        <v>6186</v>
      </c>
      <c r="AB1155" s="12" t="s">
        <v>3261</v>
      </c>
      <c r="AC1155" s="12" t="s">
        <v>395</v>
      </c>
      <c r="AD1155" s="12" t="s">
        <v>201</v>
      </c>
      <c r="AE1155" s="12" t="s">
        <v>6187</v>
      </c>
      <c r="AF1155" s="12" t="s">
        <v>6194</v>
      </c>
      <c r="AG1155" s="12" t="s">
        <v>498</v>
      </c>
      <c r="AH1155" s="12" t="s">
        <v>838</v>
      </c>
      <c r="AI1155" s="12" t="s">
        <v>117</v>
      </c>
      <c r="AJ1155" s="12" t="s">
        <v>266</v>
      </c>
      <c r="AK1155" s="12" t="s">
        <v>4</v>
      </c>
    </row>
    <row r="1156" customFormat="false" ht="15" hidden="false" customHeight="false" outlineLevel="0" collapsed="false">
      <c r="A1156" s="11" t="n">
        <v>1155</v>
      </c>
      <c r="B1156" s="12" t="s">
        <v>6195</v>
      </c>
      <c r="C1156" s="12" t="s">
        <v>106</v>
      </c>
      <c r="D1156" s="12" t="s">
        <v>5753</v>
      </c>
      <c r="E1156" s="12" t="s">
        <v>5753</v>
      </c>
      <c r="F1156" s="12" t="s">
        <v>1984</v>
      </c>
      <c r="G1156" s="12" t="s">
        <v>830</v>
      </c>
      <c r="H1156" s="12" t="s">
        <v>6196</v>
      </c>
      <c r="I1156" s="12" t="s">
        <v>181</v>
      </c>
      <c r="J1156" s="13" t="s">
        <v>6197</v>
      </c>
      <c r="K1156" s="12"/>
      <c r="L1156" s="12" t="s">
        <v>6198</v>
      </c>
      <c r="M1156" s="12" t="s">
        <v>6199</v>
      </c>
      <c r="N1156" s="12" t="s">
        <v>352</v>
      </c>
      <c r="O1156" s="12" t="s">
        <v>102</v>
      </c>
      <c r="P1156" s="12" t="s">
        <v>103</v>
      </c>
      <c r="Q1156" s="12" t="s">
        <v>104</v>
      </c>
      <c r="R1156" s="14" t="n">
        <v>29.8308</v>
      </c>
      <c r="S1156" s="14" t="s">
        <v>129</v>
      </c>
      <c r="T1156" s="14" t="s">
        <v>653</v>
      </c>
      <c r="U1156" s="14" t="n">
        <v>2025</v>
      </c>
      <c r="V1156" s="12" t="s">
        <v>107</v>
      </c>
      <c r="W1156" s="14"/>
      <c r="X1156" s="15" t="n">
        <f aca="false">IF(OR($S1156="%",$R1156=""),"",$R1156*INDEX(Cambi!$J$2:$J$5,MATCH($S1156,Cambi!$I$2:$I$5,0))/IF($T1156="EUR",1,INDEX(Cambi!$D:$D,MATCH($T1156&amp;"|"&amp;$U1156,Cambi!$C:$C,0))))</f>
        <v>26398.9380530973</v>
      </c>
      <c r="Y1156" s="12" t="s">
        <v>109</v>
      </c>
      <c r="Z1156" s="12" t="s">
        <v>285</v>
      </c>
      <c r="AA1156" s="12" t="s">
        <v>109</v>
      </c>
      <c r="AB1156" s="12" t="s">
        <v>3261</v>
      </c>
      <c r="AC1156" s="12" t="s">
        <v>395</v>
      </c>
      <c r="AD1156" s="12" t="s">
        <v>201</v>
      </c>
      <c r="AE1156" s="12" t="s">
        <v>6187</v>
      </c>
      <c r="AF1156" s="12" t="s">
        <v>6200</v>
      </c>
      <c r="AG1156" s="12" t="s">
        <v>498</v>
      </c>
      <c r="AH1156" s="12" t="s">
        <v>838</v>
      </c>
      <c r="AI1156" s="12" t="s">
        <v>117</v>
      </c>
      <c r="AJ1156" s="12" t="s">
        <v>6201</v>
      </c>
      <c r="AK1156" s="12" t="s">
        <v>4</v>
      </c>
    </row>
    <row r="1157" customFormat="false" ht="15" hidden="false" customHeight="false" outlineLevel="0" collapsed="false">
      <c r="A1157" s="11" t="n">
        <v>1156</v>
      </c>
      <c r="B1157" s="12" t="s">
        <v>6195</v>
      </c>
      <c r="C1157" s="12" t="s">
        <v>106</v>
      </c>
      <c r="D1157" s="12" t="s">
        <v>5753</v>
      </c>
      <c r="E1157" s="12" t="s">
        <v>5753</v>
      </c>
      <c r="F1157" s="12" t="s">
        <v>1984</v>
      </c>
      <c r="G1157" s="12" t="s">
        <v>830</v>
      </c>
      <c r="H1157" s="12" t="s">
        <v>6196</v>
      </c>
      <c r="I1157" s="12" t="s">
        <v>181</v>
      </c>
      <c r="J1157" s="13" t="s">
        <v>6197</v>
      </c>
      <c r="K1157" s="12"/>
      <c r="L1157" s="12" t="s">
        <v>6198</v>
      </c>
      <c r="M1157" s="12" t="s">
        <v>6202</v>
      </c>
      <c r="N1157" s="12" t="s">
        <v>352</v>
      </c>
      <c r="O1157" s="12" t="s">
        <v>102</v>
      </c>
      <c r="P1157" s="12" t="s">
        <v>103</v>
      </c>
      <c r="Q1157" s="12" t="s">
        <v>104</v>
      </c>
      <c r="R1157" s="14" t="n">
        <v>43.999</v>
      </c>
      <c r="S1157" s="14" t="s">
        <v>129</v>
      </c>
      <c r="T1157" s="14" t="s">
        <v>653</v>
      </c>
      <c r="U1157" s="14" t="n">
        <v>2030</v>
      </c>
      <c r="V1157" s="12" t="s">
        <v>107</v>
      </c>
      <c r="W1157" s="14" t="s">
        <v>6203</v>
      </c>
      <c r="X1157" s="15" t="n">
        <f aca="false">IF(OR($S1157="%",$R1157=""),"",$R1157*INDEX(Cambi!$J$2:$J$5,MATCH($S1157,Cambi!$I$2:$I$5,0))/IF($T1157="EUR",1,INDEX(Cambi!$D:$D,MATCH($T1157&amp;"|"&amp;$U1157,Cambi!$C:$C,0))))</f>
        <v>38937.1681415929</v>
      </c>
      <c r="Y1157" s="12" t="s">
        <v>109</v>
      </c>
      <c r="Z1157" s="12" t="s">
        <v>285</v>
      </c>
      <c r="AA1157" s="12" t="s">
        <v>109</v>
      </c>
      <c r="AB1157" s="12" t="s">
        <v>3261</v>
      </c>
      <c r="AC1157" s="12" t="s">
        <v>395</v>
      </c>
      <c r="AD1157" s="12" t="s">
        <v>201</v>
      </c>
      <c r="AE1157" s="12" t="s">
        <v>6187</v>
      </c>
      <c r="AF1157" s="12" t="s">
        <v>6204</v>
      </c>
      <c r="AG1157" s="12" t="s">
        <v>498</v>
      </c>
      <c r="AH1157" s="12" t="s">
        <v>838</v>
      </c>
      <c r="AI1157" s="12" t="s">
        <v>117</v>
      </c>
      <c r="AJ1157" s="12" t="s">
        <v>6205</v>
      </c>
      <c r="AK1157" s="12" t="s">
        <v>4</v>
      </c>
    </row>
    <row r="1158" customFormat="false" ht="15" hidden="false" customHeight="false" outlineLevel="0" collapsed="false">
      <c r="A1158" s="11" t="n">
        <v>1157</v>
      </c>
      <c r="B1158" s="12" t="s">
        <v>6206</v>
      </c>
      <c r="C1158" s="12" t="s">
        <v>106</v>
      </c>
      <c r="D1158" s="12" t="s">
        <v>5753</v>
      </c>
      <c r="E1158" s="12" t="s">
        <v>5753</v>
      </c>
      <c r="F1158" s="12" t="s">
        <v>845</v>
      </c>
      <c r="G1158" s="12" t="s">
        <v>830</v>
      </c>
      <c r="H1158" s="12" t="s">
        <v>6207</v>
      </c>
      <c r="I1158" s="12" t="s">
        <v>847</v>
      </c>
      <c r="J1158" s="13" t="s">
        <v>6208</v>
      </c>
      <c r="K1158" s="12"/>
      <c r="L1158" s="12" t="s">
        <v>6209</v>
      </c>
      <c r="M1158" s="12" t="s">
        <v>6210</v>
      </c>
      <c r="N1158" s="12" t="s">
        <v>352</v>
      </c>
      <c r="O1158" s="12" t="s">
        <v>196</v>
      </c>
      <c r="P1158" s="12" t="s">
        <v>214</v>
      </c>
      <c r="Q1158" s="12" t="s">
        <v>6137</v>
      </c>
      <c r="R1158" s="14" t="n">
        <v>21.1</v>
      </c>
      <c r="S1158" s="14" t="s">
        <v>197</v>
      </c>
      <c r="T1158" s="14"/>
      <c r="U1158" s="14" t="n">
        <v>2025</v>
      </c>
      <c r="V1158" s="12" t="s">
        <v>157</v>
      </c>
      <c r="W1158" s="14"/>
      <c r="X1158" s="15" t="str">
        <f aca="false">IF(OR($S1158="%",$R1158=""),"",$R1158*INDEX(Cambi!$J$2:$J$5,MATCH($S1158,Cambi!$I$2:$I$5,0))/IF($T1158="EUR",1,INDEX(Cambi!$D:$D,MATCH($T1158&amp;"|"&amp;$U1158,Cambi!$C:$C,0))))</f>
        <v/>
      </c>
      <c r="Y1158" s="12" t="s">
        <v>109</v>
      </c>
      <c r="Z1158" s="12" t="s">
        <v>285</v>
      </c>
      <c r="AA1158" s="12" t="s">
        <v>6211</v>
      </c>
      <c r="AB1158" s="12" t="s">
        <v>3261</v>
      </c>
      <c r="AC1158" s="12" t="s">
        <v>395</v>
      </c>
      <c r="AD1158" s="12" t="s">
        <v>617</v>
      </c>
      <c r="AE1158" s="12" t="s">
        <v>6212</v>
      </c>
      <c r="AF1158" s="12" t="s">
        <v>6213</v>
      </c>
      <c r="AG1158" s="12" t="s">
        <v>115</v>
      </c>
      <c r="AH1158" s="12" t="s">
        <v>838</v>
      </c>
      <c r="AI1158" s="12" t="s">
        <v>117</v>
      </c>
      <c r="AJ1158" s="12" t="s">
        <v>266</v>
      </c>
      <c r="AK1158" s="12" t="s">
        <v>4</v>
      </c>
    </row>
    <row r="1159" customFormat="false" ht="15" hidden="false" customHeight="false" outlineLevel="0" collapsed="false">
      <c r="A1159" s="11" t="n">
        <v>1158</v>
      </c>
      <c r="B1159" s="12" t="s">
        <v>6206</v>
      </c>
      <c r="C1159" s="12" t="s">
        <v>106</v>
      </c>
      <c r="D1159" s="12" t="s">
        <v>5753</v>
      </c>
      <c r="E1159" s="12" t="s">
        <v>5753</v>
      </c>
      <c r="F1159" s="12" t="s">
        <v>845</v>
      </c>
      <c r="G1159" s="12" t="s">
        <v>830</v>
      </c>
      <c r="H1159" s="12" t="s">
        <v>6207</v>
      </c>
      <c r="I1159" s="12" t="s">
        <v>847</v>
      </c>
      <c r="J1159" s="13" t="s">
        <v>6208</v>
      </c>
      <c r="K1159" s="12"/>
      <c r="L1159" s="12" t="s">
        <v>6214</v>
      </c>
      <c r="M1159" s="12" t="s">
        <v>6215</v>
      </c>
      <c r="N1159" s="12" t="s">
        <v>352</v>
      </c>
      <c r="O1159" s="12" t="s">
        <v>102</v>
      </c>
      <c r="P1159" s="12" t="s">
        <v>103</v>
      </c>
      <c r="Q1159" s="12" t="s">
        <v>104</v>
      </c>
      <c r="R1159" s="14" t="n">
        <v>63.12</v>
      </c>
      <c r="S1159" s="14" t="s">
        <v>129</v>
      </c>
      <c r="T1159" s="14" t="s">
        <v>653</v>
      </c>
      <c r="U1159" s="14" t="n">
        <v>2025</v>
      </c>
      <c r="V1159" s="12" t="s">
        <v>157</v>
      </c>
      <c r="W1159" s="14"/>
      <c r="X1159" s="15" t="n">
        <f aca="false">IF(OR($S1159="%",$R1159=""),"",$R1159*INDEX(Cambi!$J$2:$J$5,MATCH($S1159,Cambi!$I$2:$I$5,0))/IF($T1159="EUR",1,INDEX(Cambi!$D:$D,MATCH($T1159&amp;"|"&amp;$U1159,Cambi!$C:$C,0))))</f>
        <v>55858.407079646</v>
      </c>
      <c r="Y1159" s="12" t="s">
        <v>109</v>
      </c>
      <c r="Z1159" s="12" t="s">
        <v>285</v>
      </c>
      <c r="AA1159" s="12" t="s">
        <v>6211</v>
      </c>
      <c r="AB1159" s="12" t="s">
        <v>3261</v>
      </c>
      <c r="AC1159" s="12" t="s">
        <v>395</v>
      </c>
      <c r="AD1159" s="12" t="s">
        <v>617</v>
      </c>
      <c r="AE1159" s="12" t="s">
        <v>6212</v>
      </c>
      <c r="AF1159" s="12" t="s">
        <v>6216</v>
      </c>
      <c r="AG1159" s="12" t="s">
        <v>115</v>
      </c>
      <c r="AH1159" s="12" t="s">
        <v>838</v>
      </c>
      <c r="AI1159" s="12" t="s">
        <v>117</v>
      </c>
      <c r="AJ1159" s="12" t="s">
        <v>6217</v>
      </c>
      <c r="AK1159" s="12" t="s">
        <v>4</v>
      </c>
    </row>
    <row r="1160" customFormat="false" ht="15" hidden="false" customHeight="false" outlineLevel="0" collapsed="false">
      <c r="A1160" s="11" t="n">
        <v>1159</v>
      </c>
      <c r="B1160" s="12" t="s">
        <v>6206</v>
      </c>
      <c r="C1160" s="12" t="s">
        <v>106</v>
      </c>
      <c r="D1160" s="12" t="s">
        <v>5753</v>
      </c>
      <c r="E1160" s="12" t="s">
        <v>5753</v>
      </c>
      <c r="F1160" s="12" t="s">
        <v>845</v>
      </c>
      <c r="G1160" s="12" t="s">
        <v>830</v>
      </c>
      <c r="H1160" s="12" t="s">
        <v>6207</v>
      </c>
      <c r="I1160" s="12" t="s">
        <v>847</v>
      </c>
      <c r="J1160" s="13" t="s">
        <v>6208</v>
      </c>
      <c r="K1160" s="12"/>
      <c r="L1160" s="12" t="s">
        <v>6218</v>
      </c>
      <c r="M1160" s="12" t="s">
        <v>6219</v>
      </c>
      <c r="N1160" s="12" t="s">
        <v>352</v>
      </c>
      <c r="O1160" s="12" t="s">
        <v>196</v>
      </c>
      <c r="P1160" s="12" t="s">
        <v>155</v>
      </c>
      <c r="Q1160" s="12" t="s">
        <v>1027</v>
      </c>
      <c r="R1160" s="14" t="n">
        <v>67.25</v>
      </c>
      <c r="S1160" s="14" t="s">
        <v>197</v>
      </c>
      <c r="T1160" s="14"/>
      <c r="U1160" s="14" t="n">
        <v>2025</v>
      </c>
      <c r="V1160" s="12" t="s">
        <v>157</v>
      </c>
      <c r="W1160" s="14"/>
      <c r="X1160" s="15" t="str">
        <f aca="false">IF(OR($S1160="%",$R1160=""),"",$R1160*INDEX(Cambi!$J$2:$J$5,MATCH($S1160,Cambi!$I$2:$I$5,0))/IF($T1160="EUR",1,INDEX(Cambi!$D:$D,MATCH($T1160&amp;"|"&amp;$U1160,Cambi!$C:$C,0))))</f>
        <v/>
      </c>
      <c r="Y1160" s="12" t="s">
        <v>109</v>
      </c>
      <c r="Z1160" s="12" t="s">
        <v>285</v>
      </c>
      <c r="AA1160" s="12" t="s">
        <v>6211</v>
      </c>
      <c r="AB1160" s="12" t="s">
        <v>3261</v>
      </c>
      <c r="AC1160" s="12" t="s">
        <v>395</v>
      </c>
      <c r="AD1160" s="12" t="s">
        <v>617</v>
      </c>
      <c r="AE1160" s="12" t="s">
        <v>6212</v>
      </c>
      <c r="AF1160" s="12" t="s">
        <v>6220</v>
      </c>
      <c r="AG1160" s="12" t="s">
        <v>115</v>
      </c>
      <c r="AH1160" s="12" t="s">
        <v>838</v>
      </c>
      <c r="AI1160" s="12" t="s">
        <v>117</v>
      </c>
      <c r="AJ1160" s="12" t="s">
        <v>266</v>
      </c>
      <c r="AK1160" s="12" t="s">
        <v>4</v>
      </c>
    </row>
    <row r="1161" customFormat="false" ht="15" hidden="false" customHeight="false" outlineLevel="0" collapsed="false">
      <c r="A1161" s="11" t="n">
        <v>1160</v>
      </c>
      <c r="B1161" s="12" t="s">
        <v>6206</v>
      </c>
      <c r="C1161" s="12" t="s">
        <v>106</v>
      </c>
      <c r="D1161" s="12" t="s">
        <v>5753</v>
      </c>
      <c r="E1161" s="12" t="s">
        <v>5753</v>
      </c>
      <c r="F1161" s="12" t="s">
        <v>845</v>
      </c>
      <c r="G1161" s="12" t="s">
        <v>830</v>
      </c>
      <c r="H1161" s="12" t="s">
        <v>6207</v>
      </c>
      <c r="I1161" s="12" t="s">
        <v>847</v>
      </c>
      <c r="J1161" s="13" t="s">
        <v>6208</v>
      </c>
      <c r="K1161" s="12"/>
      <c r="L1161" s="12" t="s">
        <v>5994</v>
      </c>
      <c r="M1161" s="12" t="s">
        <v>6221</v>
      </c>
      <c r="N1161" s="12" t="s">
        <v>352</v>
      </c>
      <c r="O1161" s="12" t="s">
        <v>102</v>
      </c>
      <c r="P1161" s="12" t="s">
        <v>103</v>
      </c>
      <c r="Q1161" s="12" t="s">
        <v>104</v>
      </c>
      <c r="R1161" s="14" t="n">
        <v>69.82</v>
      </c>
      <c r="S1161" s="14" t="s">
        <v>129</v>
      </c>
      <c r="T1161" s="14" t="s">
        <v>653</v>
      </c>
      <c r="U1161" s="14" t="n">
        <v>2026</v>
      </c>
      <c r="V1161" s="12" t="s">
        <v>198</v>
      </c>
      <c r="W1161" s="14"/>
      <c r="X1161" s="15" t="n">
        <f aca="false">IF(OR($S1161="%",$R1161=""),"",$R1161*INDEX(Cambi!$J$2:$J$5,MATCH($S1161,Cambi!$I$2:$I$5,0))/IF($T1161="EUR",1,INDEX(Cambi!$D:$D,MATCH($T1161&amp;"|"&amp;$U1161,Cambi!$C:$C,0))))</f>
        <v>61787.610619469</v>
      </c>
      <c r="Y1161" s="12" t="s">
        <v>109</v>
      </c>
      <c r="Z1161" s="12" t="s">
        <v>285</v>
      </c>
      <c r="AA1161" s="12" t="s">
        <v>6211</v>
      </c>
      <c r="AB1161" s="12" t="s">
        <v>3261</v>
      </c>
      <c r="AC1161" s="12" t="s">
        <v>395</v>
      </c>
      <c r="AD1161" s="12" t="s">
        <v>617</v>
      </c>
      <c r="AE1161" s="12" t="s">
        <v>6212</v>
      </c>
      <c r="AF1161" s="12" t="s">
        <v>6222</v>
      </c>
      <c r="AG1161" s="12" t="s">
        <v>115</v>
      </c>
      <c r="AH1161" s="12" t="s">
        <v>838</v>
      </c>
      <c r="AI1161" s="12" t="s">
        <v>117</v>
      </c>
      <c r="AJ1161" s="12" t="s">
        <v>6223</v>
      </c>
      <c r="AK1161" s="12" t="s">
        <v>4</v>
      </c>
    </row>
    <row r="1162" customFormat="false" ht="15" hidden="false" customHeight="false" outlineLevel="0" collapsed="false">
      <c r="A1162" s="11" t="n">
        <v>1161</v>
      </c>
      <c r="B1162" s="12" t="s">
        <v>6206</v>
      </c>
      <c r="C1162" s="12" t="s">
        <v>106</v>
      </c>
      <c r="D1162" s="12" t="s">
        <v>5753</v>
      </c>
      <c r="E1162" s="12" t="s">
        <v>5753</v>
      </c>
      <c r="F1162" s="12" t="s">
        <v>845</v>
      </c>
      <c r="G1162" s="12" t="s">
        <v>830</v>
      </c>
      <c r="H1162" s="12" t="s">
        <v>6207</v>
      </c>
      <c r="I1162" s="12" t="s">
        <v>847</v>
      </c>
      <c r="J1162" s="13" t="s">
        <v>6208</v>
      </c>
      <c r="K1162" s="12"/>
      <c r="L1162" s="12" t="s">
        <v>6224</v>
      </c>
      <c r="M1162" s="12" t="s">
        <v>6225</v>
      </c>
      <c r="N1162" s="12" t="s">
        <v>352</v>
      </c>
      <c r="O1162" s="12" t="s">
        <v>102</v>
      </c>
      <c r="P1162" s="12" t="s">
        <v>103</v>
      </c>
      <c r="Q1162" s="12" t="s">
        <v>104</v>
      </c>
      <c r="R1162" s="14" t="n">
        <v>115.66</v>
      </c>
      <c r="S1162" s="14" t="s">
        <v>129</v>
      </c>
      <c r="T1162" s="14" t="s">
        <v>653</v>
      </c>
      <c r="U1162" s="14" t="n">
        <v>2031</v>
      </c>
      <c r="V1162" s="12" t="s">
        <v>107</v>
      </c>
      <c r="W1162" s="14" t="s">
        <v>6226</v>
      </c>
      <c r="X1162" s="15" t="n">
        <f aca="false">IF(OR($S1162="%",$R1162=""),"",$R1162*INDEX(Cambi!$J$2:$J$5,MATCH($S1162,Cambi!$I$2:$I$5,0))/IF($T1162="EUR",1,INDEX(Cambi!$D:$D,MATCH($T1162&amp;"|"&amp;$U1162,Cambi!$C:$C,0))))</f>
        <v>102353.982300885</v>
      </c>
      <c r="Y1162" s="12" t="s">
        <v>109</v>
      </c>
      <c r="Z1162" s="12" t="s">
        <v>285</v>
      </c>
      <c r="AA1162" s="12" t="s">
        <v>6211</v>
      </c>
      <c r="AB1162" s="12" t="s">
        <v>3261</v>
      </c>
      <c r="AC1162" s="12" t="s">
        <v>395</v>
      </c>
      <c r="AD1162" s="12" t="s">
        <v>617</v>
      </c>
      <c r="AE1162" s="12" t="s">
        <v>6212</v>
      </c>
      <c r="AF1162" s="12" t="s">
        <v>6227</v>
      </c>
      <c r="AG1162" s="12" t="s">
        <v>115</v>
      </c>
      <c r="AH1162" s="12" t="s">
        <v>838</v>
      </c>
      <c r="AI1162" s="12" t="s">
        <v>117</v>
      </c>
      <c r="AJ1162" s="12" t="s">
        <v>266</v>
      </c>
      <c r="AK1162" s="12" t="s">
        <v>4</v>
      </c>
    </row>
    <row r="1163" customFormat="false" ht="15" hidden="false" customHeight="false" outlineLevel="0" collapsed="false">
      <c r="A1163" s="11" t="n">
        <v>1162</v>
      </c>
      <c r="B1163" s="12" t="s">
        <v>6206</v>
      </c>
      <c r="C1163" s="12" t="s">
        <v>106</v>
      </c>
      <c r="D1163" s="12" t="s">
        <v>5753</v>
      </c>
      <c r="E1163" s="12" t="s">
        <v>5753</v>
      </c>
      <c r="F1163" s="12" t="s">
        <v>845</v>
      </c>
      <c r="G1163" s="12" t="s">
        <v>830</v>
      </c>
      <c r="H1163" s="12" t="s">
        <v>6207</v>
      </c>
      <c r="I1163" s="12" t="s">
        <v>847</v>
      </c>
      <c r="J1163" s="13" t="s">
        <v>6208</v>
      </c>
      <c r="K1163" s="12"/>
      <c r="L1163" s="12" t="s">
        <v>6228</v>
      </c>
      <c r="M1163" s="12" t="s">
        <v>6229</v>
      </c>
      <c r="N1163" s="12" t="s">
        <v>352</v>
      </c>
      <c r="O1163" s="12" t="s">
        <v>213</v>
      </c>
      <c r="P1163" s="12" t="s">
        <v>155</v>
      </c>
      <c r="Q1163" s="12" t="s">
        <v>1937</v>
      </c>
      <c r="R1163" s="14" t="n">
        <v>13.56</v>
      </c>
      <c r="S1163" s="14" t="s">
        <v>197</v>
      </c>
      <c r="T1163" s="14"/>
      <c r="U1163" s="14" t="n">
        <v>2031</v>
      </c>
      <c r="V1163" s="12" t="s">
        <v>107</v>
      </c>
      <c r="W1163" s="14"/>
      <c r="X1163" s="15" t="str">
        <f aca="false">IF(OR($S1163="%",$R1163=""),"",$R1163*INDEX(Cambi!$J$2:$J$5,MATCH($S1163,Cambi!$I$2:$I$5,0))/IF($T1163="EUR",1,INDEX(Cambi!$D:$D,MATCH($T1163&amp;"|"&amp;$U1163,Cambi!$C:$C,0))))</f>
        <v/>
      </c>
      <c r="Y1163" s="12" t="s">
        <v>109</v>
      </c>
      <c r="Z1163" s="12" t="s">
        <v>285</v>
      </c>
      <c r="AA1163" s="12" t="s">
        <v>6211</v>
      </c>
      <c r="AB1163" s="12" t="s">
        <v>3261</v>
      </c>
      <c r="AC1163" s="12" t="s">
        <v>395</v>
      </c>
      <c r="AD1163" s="12" t="s">
        <v>617</v>
      </c>
      <c r="AE1163" s="12" t="s">
        <v>6212</v>
      </c>
      <c r="AF1163" s="12" t="s">
        <v>6230</v>
      </c>
      <c r="AG1163" s="12" t="s">
        <v>115</v>
      </c>
      <c r="AH1163" s="12" t="s">
        <v>838</v>
      </c>
      <c r="AI1163" s="12" t="s">
        <v>117</v>
      </c>
      <c r="AJ1163" s="12" t="s">
        <v>266</v>
      </c>
      <c r="AK1163" s="12" t="s">
        <v>4</v>
      </c>
    </row>
    <row r="1164" customFormat="false" ht="15" hidden="false" customHeight="false" outlineLevel="0" collapsed="false">
      <c r="A1164" s="11" t="n">
        <v>1163</v>
      </c>
      <c r="B1164" s="12" t="s">
        <v>6231</v>
      </c>
      <c r="C1164" s="12" t="s">
        <v>106</v>
      </c>
      <c r="D1164" s="12" t="s">
        <v>5753</v>
      </c>
      <c r="E1164" s="12" t="s">
        <v>5753</v>
      </c>
      <c r="F1164" s="12" t="s">
        <v>845</v>
      </c>
      <c r="G1164" s="12" t="s">
        <v>830</v>
      </c>
      <c r="H1164" s="12" t="s">
        <v>6232</v>
      </c>
      <c r="I1164" s="12" t="s">
        <v>847</v>
      </c>
      <c r="J1164" s="13" t="s">
        <v>6233</v>
      </c>
      <c r="K1164" s="12"/>
      <c r="L1164" s="12" t="s">
        <v>6234</v>
      </c>
      <c r="M1164" s="12" t="s">
        <v>6235</v>
      </c>
      <c r="N1164" s="12" t="s">
        <v>352</v>
      </c>
      <c r="O1164" s="12" t="s">
        <v>196</v>
      </c>
      <c r="P1164" s="12" t="s">
        <v>155</v>
      </c>
      <c r="Q1164" s="12" t="s">
        <v>2112</v>
      </c>
      <c r="R1164" s="14" t="n">
        <v>63.12</v>
      </c>
      <c r="S1164" s="14" t="s">
        <v>197</v>
      </c>
      <c r="T1164" s="14"/>
      <c r="U1164" s="14" t="n">
        <v>2025</v>
      </c>
      <c r="V1164" s="12" t="s">
        <v>157</v>
      </c>
      <c r="W1164" s="14"/>
      <c r="X1164" s="15" t="str">
        <f aca="false">IF(OR($S1164="%",$R1164=""),"",$R1164*INDEX(Cambi!$J$2:$J$5,MATCH($S1164,Cambi!$I$2:$I$5,0))/IF($T1164="EUR",1,INDEX(Cambi!$D:$D,MATCH($T1164&amp;"|"&amp;$U1164,Cambi!$C:$C,0))))</f>
        <v/>
      </c>
      <c r="Y1164" s="12" t="s">
        <v>109</v>
      </c>
      <c r="Z1164" s="12" t="s">
        <v>285</v>
      </c>
      <c r="AA1164" s="12" t="s">
        <v>6236</v>
      </c>
      <c r="AB1164" s="12" t="s">
        <v>3261</v>
      </c>
      <c r="AC1164" s="12" t="s">
        <v>395</v>
      </c>
      <c r="AD1164" s="12" t="s">
        <v>617</v>
      </c>
      <c r="AE1164" s="12" t="s">
        <v>6237</v>
      </c>
      <c r="AF1164" s="12" t="s">
        <v>6238</v>
      </c>
      <c r="AG1164" s="12" t="s">
        <v>498</v>
      </c>
      <c r="AH1164" s="12" t="s">
        <v>838</v>
      </c>
      <c r="AI1164" s="12" t="s">
        <v>117</v>
      </c>
      <c r="AJ1164" s="12" t="s">
        <v>266</v>
      </c>
      <c r="AK1164" s="12" t="s">
        <v>4</v>
      </c>
    </row>
    <row r="1165" customFormat="false" ht="15" hidden="false" customHeight="false" outlineLevel="0" collapsed="false">
      <c r="A1165" s="11" t="n">
        <v>1164</v>
      </c>
      <c r="B1165" s="12" t="s">
        <v>6231</v>
      </c>
      <c r="C1165" s="12" t="s">
        <v>106</v>
      </c>
      <c r="D1165" s="12" t="s">
        <v>5753</v>
      </c>
      <c r="E1165" s="12" t="s">
        <v>5753</v>
      </c>
      <c r="F1165" s="12" t="s">
        <v>845</v>
      </c>
      <c r="G1165" s="12" t="s">
        <v>830</v>
      </c>
      <c r="H1165" s="12" t="s">
        <v>6232</v>
      </c>
      <c r="I1165" s="12" t="s">
        <v>847</v>
      </c>
      <c r="J1165" s="13" t="s">
        <v>6233</v>
      </c>
      <c r="K1165" s="12"/>
      <c r="L1165" s="12" t="s">
        <v>6239</v>
      </c>
      <c r="M1165" s="12" t="s">
        <v>6240</v>
      </c>
      <c r="N1165" s="12" t="s">
        <v>352</v>
      </c>
      <c r="O1165" s="12" t="s">
        <v>102</v>
      </c>
      <c r="P1165" s="12" t="s">
        <v>155</v>
      </c>
      <c r="Q1165" s="12" t="s">
        <v>6241</v>
      </c>
      <c r="R1165" s="14" t="n">
        <v>18.87</v>
      </c>
      <c r="S1165" s="14" t="s">
        <v>129</v>
      </c>
      <c r="T1165" s="14" t="s">
        <v>653</v>
      </c>
      <c r="U1165" s="14" t="n">
        <v>2025</v>
      </c>
      <c r="V1165" s="12" t="s">
        <v>157</v>
      </c>
      <c r="W1165" s="14"/>
      <c r="X1165" s="15" t="n">
        <f aca="false">IF(OR($S1165="%",$R1165=""),"",$R1165*INDEX(Cambi!$J$2:$J$5,MATCH($S1165,Cambi!$I$2:$I$5,0))/IF($T1165="EUR",1,INDEX(Cambi!$D:$D,MATCH($T1165&amp;"|"&amp;$U1165,Cambi!$C:$C,0))))</f>
        <v>16699.1150442478</v>
      </c>
      <c r="Y1165" s="12" t="s">
        <v>109</v>
      </c>
      <c r="Z1165" s="12" t="s">
        <v>285</v>
      </c>
      <c r="AA1165" s="12" t="s">
        <v>6236</v>
      </c>
      <c r="AB1165" s="12" t="s">
        <v>3261</v>
      </c>
      <c r="AC1165" s="12" t="s">
        <v>395</v>
      </c>
      <c r="AD1165" s="12" t="s">
        <v>617</v>
      </c>
      <c r="AE1165" s="12" t="s">
        <v>6237</v>
      </c>
      <c r="AF1165" s="12" t="s">
        <v>6242</v>
      </c>
      <c r="AG1165" s="12" t="s">
        <v>498</v>
      </c>
      <c r="AH1165" s="12" t="s">
        <v>838</v>
      </c>
      <c r="AI1165" s="12" t="s">
        <v>117</v>
      </c>
      <c r="AJ1165" s="12" t="s">
        <v>6243</v>
      </c>
      <c r="AK1165" s="12" t="s">
        <v>4</v>
      </c>
    </row>
    <row r="1166" customFormat="false" ht="15" hidden="false" customHeight="false" outlineLevel="0" collapsed="false">
      <c r="A1166" s="11" t="n">
        <v>1165</v>
      </c>
      <c r="B1166" s="12" t="s">
        <v>6231</v>
      </c>
      <c r="C1166" s="12" t="s">
        <v>106</v>
      </c>
      <c r="D1166" s="12" t="s">
        <v>5753</v>
      </c>
      <c r="E1166" s="12" t="s">
        <v>5753</v>
      </c>
      <c r="F1166" s="12" t="s">
        <v>845</v>
      </c>
      <c r="G1166" s="12" t="s">
        <v>830</v>
      </c>
      <c r="H1166" s="12" t="s">
        <v>6232</v>
      </c>
      <c r="I1166" s="12" t="s">
        <v>847</v>
      </c>
      <c r="J1166" s="13" t="s">
        <v>6233</v>
      </c>
      <c r="K1166" s="12"/>
      <c r="L1166" s="12" t="s">
        <v>6244</v>
      </c>
      <c r="M1166" s="12" t="s">
        <v>6245</v>
      </c>
      <c r="N1166" s="12" t="s">
        <v>352</v>
      </c>
      <c r="O1166" s="12" t="s">
        <v>102</v>
      </c>
      <c r="P1166" s="12" t="s">
        <v>155</v>
      </c>
      <c r="Q1166" s="12" t="s">
        <v>6241</v>
      </c>
      <c r="R1166" s="14" t="n">
        <v>26.35</v>
      </c>
      <c r="S1166" s="14" t="s">
        <v>129</v>
      </c>
      <c r="T1166" s="14" t="s">
        <v>653</v>
      </c>
      <c r="U1166" s="14" t="n">
        <v>2031</v>
      </c>
      <c r="V1166" s="12" t="s">
        <v>107</v>
      </c>
      <c r="W1166" s="14" t="s">
        <v>6246</v>
      </c>
      <c r="X1166" s="15" t="n">
        <f aca="false">IF(OR($S1166="%",$R1166=""),"",$R1166*INDEX(Cambi!$J$2:$J$5,MATCH($S1166,Cambi!$I$2:$I$5,0))/IF($T1166="EUR",1,INDEX(Cambi!$D:$D,MATCH($T1166&amp;"|"&amp;$U1166,Cambi!$C:$C,0))))</f>
        <v>23318.5840707965</v>
      </c>
      <c r="Y1166" s="12" t="s">
        <v>109</v>
      </c>
      <c r="Z1166" s="12" t="s">
        <v>285</v>
      </c>
      <c r="AA1166" s="12" t="s">
        <v>6236</v>
      </c>
      <c r="AB1166" s="12" t="s">
        <v>3261</v>
      </c>
      <c r="AC1166" s="12" t="s">
        <v>395</v>
      </c>
      <c r="AD1166" s="12" t="s">
        <v>617</v>
      </c>
      <c r="AE1166" s="12" t="s">
        <v>6237</v>
      </c>
      <c r="AF1166" s="12" t="s">
        <v>6247</v>
      </c>
      <c r="AG1166" s="12" t="s">
        <v>498</v>
      </c>
      <c r="AH1166" s="12" t="s">
        <v>838</v>
      </c>
      <c r="AI1166" s="12" t="s">
        <v>117</v>
      </c>
      <c r="AJ1166" s="12" t="s">
        <v>266</v>
      </c>
      <c r="AK1166" s="12" t="s">
        <v>4</v>
      </c>
    </row>
    <row r="1167" customFormat="false" ht="15" hidden="false" customHeight="false" outlineLevel="0" collapsed="false">
      <c r="A1167" s="11" t="n">
        <v>1166</v>
      </c>
      <c r="B1167" s="12" t="s">
        <v>6248</v>
      </c>
      <c r="C1167" s="12" t="s">
        <v>106</v>
      </c>
      <c r="D1167" s="12" t="s">
        <v>5753</v>
      </c>
      <c r="E1167" s="12" t="s">
        <v>5753</v>
      </c>
      <c r="F1167" s="12" t="s">
        <v>6249</v>
      </c>
      <c r="G1167" s="12" t="s">
        <v>1876</v>
      </c>
      <c r="H1167" s="12" t="s">
        <v>6250</v>
      </c>
      <c r="I1167" s="12" t="s">
        <v>5532</v>
      </c>
      <c r="J1167" s="13" t="s">
        <v>6251</v>
      </c>
      <c r="K1167" s="12"/>
      <c r="L1167" s="12" t="s">
        <v>6252</v>
      </c>
      <c r="M1167" s="12" t="s">
        <v>6253</v>
      </c>
      <c r="N1167" s="12" t="s">
        <v>352</v>
      </c>
      <c r="O1167" s="12" t="s">
        <v>213</v>
      </c>
      <c r="P1167" s="12" t="s">
        <v>103</v>
      </c>
      <c r="Q1167" s="12" t="s">
        <v>104</v>
      </c>
      <c r="R1167" s="14" t="n">
        <v>14</v>
      </c>
      <c r="S1167" s="14" t="s">
        <v>197</v>
      </c>
      <c r="T1167" s="14"/>
      <c r="U1167" s="14" t="n">
        <v>2022</v>
      </c>
      <c r="V1167" s="12" t="s">
        <v>157</v>
      </c>
      <c r="W1167" s="14"/>
      <c r="X1167" s="15" t="str">
        <f aca="false">IF(OR($S1167="%",$R1167=""),"",$R1167*INDEX(Cambi!$J$2:$J$5,MATCH($S1167,Cambi!$I$2:$I$5,0))/IF($T1167="EUR",1,INDEX(Cambi!$D:$D,MATCH($T1167&amp;"|"&amp;$U1167,Cambi!$C:$C,0))))</f>
        <v/>
      </c>
      <c r="Y1167" s="12" t="s">
        <v>109</v>
      </c>
      <c r="Z1167" s="12" t="s">
        <v>285</v>
      </c>
      <c r="AA1167" s="12" t="s">
        <v>6254</v>
      </c>
      <c r="AB1167" s="16" t="s">
        <v>110</v>
      </c>
      <c r="AC1167" s="16" t="s">
        <v>6255</v>
      </c>
      <c r="AD1167" s="12" t="s">
        <v>112</v>
      </c>
      <c r="AE1167" s="12" t="s">
        <v>6256</v>
      </c>
      <c r="AF1167" s="12" t="s">
        <v>6257</v>
      </c>
      <c r="AG1167" s="12" t="s">
        <v>498</v>
      </c>
      <c r="AH1167" s="12" t="s">
        <v>116</v>
      </c>
      <c r="AI1167" s="12" t="s">
        <v>117</v>
      </c>
      <c r="AJ1167" s="12" t="s">
        <v>266</v>
      </c>
      <c r="AK1167" s="12" t="s">
        <v>4</v>
      </c>
    </row>
    <row r="1168" customFormat="false" ht="15" hidden="false" customHeight="false" outlineLevel="0" collapsed="false">
      <c r="A1168" s="11" t="n">
        <v>1167</v>
      </c>
      <c r="B1168" s="12" t="s">
        <v>6248</v>
      </c>
      <c r="C1168" s="12" t="s">
        <v>106</v>
      </c>
      <c r="D1168" s="12" t="s">
        <v>5753</v>
      </c>
      <c r="E1168" s="12" t="s">
        <v>5753</v>
      </c>
      <c r="F1168" s="12" t="s">
        <v>6249</v>
      </c>
      <c r="G1168" s="12" t="s">
        <v>1876</v>
      </c>
      <c r="H1168" s="12" t="s">
        <v>6250</v>
      </c>
      <c r="I1168" s="12" t="s">
        <v>5532</v>
      </c>
      <c r="J1168" s="13" t="s">
        <v>6251</v>
      </c>
      <c r="K1168" s="12"/>
      <c r="L1168" s="12" t="s">
        <v>6258</v>
      </c>
      <c r="M1168" s="12" t="s">
        <v>6259</v>
      </c>
      <c r="N1168" s="12" t="s">
        <v>195</v>
      </c>
      <c r="O1168" s="12" t="s">
        <v>196</v>
      </c>
      <c r="P1168" s="12" t="s">
        <v>103</v>
      </c>
      <c r="Q1168" s="12" t="s">
        <v>104</v>
      </c>
      <c r="R1168" s="14" t="n">
        <v>8</v>
      </c>
      <c r="S1168" s="14" t="s">
        <v>197</v>
      </c>
      <c r="T1168" s="14"/>
      <c r="U1168" s="14" t="n">
        <v>2025</v>
      </c>
      <c r="V1168" s="12" t="s">
        <v>198</v>
      </c>
      <c r="W1168" s="14"/>
      <c r="X1168" s="15" t="str">
        <f aca="false">IF(OR($S1168="%",$R1168=""),"",$R1168*INDEX(Cambi!$J$2:$J$5,MATCH($S1168,Cambi!$I$2:$I$5,0))/IF($T1168="EUR",1,INDEX(Cambi!$D:$D,MATCH($T1168&amp;"|"&amp;$U1168,Cambi!$C:$C,0))))</f>
        <v/>
      </c>
      <c r="Y1168" s="12" t="s">
        <v>109</v>
      </c>
      <c r="Z1168" s="12" t="s">
        <v>285</v>
      </c>
      <c r="AA1168" s="12" t="s">
        <v>6254</v>
      </c>
      <c r="AB1168" s="16" t="s">
        <v>110</v>
      </c>
      <c r="AC1168" s="16" t="s">
        <v>6255</v>
      </c>
      <c r="AD1168" s="12" t="s">
        <v>112</v>
      </c>
      <c r="AE1168" s="12" t="s">
        <v>6256</v>
      </c>
      <c r="AF1168" s="12" t="s">
        <v>6260</v>
      </c>
      <c r="AG1168" s="12" t="s">
        <v>498</v>
      </c>
      <c r="AH1168" s="12" t="s">
        <v>116</v>
      </c>
      <c r="AI1168" s="12" t="s">
        <v>117</v>
      </c>
      <c r="AJ1168" s="12" t="s">
        <v>6261</v>
      </c>
      <c r="AK1168" s="12" t="s">
        <v>4</v>
      </c>
    </row>
    <row r="1169" customFormat="false" ht="15" hidden="false" customHeight="false" outlineLevel="0" collapsed="false">
      <c r="A1169" s="11" t="n">
        <v>1168</v>
      </c>
      <c r="B1169" s="12" t="s">
        <v>6248</v>
      </c>
      <c r="C1169" s="12" t="s">
        <v>106</v>
      </c>
      <c r="D1169" s="12" t="s">
        <v>5753</v>
      </c>
      <c r="E1169" s="12" t="s">
        <v>5753</v>
      </c>
      <c r="F1169" s="12" t="s">
        <v>6249</v>
      </c>
      <c r="G1169" s="12" t="s">
        <v>1876</v>
      </c>
      <c r="H1169" s="12" t="s">
        <v>6250</v>
      </c>
      <c r="I1169" s="12" t="s">
        <v>5532</v>
      </c>
      <c r="J1169" s="13" t="s">
        <v>6251</v>
      </c>
      <c r="K1169" s="12"/>
      <c r="L1169" s="12" t="s">
        <v>6262</v>
      </c>
      <c r="M1169" s="12" t="s">
        <v>6263</v>
      </c>
      <c r="N1169" s="12" t="s">
        <v>352</v>
      </c>
      <c r="O1169" s="12" t="s">
        <v>213</v>
      </c>
      <c r="P1169" s="12" t="s">
        <v>103</v>
      </c>
      <c r="Q1169" s="12" t="s">
        <v>104</v>
      </c>
      <c r="R1169" s="14" t="n">
        <v>10</v>
      </c>
      <c r="S1169" s="14" t="s">
        <v>197</v>
      </c>
      <c r="T1169" s="14"/>
      <c r="U1169" s="14" t="n">
        <v>2026</v>
      </c>
      <c r="V1169" s="12" t="s">
        <v>107</v>
      </c>
      <c r="W1169" s="14"/>
      <c r="X1169" s="15" t="str">
        <f aca="false">IF(OR($S1169="%",$R1169=""),"",$R1169*INDEX(Cambi!$J$2:$J$5,MATCH($S1169,Cambi!$I$2:$I$5,0))/IF($T1169="EUR",1,INDEX(Cambi!$D:$D,MATCH($T1169&amp;"|"&amp;$U1169,Cambi!$C:$C,0))))</f>
        <v/>
      </c>
      <c r="Y1169" s="12" t="s">
        <v>109</v>
      </c>
      <c r="Z1169" s="12" t="s">
        <v>285</v>
      </c>
      <c r="AA1169" s="12" t="s">
        <v>6254</v>
      </c>
      <c r="AB1169" s="16" t="s">
        <v>110</v>
      </c>
      <c r="AC1169" s="16" t="s">
        <v>6255</v>
      </c>
      <c r="AD1169" s="12" t="s">
        <v>112</v>
      </c>
      <c r="AE1169" s="12" t="s">
        <v>6256</v>
      </c>
      <c r="AF1169" s="12" t="s">
        <v>6264</v>
      </c>
      <c r="AG1169" s="12" t="s">
        <v>498</v>
      </c>
      <c r="AH1169" s="12" t="s">
        <v>116</v>
      </c>
      <c r="AI1169" s="12" t="s">
        <v>117</v>
      </c>
      <c r="AJ1169" s="12" t="s">
        <v>6265</v>
      </c>
      <c r="AK1169" s="12" t="s">
        <v>4</v>
      </c>
    </row>
    <row r="1170" customFormat="false" ht="15" hidden="false" customHeight="false" outlineLevel="0" collapsed="false">
      <c r="A1170" s="11" t="n">
        <v>1169</v>
      </c>
      <c r="B1170" s="12" t="s">
        <v>6248</v>
      </c>
      <c r="C1170" s="12" t="s">
        <v>106</v>
      </c>
      <c r="D1170" s="12" t="s">
        <v>5753</v>
      </c>
      <c r="E1170" s="12" t="s">
        <v>5753</v>
      </c>
      <c r="F1170" s="12" t="s">
        <v>6249</v>
      </c>
      <c r="G1170" s="12" t="s">
        <v>1876</v>
      </c>
      <c r="H1170" s="12" t="s">
        <v>6250</v>
      </c>
      <c r="I1170" s="12" t="s">
        <v>5532</v>
      </c>
      <c r="J1170" s="13" t="s">
        <v>6251</v>
      </c>
      <c r="K1170" s="12"/>
      <c r="L1170" s="12" t="s">
        <v>6266</v>
      </c>
      <c r="M1170" s="12" t="s">
        <v>6267</v>
      </c>
      <c r="N1170" s="12" t="s">
        <v>195</v>
      </c>
      <c r="O1170" s="12" t="s">
        <v>196</v>
      </c>
      <c r="P1170" s="12" t="s">
        <v>103</v>
      </c>
      <c r="Q1170" s="12" t="s">
        <v>104</v>
      </c>
      <c r="R1170" s="14" t="n">
        <v>10</v>
      </c>
      <c r="S1170" s="14" t="s">
        <v>197</v>
      </c>
      <c r="T1170" s="14"/>
      <c r="U1170" s="14" t="n">
        <v>2029</v>
      </c>
      <c r="V1170" s="12" t="s">
        <v>107</v>
      </c>
      <c r="W1170" s="14"/>
      <c r="X1170" s="15" t="str">
        <f aca="false">IF(OR($S1170="%",$R1170=""),"",$R1170*INDEX(Cambi!$J$2:$J$5,MATCH($S1170,Cambi!$I$2:$I$5,0))/IF($T1170="EUR",1,INDEX(Cambi!$D:$D,MATCH($T1170&amp;"|"&amp;$U1170,Cambi!$C:$C,0))))</f>
        <v/>
      </c>
      <c r="Y1170" s="12" t="s">
        <v>109</v>
      </c>
      <c r="Z1170" s="12" t="s">
        <v>285</v>
      </c>
      <c r="AA1170" s="12" t="s">
        <v>6254</v>
      </c>
      <c r="AB1170" s="16" t="s">
        <v>110</v>
      </c>
      <c r="AC1170" s="16" t="s">
        <v>6255</v>
      </c>
      <c r="AD1170" s="12" t="s">
        <v>112</v>
      </c>
      <c r="AE1170" s="12" t="s">
        <v>6256</v>
      </c>
      <c r="AF1170" s="12" t="s">
        <v>6268</v>
      </c>
      <c r="AG1170" s="12" t="s">
        <v>498</v>
      </c>
      <c r="AH1170" s="12" t="s">
        <v>116</v>
      </c>
      <c r="AI1170" s="12" t="s">
        <v>117</v>
      </c>
      <c r="AJ1170" s="12" t="s">
        <v>266</v>
      </c>
      <c r="AK1170" s="12" t="s">
        <v>4</v>
      </c>
    </row>
    <row r="1171" customFormat="false" ht="15" hidden="false" customHeight="false" outlineLevel="0" collapsed="false">
      <c r="A1171" s="11" t="n">
        <v>1170</v>
      </c>
      <c r="B1171" s="12" t="s">
        <v>6269</v>
      </c>
      <c r="C1171" s="12" t="s">
        <v>106</v>
      </c>
      <c r="D1171" s="12" t="s">
        <v>5753</v>
      </c>
      <c r="E1171" s="12" t="s">
        <v>5753</v>
      </c>
      <c r="F1171" s="12" t="s">
        <v>626</v>
      </c>
      <c r="G1171" s="12" t="s">
        <v>95</v>
      </c>
      <c r="H1171" s="12" t="s">
        <v>6270</v>
      </c>
      <c r="I1171" s="12" t="s">
        <v>6271</v>
      </c>
      <c r="J1171" s="13" t="s">
        <v>6272</v>
      </c>
      <c r="K1171" s="12" t="s">
        <v>1377</v>
      </c>
      <c r="L1171" s="12" t="s">
        <v>6273</v>
      </c>
      <c r="M1171" s="12" t="s">
        <v>6274</v>
      </c>
      <c r="N1171" s="12" t="s">
        <v>352</v>
      </c>
      <c r="O1171" s="12" t="s">
        <v>102</v>
      </c>
      <c r="P1171" s="12" t="s">
        <v>103</v>
      </c>
      <c r="Q1171" s="12" t="s">
        <v>104</v>
      </c>
      <c r="R1171" s="14" t="n">
        <v>22</v>
      </c>
      <c r="S1171" s="14" t="s">
        <v>129</v>
      </c>
      <c r="T1171" s="14" t="s">
        <v>653</v>
      </c>
      <c r="U1171" s="14" t="n">
        <v>2016</v>
      </c>
      <c r="V1171" s="12" t="s">
        <v>157</v>
      </c>
      <c r="W1171" s="14" t="s">
        <v>6275</v>
      </c>
      <c r="X1171" s="15" t="n">
        <f aca="false">IF(OR($S1171="%",$R1171=""),"",$R1171*INDEX(Cambi!$J$2:$J$5,MATCH($S1171,Cambi!$I$2:$I$5,0))/IF($T1171="EUR",1,INDEX(Cambi!$D:$D,MATCH($T1171&amp;"|"&amp;$U1171,Cambi!$C:$C,0))))</f>
        <v>19875.3274911916</v>
      </c>
      <c r="Y1171" s="12" t="s">
        <v>130</v>
      </c>
      <c r="Z1171" s="12" t="s">
        <v>285</v>
      </c>
      <c r="AA1171" s="12" t="s">
        <v>6276</v>
      </c>
      <c r="AB1171" s="16" t="s">
        <v>110</v>
      </c>
      <c r="AC1171" s="16" t="s">
        <v>6277</v>
      </c>
      <c r="AD1171" s="12" t="s">
        <v>281</v>
      </c>
      <c r="AE1171" s="12" t="s">
        <v>282</v>
      </c>
      <c r="AF1171" s="12" t="s">
        <v>6278</v>
      </c>
      <c r="AG1171" s="12" t="s">
        <v>284</v>
      </c>
      <c r="AH1171" s="12" t="s">
        <v>116</v>
      </c>
      <c r="AI1171" s="12" t="s">
        <v>285</v>
      </c>
      <c r="AJ1171" s="12" t="s">
        <v>6279</v>
      </c>
      <c r="AK1171" s="12" t="s">
        <v>4</v>
      </c>
    </row>
    <row r="1172" customFormat="false" ht="15" hidden="false" customHeight="false" outlineLevel="0" collapsed="false">
      <c r="A1172" s="11" t="n">
        <v>1171</v>
      </c>
      <c r="B1172" s="12" t="s">
        <v>6269</v>
      </c>
      <c r="C1172" s="12" t="s">
        <v>106</v>
      </c>
      <c r="D1172" s="12" t="s">
        <v>5753</v>
      </c>
      <c r="E1172" s="12" t="s">
        <v>5753</v>
      </c>
      <c r="F1172" s="12" t="s">
        <v>626</v>
      </c>
      <c r="G1172" s="12" t="s">
        <v>95</v>
      </c>
      <c r="H1172" s="12" t="s">
        <v>6270</v>
      </c>
      <c r="I1172" s="12" t="s">
        <v>6271</v>
      </c>
      <c r="J1172" s="13" t="s">
        <v>6272</v>
      </c>
      <c r="K1172" s="12" t="s">
        <v>6280</v>
      </c>
      <c r="L1172" s="12" t="s">
        <v>5910</v>
      </c>
      <c r="M1172" s="12" t="s">
        <v>6281</v>
      </c>
      <c r="N1172" s="12" t="s">
        <v>352</v>
      </c>
      <c r="O1172" s="12" t="s">
        <v>102</v>
      </c>
      <c r="P1172" s="12" t="s">
        <v>103</v>
      </c>
      <c r="Q1172" s="12" t="s">
        <v>104</v>
      </c>
      <c r="R1172" s="14" t="n">
        <v>24.4</v>
      </c>
      <c r="S1172" s="14" t="s">
        <v>129</v>
      </c>
      <c r="T1172" s="14" t="s">
        <v>106</v>
      </c>
      <c r="U1172" s="14" t="n">
        <v>2018</v>
      </c>
      <c r="V1172" s="12" t="s">
        <v>107</v>
      </c>
      <c r="W1172" s="14"/>
      <c r="X1172" s="15" t="n">
        <f aca="false">IF(OR($S1172="%",$R1172=""),"",$R1172*INDEX(Cambi!$J$2:$J$5,MATCH($S1172,Cambi!$I$2:$I$5,0))/IF($T1172="EUR",1,INDEX(Cambi!$D:$D,MATCH($T1172&amp;"|"&amp;$U1172,Cambi!$C:$C,0))))</f>
        <v>24400</v>
      </c>
      <c r="Y1172" s="12" t="s">
        <v>130</v>
      </c>
      <c r="Z1172" s="12" t="s">
        <v>285</v>
      </c>
      <c r="AA1172" s="12" t="s">
        <v>6276</v>
      </c>
      <c r="AB1172" s="16" t="s">
        <v>110</v>
      </c>
      <c r="AC1172" s="16" t="s">
        <v>6277</v>
      </c>
      <c r="AD1172" s="12" t="s">
        <v>281</v>
      </c>
      <c r="AE1172" s="12" t="s">
        <v>282</v>
      </c>
      <c r="AF1172" s="12" t="s">
        <v>6282</v>
      </c>
      <c r="AG1172" s="12" t="s">
        <v>284</v>
      </c>
      <c r="AH1172" s="12" t="s">
        <v>116</v>
      </c>
      <c r="AI1172" s="12" t="s">
        <v>285</v>
      </c>
      <c r="AJ1172" s="12" t="s">
        <v>6283</v>
      </c>
      <c r="AK1172" s="12" t="s">
        <v>4</v>
      </c>
    </row>
    <row r="1173" customFormat="false" ht="15" hidden="false" customHeight="false" outlineLevel="0" collapsed="false">
      <c r="A1173" s="11" t="n">
        <v>1172</v>
      </c>
      <c r="B1173" s="12" t="s">
        <v>746</v>
      </c>
      <c r="C1173" s="12" t="s">
        <v>106</v>
      </c>
      <c r="D1173" s="12" t="s">
        <v>5753</v>
      </c>
      <c r="E1173" s="12" t="s">
        <v>5753</v>
      </c>
      <c r="F1173" s="12" t="s">
        <v>626</v>
      </c>
      <c r="G1173" s="12" t="s">
        <v>95</v>
      </c>
      <c r="H1173" s="12" t="s">
        <v>747</v>
      </c>
      <c r="I1173" s="12" t="s">
        <v>748</v>
      </c>
      <c r="J1173" s="13" t="s">
        <v>749</v>
      </c>
      <c r="K1173" s="12" t="s">
        <v>750</v>
      </c>
      <c r="L1173" s="12" t="s">
        <v>6284</v>
      </c>
      <c r="M1173" s="12" t="s">
        <v>6285</v>
      </c>
      <c r="N1173" s="12" t="s">
        <v>352</v>
      </c>
      <c r="O1173" s="12" t="s">
        <v>102</v>
      </c>
      <c r="P1173" s="12" t="s">
        <v>103</v>
      </c>
      <c r="Q1173" s="12" t="s">
        <v>104</v>
      </c>
      <c r="R1173" s="14" t="n">
        <v>24.75</v>
      </c>
      <c r="S1173" s="14" t="s">
        <v>129</v>
      </c>
      <c r="T1173" s="14" t="s">
        <v>653</v>
      </c>
      <c r="U1173" s="14" t="n">
        <v>2016</v>
      </c>
      <c r="V1173" s="12" t="s">
        <v>157</v>
      </c>
      <c r="W1173" s="14" t="s">
        <v>6286</v>
      </c>
      <c r="X1173" s="15" t="n">
        <f aca="false">IF(OR($S1173="%",$R1173=""),"",$R1173*INDEX(Cambi!$J$2:$J$5,MATCH($S1173,Cambi!$I$2:$I$5,0))/IF($T1173="EUR",1,INDEX(Cambi!$D:$D,MATCH($T1173&amp;"|"&amp;$U1173,Cambi!$C:$C,0))))</f>
        <v>22359.7434275906</v>
      </c>
      <c r="Y1173" s="12" t="s">
        <v>109</v>
      </c>
      <c r="Z1173" s="12" t="s">
        <v>285</v>
      </c>
      <c r="AA1173" s="12" t="s">
        <v>109</v>
      </c>
      <c r="AB1173" s="16" t="s">
        <v>110</v>
      </c>
      <c r="AC1173" s="16" t="s">
        <v>753</v>
      </c>
      <c r="AD1173" s="12" t="s">
        <v>281</v>
      </c>
      <c r="AE1173" s="12" t="s">
        <v>282</v>
      </c>
      <c r="AF1173" s="12" t="s">
        <v>6287</v>
      </c>
      <c r="AG1173" s="12" t="s">
        <v>284</v>
      </c>
      <c r="AH1173" s="12" t="s">
        <v>116</v>
      </c>
      <c r="AI1173" s="12" t="s">
        <v>285</v>
      </c>
      <c r="AJ1173" s="12" t="s">
        <v>6288</v>
      </c>
      <c r="AK1173" s="12" t="s">
        <v>4</v>
      </c>
    </row>
    <row r="1174" customFormat="false" ht="15" hidden="false" customHeight="false" outlineLevel="0" collapsed="false">
      <c r="A1174" s="11" t="n">
        <v>1173</v>
      </c>
      <c r="B1174" s="12" t="s">
        <v>6289</v>
      </c>
      <c r="C1174" s="12" t="s">
        <v>106</v>
      </c>
      <c r="D1174" s="12" t="s">
        <v>5753</v>
      </c>
      <c r="E1174" s="12" t="s">
        <v>5753</v>
      </c>
      <c r="F1174" s="12" t="s">
        <v>6290</v>
      </c>
      <c r="G1174" s="12" t="s">
        <v>95</v>
      </c>
      <c r="H1174" s="12" t="s">
        <v>6291</v>
      </c>
      <c r="I1174" s="12" t="s">
        <v>748</v>
      </c>
      <c r="J1174" s="13" t="s">
        <v>6292</v>
      </c>
      <c r="K1174" s="12" t="s">
        <v>6293</v>
      </c>
      <c r="L1174" s="12" t="s">
        <v>5821</v>
      </c>
      <c r="M1174" s="12" t="s">
        <v>6294</v>
      </c>
      <c r="N1174" s="12" t="s">
        <v>352</v>
      </c>
      <c r="O1174" s="12" t="s">
        <v>102</v>
      </c>
      <c r="P1174" s="12" t="s">
        <v>103</v>
      </c>
      <c r="Q1174" s="12" t="s">
        <v>104</v>
      </c>
      <c r="R1174" s="14" t="n">
        <v>18.8</v>
      </c>
      <c r="S1174" s="14" t="s">
        <v>129</v>
      </c>
      <c r="T1174" s="14" t="s">
        <v>106</v>
      </c>
      <c r="U1174" s="14" t="n">
        <v>2014</v>
      </c>
      <c r="V1174" s="12" t="s">
        <v>157</v>
      </c>
      <c r="W1174" s="14"/>
      <c r="X1174" s="15" t="n">
        <f aca="false">IF(OR($S1174="%",$R1174=""),"",$R1174*INDEX(Cambi!$J$2:$J$5,MATCH($S1174,Cambi!$I$2:$I$5,0))/IF($T1174="EUR",1,INDEX(Cambi!$D:$D,MATCH($T1174&amp;"|"&amp;$U1174,Cambi!$C:$C,0))))</f>
        <v>18800</v>
      </c>
      <c r="Y1174" s="12" t="s">
        <v>109</v>
      </c>
      <c r="Z1174" s="12" t="s">
        <v>285</v>
      </c>
      <c r="AA1174" s="12" t="s">
        <v>6295</v>
      </c>
      <c r="AB1174" s="16" t="s">
        <v>110</v>
      </c>
      <c r="AC1174" s="16" t="s">
        <v>6296</v>
      </c>
      <c r="AD1174" s="12" t="s">
        <v>281</v>
      </c>
      <c r="AE1174" s="12" t="s">
        <v>282</v>
      </c>
      <c r="AF1174" s="12" t="s">
        <v>6297</v>
      </c>
      <c r="AG1174" s="12" t="s">
        <v>284</v>
      </c>
      <c r="AH1174" s="12" t="s">
        <v>116</v>
      </c>
      <c r="AI1174" s="12" t="s">
        <v>285</v>
      </c>
      <c r="AJ1174" s="12" t="s">
        <v>6298</v>
      </c>
      <c r="AK1174" s="12" t="s">
        <v>4</v>
      </c>
    </row>
    <row r="1175" customFormat="false" ht="15" hidden="false" customHeight="false" outlineLevel="0" collapsed="false">
      <c r="A1175" s="11" t="n">
        <v>1174</v>
      </c>
      <c r="B1175" s="12" t="s">
        <v>638</v>
      </c>
      <c r="C1175" s="12" t="s">
        <v>106</v>
      </c>
      <c r="D1175" s="12" t="s">
        <v>5753</v>
      </c>
      <c r="E1175" s="12" t="s">
        <v>5753</v>
      </c>
      <c r="F1175" s="12" t="s">
        <v>639</v>
      </c>
      <c r="G1175" s="12" t="s">
        <v>95</v>
      </c>
      <c r="H1175" s="12" t="s">
        <v>640</v>
      </c>
      <c r="I1175" s="12" t="s">
        <v>641</v>
      </c>
      <c r="J1175" s="13" t="s">
        <v>642</v>
      </c>
      <c r="K1175" s="12" t="s">
        <v>643</v>
      </c>
      <c r="L1175" s="12" t="s">
        <v>6299</v>
      </c>
      <c r="M1175" s="12" t="s">
        <v>6300</v>
      </c>
      <c r="N1175" s="12" t="s">
        <v>352</v>
      </c>
      <c r="O1175" s="12" t="s">
        <v>102</v>
      </c>
      <c r="P1175" s="12" t="s">
        <v>103</v>
      </c>
      <c r="Q1175" s="12" t="s">
        <v>104</v>
      </c>
      <c r="R1175" s="14" t="n">
        <v>135</v>
      </c>
      <c r="S1175" s="14" t="s">
        <v>129</v>
      </c>
      <c r="T1175" s="14" t="s">
        <v>106</v>
      </c>
      <c r="U1175" s="14" t="n">
        <v>2033</v>
      </c>
      <c r="V1175" s="12" t="s">
        <v>107</v>
      </c>
      <c r="W1175" s="14"/>
      <c r="X1175" s="15" t="n">
        <f aca="false">IF(OR($S1175="%",$R1175=""),"",$R1175*INDEX(Cambi!$J$2:$J$5,MATCH($S1175,Cambi!$I$2:$I$5,0))/IF($T1175="EUR",1,INDEX(Cambi!$D:$D,MATCH($T1175&amp;"|"&amp;$U1175,Cambi!$C:$C,0))))</f>
        <v>135000</v>
      </c>
      <c r="Y1175" s="12" t="s">
        <v>654</v>
      </c>
      <c r="Z1175" s="12" t="s">
        <v>285</v>
      </c>
      <c r="AA1175" s="12" t="s">
        <v>647</v>
      </c>
      <c r="AB1175" s="16" t="s">
        <v>110</v>
      </c>
      <c r="AC1175" s="16" t="s">
        <v>648</v>
      </c>
      <c r="AD1175" s="12" t="s">
        <v>281</v>
      </c>
      <c r="AE1175" s="12" t="s">
        <v>282</v>
      </c>
      <c r="AF1175" s="12" t="s">
        <v>6301</v>
      </c>
      <c r="AG1175" s="12" t="s">
        <v>284</v>
      </c>
      <c r="AH1175" s="12" t="s">
        <v>116</v>
      </c>
      <c r="AI1175" s="12" t="s">
        <v>285</v>
      </c>
      <c r="AJ1175" s="12" t="s">
        <v>6302</v>
      </c>
      <c r="AK1175" s="12" t="s">
        <v>4</v>
      </c>
    </row>
    <row r="1176" customFormat="false" ht="15" hidden="false" customHeight="false" outlineLevel="0" collapsed="false">
      <c r="A1176" s="11" t="n">
        <v>1175</v>
      </c>
      <c r="B1176" s="12" t="s">
        <v>6303</v>
      </c>
      <c r="C1176" s="12" t="s">
        <v>106</v>
      </c>
      <c r="D1176" s="12" t="s">
        <v>5753</v>
      </c>
      <c r="E1176" s="12" t="s">
        <v>5753</v>
      </c>
      <c r="F1176" s="12" t="s">
        <v>2817</v>
      </c>
      <c r="G1176" s="12" t="s">
        <v>830</v>
      </c>
      <c r="H1176" s="12" t="s">
        <v>6304</v>
      </c>
      <c r="I1176" s="12" t="s">
        <v>847</v>
      </c>
      <c r="J1176" s="13" t="s">
        <v>6305</v>
      </c>
      <c r="K1176" s="12" t="s">
        <v>6306</v>
      </c>
      <c r="L1176" s="12" t="s">
        <v>6307</v>
      </c>
      <c r="M1176" s="12" t="s">
        <v>6308</v>
      </c>
      <c r="N1176" s="12" t="s">
        <v>352</v>
      </c>
      <c r="O1176" s="12" t="s">
        <v>102</v>
      </c>
      <c r="P1176" s="12" t="s">
        <v>103</v>
      </c>
      <c r="Q1176" s="12" t="s">
        <v>104</v>
      </c>
      <c r="R1176" s="14" t="n">
        <v>160.74</v>
      </c>
      <c r="S1176" s="14" t="s">
        <v>129</v>
      </c>
      <c r="T1176" s="14" t="s">
        <v>653</v>
      </c>
      <c r="U1176" s="14" t="n">
        <v>2033</v>
      </c>
      <c r="V1176" s="12" t="s">
        <v>107</v>
      </c>
      <c r="W1176" s="14" t="s">
        <v>6309</v>
      </c>
      <c r="X1176" s="15" t="n">
        <f aca="false">IF(OR($S1176="%",$R1176=""),"",$R1176*INDEX(Cambi!$J$2:$J$5,MATCH($S1176,Cambi!$I$2:$I$5,0))/IF($T1176="EUR",1,INDEX(Cambi!$D:$D,MATCH($T1176&amp;"|"&amp;$U1176,Cambi!$C:$C,0))))</f>
        <v>142247.787610619</v>
      </c>
      <c r="Y1176" s="12" t="s">
        <v>109</v>
      </c>
      <c r="Z1176" s="12" t="s">
        <v>285</v>
      </c>
      <c r="AA1176" s="12" t="s">
        <v>109</v>
      </c>
      <c r="AB1176" s="12" t="s">
        <v>3261</v>
      </c>
      <c r="AC1176" s="12" t="s">
        <v>395</v>
      </c>
      <c r="AD1176" s="12" t="s">
        <v>281</v>
      </c>
      <c r="AE1176" s="12" t="s">
        <v>5986</v>
      </c>
      <c r="AF1176" s="12" t="s">
        <v>6310</v>
      </c>
      <c r="AG1176" s="12" t="s">
        <v>498</v>
      </c>
      <c r="AH1176" s="12" t="s">
        <v>838</v>
      </c>
      <c r="AI1176" s="12" t="s">
        <v>117</v>
      </c>
      <c r="AJ1176" s="12" t="s">
        <v>6311</v>
      </c>
      <c r="AK1176" s="12" t="s">
        <v>4</v>
      </c>
    </row>
    <row r="1177" customFormat="false" ht="15" hidden="false" customHeight="false" outlineLevel="0" collapsed="false">
      <c r="A1177" s="11" t="n">
        <v>1176</v>
      </c>
      <c r="B1177" s="12" t="s">
        <v>6312</v>
      </c>
      <c r="C1177" s="12" t="s">
        <v>106</v>
      </c>
      <c r="D1177" s="12" t="s">
        <v>5753</v>
      </c>
      <c r="E1177" s="12" t="s">
        <v>5753</v>
      </c>
      <c r="F1177" s="12" t="s">
        <v>2817</v>
      </c>
      <c r="G1177" s="12" t="s">
        <v>830</v>
      </c>
      <c r="H1177" s="12" t="s">
        <v>6313</v>
      </c>
      <c r="I1177" s="12" t="s">
        <v>808</v>
      </c>
      <c r="J1177" s="13" t="s">
        <v>6314</v>
      </c>
      <c r="K1177" s="12"/>
      <c r="L1177" s="12" t="s">
        <v>6315</v>
      </c>
      <c r="M1177" s="12" t="s">
        <v>6316</v>
      </c>
      <c r="N1177" s="12" t="s">
        <v>352</v>
      </c>
      <c r="O1177" s="12" t="s">
        <v>102</v>
      </c>
      <c r="P1177" s="12" t="s">
        <v>103</v>
      </c>
      <c r="Q1177" s="12" t="s">
        <v>104</v>
      </c>
      <c r="R1177" s="14" t="n">
        <v>65</v>
      </c>
      <c r="S1177" s="14" t="s">
        <v>129</v>
      </c>
      <c r="T1177" s="14" t="s">
        <v>653</v>
      </c>
      <c r="U1177" s="14" t="n">
        <v>2029</v>
      </c>
      <c r="V1177" s="12" t="s">
        <v>107</v>
      </c>
      <c r="W1177" s="14"/>
      <c r="X1177" s="15" t="n">
        <f aca="false">IF(OR($S1177="%",$R1177=""),"",$R1177*INDEX(Cambi!$J$2:$J$5,MATCH($S1177,Cambi!$I$2:$I$5,0))/IF($T1177="EUR",1,INDEX(Cambi!$D:$D,MATCH($T1177&amp;"|"&amp;$U1177,Cambi!$C:$C,0))))</f>
        <v>57522.1238938053</v>
      </c>
      <c r="Y1177" s="12" t="s">
        <v>109</v>
      </c>
      <c r="Z1177" s="12" t="s">
        <v>285</v>
      </c>
      <c r="AA1177" s="12" t="s">
        <v>109</v>
      </c>
      <c r="AB1177" s="16" t="s">
        <v>110</v>
      </c>
      <c r="AC1177" s="16" t="s">
        <v>6317</v>
      </c>
      <c r="AD1177" s="12" t="s">
        <v>112</v>
      </c>
      <c r="AE1177" s="12" t="s">
        <v>6318</v>
      </c>
      <c r="AF1177" s="12" t="s">
        <v>6319</v>
      </c>
      <c r="AG1177" s="12" t="s">
        <v>284</v>
      </c>
      <c r="AH1177" s="12" t="s">
        <v>838</v>
      </c>
      <c r="AI1177" s="12" t="s">
        <v>117</v>
      </c>
      <c r="AJ1177" s="12" t="s">
        <v>6320</v>
      </c>
      <c r="AK1177" s="12" t="s">
        <v>4</v>
      </c>
    </row>
    <row r="1178" customFormat="false" ht="15" hidden="false" customHeight="false" outlineLevel="0" collapsed="false">
      <c r="A1178" s="11" t="n">
        <v>1177</v>
      </c>
      <c r="B1178" s="12" t="s">
        <v>3601</v>
      </c>
      <c r="C1178" s="12" t="s">
        <v>106</v>
      </c>
      <c r="D1178" s="12" t="s">
        <v>5753</v>
      </c>
      <c r="E1178" s="12" t="s">
        <v>5753</v>
      </c>
      <c r="F1178" s="12" t="s">
        <v>56</v>
      </c>
      <c r="G1178" s="12" t="s">
        <v>830</v>
      </c>
      <c r="H1178" s="12" t="s">
        <v>6321</v>
      </c>
      <c r="I1178" s="12" t="s">
        <v>4518</v>
      </c>
      <c r="J1178" s="13" t="s">
        <v>6322</v>
      </c>
      <c r="K1178" s="12"/>
      <c r="L1178" s="12" t="s">
        <v>6323</v>
      </c>
      <c r="M1178" s="12" t="s">
        <v>6324</v>
      </c>
      <c r="N1178" s="12" t="s">
        <v>352</v>
      </c>
      <c r="O1178" s="12" t="s">
        <v>102</v>
      </c>
      <c r="P1178" s="12" t="s">
        <v>103</v>
      </c>
      <c r="Q1178" s="12" t="s">
        <v>104</v>
      </c>
      <c r="R1178" s="14" t="n">
        <v>42.37</v>
      </c>
      <c r="S1178" s="14" t="s">
        <v>129</v>
      </c>
      <c r="T1178" s="14" t="s">
        <v>106</v>
      </c>
      <c r="U1178" s="14" t="n">
        <v>2024</v>
      </c>
      <c r="V1178" s="12" t="s">
        <v>198</v>
      </c>
      <c r="W1178" s="14"/>
      <c r="X1178" s="15" t="n">
        <f aca="false">IF(OR($S1178="%",$R1178=""),"",$R1178*INDEX(Cambi!$J$2:$J$5,MATCH($S1178,Cambi!$I$2:$I$5,0))/IF($T1178="EUR",1,INDEX(Cambi!$D:$D,MATCH($T1178&amp;"|"&amp;$U1178,Cambi!$C:$C,0))))</f>
        <v>42370</v>
      </c>
      <c r="Y1178" s="12" t="s">
        <v>654</v>
      </c>
      <c r="Z1178" s="12" t="s">
        <v>285</v>
      </c>
      <c r="AA1178" s="12" t="s">
        <v>6325</v>
      </c>
      <c r="AB1178" s="16" t="s">
        <v>679</v>
      </c>
      <c r="AC1178" s="16" t="s">
        <v>6326</v>
      </c>
      <c r="AD1178" s="12" t="s">
        <v>201</v>
      </c>
      <c r="AE1178" s="12" t="s">
        <v>6327</v>
      </c>
      <c r="AF1178" s="12" t="s">
        <v>6328</v>
      </c>
      <c r="AG1178" s="12" t="s">
        <v>498</v>
      </c>
      <c r="AH1178" s="12" t="s">
        <v>838</v>
      </c>
      <c r="AI1178" s="12" t="s">
        <v>117</v>
      </c>
      <c r="AJ1178" s="12" t="s">
        <v>6329</v>
      </c>
      <c r="AK1178" s="12" t="s">
        <v>4</v>
      </c>
    </row>
    <row r="1179" customFormat="false" ht="15" hidden="false" customHeight="false" outlineLevel="0" collapsed="false">
      <c r="A1179" s="11" t="n">
        <v>1178</v>
      </c>
      <c r="B1179" s="12" t="s">
        <v>3601</v>
      </c>
      <c r="C1179" s="12" t="s">
        <v>106</v>
      </c>
      <c r="D1179" s="12" t="s">
        <v>5753</v>
      </c>
      <c r="E1179" s="12" t="s">
        <v>5753</v>
      </c>
      <c r="F1179" s="12" t="s">
        <v>56</v>
      </c>
      <c r="G1179" s="12" t="s">
        <v>830</v>
      </c>
      <c r="H1179" s="12" t="s">
        <v>6330</v>
      </c>
      <c r="I1179" s="12" t="s">
        <v>3604</v>
      </c>
      <c r="J1179" s="13" t="s">
        <v>6331</v>
      </c>
      <c r="K1179" s="12"/>
      <c r="L1179" s="12" t="s">
        <v>6332</v>
      </c>
      <c r="M1179" s="12" t="s">
        <v>6333</v>
      </c>
      <c r="N1179" s="12" t="s">
        <v>352</v>
      </c>
      <c r="O1179" s="12" t="s">
        <v>102</v>
      </c>
      <c r="P1179" s="12" t="s">
        <v>103</v>
      </c>
      <c r="Q1179" s="12" t="s">
        <v>104</v>
      </c>
      <c r="R1179" s="14" t="n">
        <v>61</v>
      </c>
      <c r="S1179" s="14" t="s">
        <v>129</v>
      </c>
      <c r="T1179" s="14" t="s">
        <v>106</v>
      </c>
      <c r="U1179" s="14" t="n">
        <v>2029</v>
      </c>
      <c r="V1179" s="12" t="s">
        <v>107</v>
      </c>
      <c r="W1179" s="14"/>
      <c r="X1179" s="15" t="n">
        <f aca="false">IF(OR($S1179="%",$R1179=""),"",$R1179*INDEX(Cambi!$J$2:$J$5,MATCH($S1179,Cambi!$I$2:$I$5,0))/IF($T1179="EUR",1,INDEX(Cambi!$D:$D,MATCH($T1179&amp;"|"&amp;$U1179,Cambi!$C:$C,0))))</f>
        <v>61000</v>
      </c>
      <c r="Y1179" s="12" t="s">
        <v>654</v>
      </c>
      <c r="Z1179" s="12" t="s">
        <v>285</v>
      </c>
      <c r="AA1179" s="12" t="s">
        <v>6325</v>
      </c>
      <c r="AB1179" s="16" t="s">
        <v>679</v>
      </c>
      <c r="AC1179" s="16" t="s">
        <v>6326</v>
      </c>
      <c r="AD1179" s="12" t="s">
        <v>201</v>
      </c>
      <c r="AE1179" s="12" t="s">
        <v>6327</v>
      </c>
      <c r="AF1179" s="12" t="s">
        <v>6334</v>
      </c>
      <c r="AG1179" s="12" t="s">
        <v>498</v>
      </c>
      <c r="AH1179" s="12" t="s">
        <v>838</v>
      </c>
      <c r="AI1179" s="12" t="s">
        <v>117</v>
      </c>
      <c r="AJ1179" s="12" t="s">
        <v>6335</v>
      </c>
      <c r="AK1179" s="12" t="s">
        <v>4</v>
      </c>
    </row>
    <row r="1180" customFormat="false" ht="15" hidden="false" customHeight="false" outlineLevel="0" collapsed="false">
      <c r="A1180" s="11" t="n">
        <v>1179</v>
      </c>
      <c r="B1180" s="12" t="s">
        <v>6336</v>
      </c>
      <c r="C1180" s="12" t="s">
        <v>106</v>
      </c>
      <c r="D1180" s="12" t="s">
        <v>5753</v>
      </c>
      <c r="E1180" s="12" t="s">
        <v>5753</v>
      </c>
      <c r="F1180" s="12" t="s">
        <v>6337</v>
      </c>
      <c r="G1180" s="12" t="s">
        <v>830</v>
      </c>
      <c r="H1180" s="12" t="s">
        <v>6338</v>
      </c>
      <c r="I1180" s="12" t="s">
        <v>6339</v>
      </c>
      <c r="J1180" s="13" t="s">
        <v>6340</v>
      </c>
      <c r="K1180" s="12"/>
      <c r="L1180" s="12" t="s">
        <v>6341</v>
      </c>
      <c r="M1180" s="12" t="s">
        <v>6342</v>
      </c>
      <c r="N1180" s="12" t="s">
        <v>352</v>
      </c>
      <c r="O1180" s="12" t="s">
        <v>213</v>
      </c>
      <c r="P1180" s="12" t="s">
        <v>103</v>
      </c>
      <c r="Q1180" s="12" t="s">
        <v>104</v>
      </c>
      <c r="R1180" s="14" t="n">
        <v>9.4</v>
      </c>
      <c r="S1180" s="14" t="s">
        <v>197</v>
      </c>
      <c r="T1180" s="14"/>
      <c r="U1180" s="14" t="n">
        <v>2025</v>
      </c>
      <c r="V1180" s="12" t="s">
        <v>107</v>
      </c>
      <c r="W1180" s="14"/>
      <c r="X1180" s="15" t="str">
        <f aca="false">IF(OR($S1180="%",$R1180=""),"",$R1180*INDEX(Cambi!$J$2:$J$5,MATCH($S1180,Cambi!$I$2:$I$5,0))/IF($T1180="EUR",1,INDEX(Cambi!$D:$D,MATCH($T1180&amp;"|"&amp;$U1180,Cambi!$C:$C,0))))</f>
        <v/>
      </c>
      <c r="Y1180" s="12" t="s">
        <v>109</v>
      </c>
      <c r="Z1180" s="12" t="s">
        <v>285</v>
      </c>
      <c r="AA1180" s="12" t="s">
        <v>109</v>
      </c>
      <c r="AB1180" s="16" t="s">
        <v>679</v>
      </c>
      <c r="AC1180" s="16" t="s">
        <v>6343</v>
      </c>
      <c r="AD1180" s="12" t="s">
        <v>112</v>
      </c>
      <c r="AE1180" s="12" t="s">
        <v>6344</v>
      </c>
      <c r="AF1180" s="12" t="s">
        <v>6345</v>
      </c>
      <c r="AG1180" s="12" t="s">
        <v>498</v>
      </c>
      <c r="AH1180" s="12" t="s">
        <v>838</v>
      </c>
      <c r="AI1180" s="12" t="s">
        <v>117</v>
      </c>
      <c r="AJ1180" s="12" t="s">
        <v>266</v>
      </c>
      <c r="AK1180" s="12" t="s">
        <v>4</v>
      </c>
    </row>
    <row r="1181" customFormat="false" ht="15" hidden="false" customHeight="false" outlineLevel="0" collapsed="false">
      <c r="A1181" s="11" t="n">
        <v>1180</v>
      </c>
      <c r="B1181" s="12" t="s">
        <v>6336</v>
      </c>
      <c r="C1181" s="12" t="s">
        <v>106</v>
      </c>
      <c r="D1181" s="12" t="s">
        <v>5753</v>
      </c>
      <c r="E1181" s="12" t="s">
        <v>5753</v>
      </c>
      <c r="F1181" s="12" t="s">
        <v>6337</v>
      </c>
      <c r="G1181" s="12" t="s">
        <v>830</v>
      </c>
      <c r="H1181" s="12" t="s">
        <v>6338</v>
      </c>
      <c r="I1181" s="12" t="s">
        <v>6339</v>
      </c>
      <c r="J1181" s="13" t="s">
        <v>6340</v>
      </c>
      <c r="K1181" s="12"/>
      <c r="L1181" s="12" t="s">
        <v>6346</v>
      </c>
      <c r="M1181" s="12" t="s">
        <v>6347</v>
      </c>
      <c r="N1181" s="12" t="s">
        <v>352</v>
      </c>
      <c r="O1181" s="12" t="s">
        <v>102</v>
      </c>
      <c r="P1181" s="12" t="s">
        <v>103</v>
      </c>
      <c r="Q1181" s="12" t="s">
        <v>104</v>
      </c>
      <c r="R1181" s="14" t="n">
        <v>33.8925</v>
      </c>
      <c r="S1181" s="14" t="s">
        <v>129</v>
      </c>
      <c r="T1181" s="14" t="s">
        <v>653</v>
      </c>
      <c r="U1181" s="14" t="n">
        <v>2029</v>
      </c>
      <c r="V1181" s="12" t="s">
        <v>107</v>
      </c>
      <c r="W1181" s="14" t="s">
        <v>6348</v>
      </c>
      <c r="X1181" s="15" t="n">
        <f aca="false">IF(OR($S1181="%",$R1181=""),"",$R1181*INDEX(Cambi!$J$2:$J$5,MATCH($S1181,Cambi!$I$2:$I$5,0))/IF($T1181="EUR",1,INDEX(Cambi!$D:$D,MATCH($T1181&amp;"|"&amp;$U1181,Cambi!$C:$C,0))))</f>
        <v>29993.3628318584</v>
      </c>
      <c r="Y1181" s="12" t="s">
        <v>109</v>
      </c>
      <c r="Z1181" s="12" t="s">
        <v>285</v>
      </c>
      <c r="AA1181" s="12" t="s">
        <v>109</v>
      </c>
      <c r="AB1181" s="16" t="s">
        <v>679</v>
      </c>
      <c r="AC1181" s="16" t="s">
        <v>6343</v>
      </c>
      <c r="AD1181" s="12" t="s">
        <v>112</v>
      </c>
      <c r="AE1181" s="12" t="s">
        <v>6344</v>
      </c>
      <c r="AF1181" s="12" t="s">
        <v>6349</v>
      </c>
      <c r="AG1181" s="12" t="s">
        <v>498</v>
      </c>
      <c r="AH1181" s="12" t="s">
        <v>838</v>
      </c>
      <c r="AI1181" s="12" t="s">
        <v>117</v>
      </c>
      <c r="AJ1181" s="12" t="s">
        <v>6350</v>
      </c>
      <c r="AK1181" s="12" t="s">
        <v>4</v>
      </c>
    </row>
    <row r="1182" customFormat="false" ht="15" hidden="false" customHeight="false" outlineLevel="0" collapsed="false">
      <c r="A1182" s="11" t="n">
        <v>1181</v>
      </c>
      <c r="B1182" s="12" t="s">
        <v>6351</v>
      </c>
      <c r="C1182" s="12" t="s">
        <v>106</v>
      </c>
      <c r="D1182" s="12" t="s">
        <v>5753</v>
      </c>
      <c r="E1182" s="12" t="s">
        <v>5753</v>
      </c>
      <c r="F1182" s="12" t="s">
        <v>6352</v>
      </c>
      <c r="G1182" s="12" t="s">
        <v>345</v>
      </c>
      <c r="H1182" s="12" t="s">
        <v>6353</v>
      </c>
      <c r="I1182" s="12" t="s">
        <v>1996</v>
      </c>
      <c r="J1182" s="13" t="s">
        <v>6354</v>
      </c>
      <c r="K1182" s="12"/>
      <c r="L1182" s="12" t="s">
        <v>6355</v>
      </c>
      <c r="M1182" s="12" t="s">
        <v>6356</v>
      </c>
      <c r="N1182" s="12" t="s">
        <v>195</v>
      </c>
      <c r="O1182" s="12" t="s">
        <v>196</v>
      </c>
      <c r="P1182" s="12" t="s">
        <v>103</v>
      </c>
      <c r="Q1182" s="12" t="s">
        <v>104</v>
      </c>
      <c r="R1182" s="14" t="n">
        <v>9.6</v>
      </c>
      <c r="S1182" s="14" t="s">
        <v>197</v>
      </c>
      <c r="T1182" s="14"/>
      <c r="U1182" s="14" t="n">
        <v>2022</v>
      </c>
      <c r="V1182" s="12" t="s">
        <v>198</v>
      </c>
      <c r="W1182" s="14"/>
      <c r="X1182" s="15" t="str">
        <f aca="false">IF(OR($S1182="%",$R1182=""),"",$R1182*INDEX(Cambi!$J$2:$J$5,MATCH($S1182,Cambi!$I$2:$I$5,0))/IF($T1182="EUR",1,INDEX(Cambi!$D:$D,MATCH($T1182&amp;"|"&amp;$U1182,Cambi!$C:$C,0))))</f>
        <v/>
      </c>
      <c r="Y1182" s="12" t="s">
        <v>130</v>
      </c>
      <c r="Z1182" s="12" t="s">
        <v>109</v>
      </c>
      <c r="AA1182" s="12" t="s">
        <v>6357</v>
      </c>
      <c r="AB1182" s="12" t="s">
        <v>394</v>
      </c>
      <c r="AC1182" s="12" t="s">
        <v>395</v>
      </c>
      <c r="AD1182" s="12" t="s">
        <v>112</v>
      </c>
      <c r="AE1182" s="12" t="s">
        <v>6358</v>
      </c>
      <c r="AF1182" s="12" t="s">
        <v>6359</v>
      </c>
      <c r="AG1182" s="12" t="s">
        <v>115</v>
      </c>
      <c r="AH1182" s="12" t="s">
        <v>116</v>
      </c>
      <c r="AI1182" s="12" t="s">
        <v>117</v>
      </c>
      <c r="AJ1182" s="12" t="s">
        <v>6360</v>
      </c>
      <c r="AK1182" s="12" t="s">
        <v>4</v>
      </c>
    </row>
    <row r="1183" customFormat="false" ht="15" hidden="false" customHeight="false" outlineLevel="0" collapsed="false">
      <c r="A1183" s="11" t="n">
        <v>1182</v>
      </c>
      <c r="B1183" s="12" t="s">
        <v>6351</v>
      </c>
      <c r="C1183" s="12" t="s">
        <v>106</v>
      </c>
      <c r="D1183" s="12" t="s">
        <v>5753</v>
      </c>
      <c r="E1183" s="12" t="s">
        <v>5753</v>
      </c>
      <c r="F1183" s="12" t="s">
        <v>6352</v>
      </c>
      <c r="G1183" s="12" t="s">
        <v>345</v>
      </c>
      <c r="H1183" s="12" t="s">
        <v>6353</v>
      </c>
      <c r="I1183" s="12" t="s">
        <v>1996</v>
      </c>
      <c r="J1183" s="13" t="s">
        <v>6354</v>
      </c>
      <c r="K1183" s="12"/>
      <c r="L1183" s="12" t="s">
        <v>6361</v>
      </c>
      <c r="M1183" s="12" t="s">
        <v>6362</v>
      </c>
      <c r="N1183" s="12" t="s">
        <v>212</v>
      </c>
      <c r="O1183" s="12" t="s">
        <v>213</v>
      </c>
      <c r="P1183" s="12" t="s">
        <v>103</v>
      </c>
      <c r="Q1183" s="12" t="s">
        <v>104</v>
      </c>
      <c r="R1183" s="14" t="n">
        <v>20.9</v>
      </c>
      <c r="S1183" s="14" t="s">
        <v>197</v>
      </c>
      <c r="T1183" s="14"/>
      <c r="U1183" s="14" t="n">
        <v>2022</v>
      </c>
      <c r="V1183" s="12" t="s">
        <v>198</v>
      </c>
      <c r="W1183" s="14"/>
      <c r="X1183" s="15" t="str">
        <f aca="false">IF(OR($S1183="%",$R1183=""),"",$R1183*INDEX(Cambi!$J$2:$J$5,MATCH($S1183,Cambi!$I$2:$I$5,0))/IF($T1183="EUR",1,INDEX(Cambi!$D:$D,MATCH($T1183&amp;"|"&amp;$U1183,Cambi!$C:$C,0))))</f>
        <v/>
      </c>
      <c r="Y1183" s="12" t="s">
        <v>130</v>
      </c>
      <c r="Z1183" s="12" t="s">
        <v>109</v>
      </c>
      <c r="AA1183" s="12" t="s">
        <v>6357</v>
      </c>
      <c r="AB1183" s="12" t="s">
        <v>394</v>
      </c>
      <c r="AC1183" s="12" t="s">
        <v>395</v>
      </c>
      <c r="AD1183" s="12" t="s">
        <v>112</v>
      </c>
      <c r="AE1183" s="12" t="s">
        <v>6358</v>
      </c>
      <c r="AF1183" s="12" t="s">
        <v>6363</v>
      </c>
      <c r="AG1183" s="12" t="s">
        <v>115</v>
      </c>
      <c r="AH1183" s="12" t="s">
        <v>116</v>
      </c>
      <c r="AI1183" s="12" t="s">
        <v>117</v>
      </c>
      <c r="AJ1183" s="12" t="s">
        <v>6364</v>
      </c>
      <c r="AK1183" s="12" t="s">
        <v>4</v>
      </c>
    </row>
    <row r="1184" customFormat="false" ht="15" hidden="false" customHeight="false" outlineLevel="0" collapsed="false">
      <c r="A1184" s="11" t="n">
        <v>1183</v>
      </c>
      <c r="B1184" s="12" t="s">
        <v>6027</v>
      </c>
      <c r="C1184" s="12" t="s">
        <v>6365</v>
      </c>
      <c r="D1184" s="12" t="s">
        <v>6366</v>
      </c>
      <c r="E1184" s="12" t="s">
        <v>6367</v>
      </c>
      <c r="F1184" s="12" t="s">
        <v>2235</v>
      </c>
      <c r="G1184" s="12" t="s">
        <v>1876</v>
      </c>
      <c r="H1184" s="12" t="s">
        <v>6368</v>
      </c>
      <c r="I1184" s="12" t="s">
        <v>1667</v>
      </c>
      <c r="J1184" s="13" t="s">
        <v>6369</v>
      </c>
      <c r="K1184" s="12" t="s">
        <v>6031</v>
      </c>
      <c r="L1184" s="12" t="s">
        <v>6370</v>
      </c>
      <c r="M1184" s="12" t="s">
        <v>6371</v>
      </c>
      <c r="N1184" s="12" t="s">
        <v>352</v>
      </c>
      <c r="O1184" s="12" t="s">
        <v>102</v>
      </c>
      <c r="P1184" s="12" t="s">
        <v>103</v>
      </c>
      <c r="Q1184" s="12" t="s">
        <v>104</v>
      </c>
      <c r="R1184" s="14" t="n">
        <v>24.7</v>
      </c>
      <c r="S1184" s="14" t="s">
        <v>129</v>
      </c>
      <c r="T1184" s="14" t="s">
        <v>653</v>
      </c>
      <c r="U1184" s="14" t="n">
        <v>2019</v>
      </c>
      <c r="V1184" s="12" t="s">
        <v>198</v>
      </c>
      <c r="W1184" s="14"/>
      <c r="X1184" s="15" t="n">
        <f aca="false">IF(OR($S1184="%",$R1184=""),"",$R1184*INDEX(Cambi!$J$2:$J$5,MATCH($S1184,Cambi!$I$2:$I$5,0))/IF($T1184="EUR",1,INDEX(Cambi!$D:$D,MATCH($T1184&amp;"|"&amp;$U1184,Cambi!$C:$C,0))))</f>
        <v>22063.4211701653</v>
      </c>
      <c r="Y1184" s="12" t="s">
        <v>654</v>
      </c>
      <c r="Z1184" s="12" t="s">
        <v>285</v>
      </c>
      <c r="AA1184" s="12" t="s">
        <v>2788</v>
      </c>
      <c r="AB1184" s="16" t="s">
        <v>679</v>
      </c>
      <c r="AC1184" s="16" t="s">
        <v>2789</v>
      </c>
      <c r="AD1184" s="12" t="s">
        <v>201</v>
      </c>
      <c r="AE1184" s="12" t="s">
        <v>2790</v>
      </c>
      <c r="AF1184" s="12" t="s">
        <v>6372</v>
      </c>
      <c r="AG1184" s="12" t="s">
        <v>498</v>
      </c>
      <c r="AH1184" s="12" t="s">
        <v>499</v>
      </c>
      <c r="AI1184" s="12" t="s">
        <v>285</v>
      </c>
      <c r="AJ1184" s="12" t="s">
        <v>6373</v>
      </c>
      <c r="AK1184" s="12" t="s">
        <v>4</v>
      </c>
    </row>
    <row r="1185" customFormat="false" ht="15" hidden="false" customHeight="false" outlineLevel="0" collapsed="false">
      <c r="A1185" s="11" t="n">
        <v>1184</v>
      </c>
      <c r="B1185" s="12" t="s">
        <v>6289</v>
      </c>
      <c r="C1185" s="12" t="s">
        <v>6365</v>
      </c>
      <c r="D1185" s="12" t="s">
        <v>6366</v>
      </c>
      <c r="E1185" s="12" t="s">
        <v>6367</v>
      </c>
      <c r="F1185" s="12" t="s">
        <v>6290</v>
      </c>
      <c r="G1185" s="12" t="s">
        <v>95</v>
      </c>
      <c r="H1185" s="12" t="s">
        <v>6291</v>
      </c>
      <c r="I1185" s="12" t="s">
        <v>748</v>
      </c>
      <c r="J1185" s="13" t="s">
        <v>6292</v>
      </c>
      <c r="K1185" s="12" t="s">
        <v>6374</v>
      </c>
      <c r="L1185" s="12" t="s">
        <v>6375</v>
      </c>
      <c r="M1185" s="12" t="s">
        <v>6376</v>
      </c>
      <c r="N1185" s="12" t="s">
        <v>352</v>
      </c>
      <c r="O1185" s="12" t="s">
        <v>102</v>
      </c>
      <c r="P1185" s="12" t="s">
        <v>103</v>
      </c>
      <c r="Q1185" s="12" t="s">
        <v>104</v>
      </c>
      <c r="R1185" s="14" t="n">
        <v>21.5</v>
      </c>
      <c r="S1185" s="14" t="s">
        <v>129</v>
      </c>
      <c r="T1185" s="14" t="s">
        <v>653</v>
      </c>
      <c r="U1185" s="14" t="n">
        <v>2016</v>
      </c>
      <c r="V1185" s="12" t="s">
        <v>157</v>
      </c>
      <c r="W1185" s="14"/>
      <c r="X1185" s="15" t="n">
        <f aca="false">IF(OR($S1185="%",$R1185=""),"",$R1185*INDEX(Cambi!$J$2:$J$5,MATCH($S1185,Cambi!$I$2:$I$5,0))/IF($T1185="EUR",1,INDEX(Cambi!$D:$D,MATCH($T1185&amp;"|"&amp;$U1185,Cambi!$C:$C,0))))</f>
        <v>19423.6155027554</v>
      </c>
      <c r="Y1185" s="12" t="s">
        <v>109</v>
      </c>
      <c r="Z1185" s="12" t="s">
        <v>285</v>
      </c>
      <c r="AA1185" s="12" t="s">
        <v>6295</v>
      </c>
      <c r="AB1185" s="16" t="s">
        <v>110</v>
      </c>
      <c r="AC1185" s="16" t="s">
        <v>6296</v>
      </c>
      <c r="AD1185" s="12" t="s">
        <v>281</v>
      </c>
      <c r="AE1185" s="12" t="s">
        <v>282</v>
      </c>
      <c r="AF1185" s="12" t="s">
        <v>6377</v>
      </c>
      <c r="AG1185" s="12" t="s">
        <v>284</v>
      </c>
      <c r="AH1185" s="12" t="s">
        <v>116</v>
      </c>
      <c r="AI1185" s="12" t="s">
        <v>285</v>
      </c>
      <c r="AJ1185" s="12" t="s">
        <v>6378</v>
      </c>
      <c r="AK1185" s="12" t="s">
        <v>4</v>
      </c>
    </row>
    <row r="1186" customFormat="false" ht="15" hidden="false" customHeight="false" outlineLevel="0" collapsed="false">
      <c r="A1186" s="11" t="n">
        <v>1185</v>
      </c>
      <c r="B1186" s="12" t="s">
        <v>6289</v>
      </c>
      <c r="C1186" s="12" t="s">
        <v>6365</v>
      </c>
      <c r="D1186" s="12" t="s">
        <v>6366</v>
      </c>
      <c r="E1186" s="12" t="s">
        <v>6367</v>
      </c>
      <c r="F1186" s="12" t="s">
        <v>6290</v>
      </c>
      <c r="G1186" s="12" t="s">
        <v>95</v>
      </c>
      <c r="H1186" s="12" t="s">
        <v>6291</v>
      </c>
      <c r="I1186" s="12" t="s">
        <v>748</v>
      </c>
      <c r="J1186" s="13" t="s">
        <v>6292</v>
      </c>
      <c r="K1186" s="12" t="s">
        <v>6374</v>
      </c>
      <c r="L1186" s="12" t="s">
        <v>6379</v>
      </c>
      <c r="M1186" s="12" t="s">
        <v>6380</v>
      </c>
      <c r="N1186" s="12" t="s">
        <v>352</v>
      </c>
      <c r="O1186" s="12" t="s">
        <v>196</v>
      </c>
      <c r="P1186" s="12" t="s">
        <v>155</v>
      </c>
      <c r="Q1186" s="12" t="s">
        <v>787</v>
      </c>
      <c r="R1186" s="14" t="n">
        <v>71.1</v>
      </c>
      <c r="S1186" s="14" t="s">
        <v>197</v>
      </c>
      <c r="T1186" s="14"/>
      <c r="U1186" s="14" t="n">
        <v>2016</v>
      </c>
      <c r="V1186" s="12" t="s">
        <v>157</v>
      </c>
      <c r="W1186" s="14"/>
      <c r="X1186" s="15" t="str">
        <f aca="false">IF(OR($S1186="%",$R1186=""),"",$R1186*INDEX(Cambi!$J$2:$J$5,MATCH($S1186,Cambi!$I$2:$I$5,0))/IF($T1186="EUR",1,INDEX(Cambi!$D:$D,MATCH($T1186&amp;"|"&amp;$U1186,Cambi!$C:$C,0))))</f>
        <v/>
      </c>
      <c r="Y1186" s="12" t="s">
        <v>109</v>
      </c>
      <c r="Z1186" s="12" t="s">
        <v>285</v>
      </c>
      <c r="AA1186" s="12" t="s">
        <v>6295</v>
      </c>
      <c r="AB1186" s="16" t="s">
        <v>110</v>
      </c>
      <c r="AC1186" s="16" t="s">
        <v>6296</v>
      </c>
      <c r="AD1186" s="12" t="s">
        <v>281</v>
      </c>
      <c r="AE1186" s="12" t="s">
        <v>282</v>
      </c>
      <c r="AF1186" s="12" t="s">
        <v>6381</v>
      </c>
      <c r="AG1186" s="12" t="s">
        <v>284</v>
      </c>
      <c r="AH1186" s="12" t="s">
        <v>116</v>
      </c>
      <c r="AI1186" s="12" t="s">
        <v>285</v>
      </c>
      <c r="AJ1186" s="12" t="s">
        <v>6382</v>
      </c>
      <c r="AK1186" s="12" t="s">
        <v>4</v>
      </c>
    </row>
    <row r="1187" customFormat="false" ht="15" hidden="false" customHeight="false" outlineLevel="0" collapsed="false">
      <c r="A1187" s="11" t="n">
        <v>1186</v>
      </c>
      <c r="B1187" s="12" t="s">
        <v>6289</v>
      </c>
      <c r="C1187" s="12" t="s">
        <v>6365</v>
      </c>
      <c r="D1187" s="12" t="s">
        <v>6366</v>
      </c>
      <c r="E1187" s="12" t="s">
        <v>6367</v>
      </c>
      <c r="F1187" s="12" t="s">
        <v>6290</v>
      </c>
      <c r="G1187" s="12" t="s">
        <v>95</v>
      </c>
      <c r="H1187" s="12" t="s">
        <v>6291</v>
      </c>
      <c r="I1187" s="12" t="s">
        <v>748</v>
      </c>
      <c r="J1187" s="13" t="s">
        <v>6292</v>
      </c>
      <c r="K1187" s="12" t="s">
        <v>6374</v>
      </c>
      <c r="L1187" s="12" t="s">
        <v>6383</v>
      </c>
      <c r="M1187" s="12" t="s">
        <v>6384</v>
      </c>
      <c r="N1187" s="12" t="s">
        <v>352</v>
      </c>
      <c r="O1187" s="12" t="s">
        <v>102</v>
      </c>
      <c r="P1187" s="12" t="s">
        <v>103</v>
      </c>
      <c r="Q1187" s="12" t="s">
        <v>104</v>
      </c>
      <c r="R1187" s="14" t="n">
        <v>25.3</v>
      </c>
      <c r="S1187" s="14" t="s">
        <v>129</v>
      </c>
      <c r="T1187" s="14" t="s">
        <v>653</v>
      </c>
      <c r="U1187" s="14" t="n">
        <v>2018</v>
      </c>
      <c r="V1187" s="12" t="s">
        <v>107</v>
      </c>
      <c r="W1187" s="14" t="s">
        <v>6385</v>
      </c>
      <c r="X1187" s="15" t="n">
        <f aca="false">IF(OR($S1187="%",$R1187=""),"",$R1187*INDEX(Cambi!$J$2:$J$5,MATCH($S1187,Cambi!$I$2:$I$5,0))/IF($T1187="EUR",1,INDEX(Cambi!$D:$D,MATCH($T1187&amp;"|"&amp;$U1187,Cambi!$C:$C,0))))</f>
        <v>21422.5232853514</v>
      </c>
      <c r="Y1187" s="12" t="s">
        <v>109</v>
      </c>
      <c r="Z1187" s="12" t="s">
        <v>285</v>
      </c>
      <c r="AA1187" s="12" t="s">
        <v>6295</v>
      </c>
      <c r="AB1187" s="16" t="s">
        <v>110</v>
      </c>
      <c r="AC1187" s="16" t="s">
        <v>6296</v>
      </c>
      <c r="AD1187" s="12" t="s">
        <v>281</v>
      </c>
      <c r="AE1187" s="12" t="s">
        <v>282</v>
      </c>
      <c r="AF1187" s="12" t="s">
        <v>6386</v>
      </c>
      <c r="AG1187" s="12" t="s">
        <v>284</v>
      </c>
      <c r="AH1187" s="12" t="s">
        <v>116</v>
      </c>
      <c r="AI1187" s="12" t="s">
        <v>285</v>
      </c>
      <c r="AJ1187" s="12" t="s">
        <v>6387</v>
      </c>
      <c r="AK1187" s="12" t="s">
        <v>4</v>
      </c>
    </row>
    <row r="1188" customFormat="false" ht="15" hidden="false" customHeight="false" outlineLevel="0" collapsed="false">
      <c r="A1188" s="11" t="n">
        <v>1187</v>
      </c>
      <c r="B1188" s="12" t="s">
        <v>6388</v>
      </c>
      <c r="C1188" s="12" t="s">
        <v>6389</v>
      </c>
      <c r="D1188" s="12" t="s">
        <v>6389</v>
      </c>
      <c r="E1188" s="12" t="s">
        <v>6367</v>
      </c>
      <c r="F1188" s="12" t="s">
        <v>6390</v>
      </c>
      <c r="G1188" s="12" t="s">
        <v>581</v>
      </c>
      <c r="H1188" s="12" t="s">
        <v>6391</v>
      </c>
      <c r="I1188" s="12" t="s">
        <v>3706</v>
      </c>
      <c r="J1188" s="13" t="s">
        <v>6392</v>
      </c>
      <c r="K1188" s="12"/>
      <c r="L1188" s="12" t="s">
        <v>6393</v>
      </c>
      <c r="M1188" s="12" t="s">
        <v>6394</v>
      </c>
      <c r="N1188" s="12" t="s">
        <v>195</v>
      </c>
      <c r="O1188" s="12" t="s">
        <v>196</v>
      </c>
      <c r="P1188" s="12" t="s">
        <v>103</v>
      </c>
      <c r="Q1188" s="12" t="s">
        <v>104</v>
      </c>
      <c r="R1188" s="14" t="n">
        <v>19</v>
      </c>
      <c r="S1188" s="14" t="s">
        <v>197</v>
      </c>
      <c r="T1188" s="14"/>
      <c r="U1188" s="14" t="n">
        <v>2024</v>
      </c>
      <c r="V1188" s="12" t="s">
        <v>198</v>
      </c>
      <c r="W1188" s="14"/>
      <c r="X1188" s="15" t="str">
        <f aca="false">IF(OR($S1188="%",$R1188=""),"",$R1188*INDEX(Cambi!$J$2:$J$5,MATCH($S1188,Cambi!$I$2:$I$5,0))/IF($T1188="EUR",1,INDEX(Cambi!$D:$D,MATCH($T1188&amp;"|"&amp;$U1188,Cambi!$C:$C,0))))</f>
        <v/>
      </c>
      <c r="Y1188" s="12" t="s">
        <v>239</v>
      </c>
      <c r="Z1188" s="12" t="s">
        <v>109</v>
      </c>
      <c r="AA1188" s="12" t="s">
        <v>109</v>
      </c>
      <c r="AB1188" s="12" t="s">
        <v>394</v>
      </c>
      <c r="AC1188" s="12" t="s">
        <v>395</v>
      </c>
      <c r="AD1188" s="12" t="s">
        <v>112</v>
      </c>
      <c r="AE1188" s="12" t="s">
        <v>6395</v>
      </c>
      <c r="AF1188" s="12" t="s">
        <v>6396</v>
      </c>
      <c r="AG1188" s="12" t="s">
        <v>115</v>
      </c>
      <c r="AH1188" s="12" t="s">
        <v>116</v>
      </c>
      <c r="AI1188" s="12" t="s">
        <v>117</v>
      </c>
      <c r="AJ1188" s="12" t="s">
        <v>6397</v>
      </c>
      <c r="AK1188" s="12" t="s">
        <v>4</v>
      </c>
    </row>
    <row r="1189" customFormat="false" ht="15" hidden="false" customHeight="false" outlineLevel="0" collapsed="false">
      <c r="A1189" s="11" t="n">
        <v>1188</v>
      </c>
      <c r="B1189" s="12" t="s">
        <v>6388</v>
      </c>
      <c r="C1189" s="12" t="s">
        <v>6389</v>
      </c>
      <c r="D1189" s="12" t="s">
        <v>6389</v>
      </c>
      <c r="E1189" s="12" t="s">
        <v>6367</v>
      </c>
      <c r="F1189" s="12" t="s">
        <v>6390</v>
      </c>
      <c r="G1189" s="12" t="s">
        <v>581</v>
      </c>
      <c r="H1189" s="12" t="s">
        <v>6391</v>
      </c>
      <c r="I1189" s="12" t="s">
        <v>3706</v>
      </c>
      <c r="J1189" s="13" t="s">
        <v>6392</v>
      </c>
      <c r="K1189" s="12"/>
      <c r="L1189" s="12" t="s">
        <v>6398</v>
      </c>
      <c r="M1189" s="12" t="s">
        <v>6399</v>
      </c>
      <c r="N1189" s="12" t="s">
        <v>212</v>
      </c>
      <c r="O1189" s="12" t="s">
        <v>213</v>
      </c>
      <c r="P1189" s="12" t="s">
        <v>103</v>
      </c>
      <c r="Q1189" s="12" t="s">
        <v>104</v>
      </c>
      <c r="R1189" s="14" t="n">
        <v>5</v>
      </c>
      <c r="S1189" s="14" t="s">
        <v>197</v>
      </c>
      <c r="T1189" s="14"/>
      <c r="U1189" s="14" t="n">
        <v>2025</v>
      </c>
      <c r="V1189" s="12" t="s">
        <v>107</v>
      </c>
      <c r="W1189" s="14"/>
      <c r="X1189" s="15" t="str">
        <f aca="false">IF(OR($S1189="%",$R1189=""),"",$R1189*INDEX(Cambi!$J$2:$J$5,MATCH($S1189,Cambi!$I$2:$I$5,0))/IF($T1189="EUR",1,INDEX(Cambi!$D:$D,MATCH($T1189&amp;"|"&amp;$U1189,Cambi!$C:$C,0))))</f>
        <v/>
      </c>
      <c r="Y1189" s="12" t="s">
        <v>239</v>
      </c>
      <c r="Z1189" s="12" t="s">
        <v>109</v>
      </c>
      <c r="AA1189" s="12" t="s">
        <v>109</v>
      </c>
      <c r="AB1189" s="12" t="s">
        <v>394</v>
      </c>
      <c r="AC1189" s="12" t="s">
        <v>395</v>
      </c>
      <c r="AD1189" s="12" t="s">
        <v>112</v>
      </c>
      <c r="AE1189" s="12" t="s">
        <v>6395</v>
      </c>
      <c r="AF1189" s="12" t="s">
        <v>6400</v>
      </c>
      <c r="AG1189" s="12" t="s">
        <v>115</v>
      </c>
      <c r="AH1189" s="12" t="s">
        <v>116</v>
      </c>
      <c r="AI1189" s="12" t="s">
        <v>117</v>
      </c>
      <c r="AJ1189" s="12" t="s">
        <v>6401</v>
      </c>
      <c r="AK1189" s="12" t="s">
        <v>4</v>
      </c>
    </row>
    <row r="1190" customFormat="false" ht="15" hidden="false" customHeight="false" outlineLevel="0" collapsed="false">
      <c r="A1190" s="11" t="n">
        <v>1189</v>
      </c>
      <c r="B1190" s="12" t="s">
        <v>6402</v>
      </c>
      <c r="C1190" s="12" t="s">
        <v>6389</v>
      </c>
      <c r="D1190" s="12" t="s">
        <v>6389</v>
      </c>
      <c r="E1190" s="12" t="s">
        <v>6367</v>
      </c>
      <c r="F1190" s="12" t="s">
        <v>2235</v>
      </c>
      <c r="G1190" s="12" t="s">
        <v>1876</v>
      </c>
      <c r="H1190" s="12" t="s">
        <v>6403</v>
      </c>
      <c r="I1190" s="12" t="s">
        <v>583</v>
      </c>
      <c r="J1190" s="13" t="s">
        <v>6404</v>
      </c>
      <c r="K1190" s="12"/>
      <c r="L1190" s="12" t="s">
        <v>6405</v>
      </c>
      <c r="M1190" s="12" t="s">
        <v>6406</v>
      </c>
      <c r="N1190" s="12" t="s">
        <v>352</v>
      </c>
      <c r="O1190" s="12" t="s">
        <v>102</v>
      </c>
      <c r="P1190" s="12" t="s">
        <v>103</v>
      </c>
      <c r="Q1190" s="12" t="s">
        <v>104</v>
      </c>
      <c r="R1190" s="14" t="n">
        <v>18.5</v>
      </c>
      <c r="S1190" s="14" t="s">
        <v>129</v>
      </c>
      <c r="T1190" s="14" t="s">
        <v>653</v>
      </c>
      <c r="U1190" s="14" t="n">
        <v>2026</v>
      </c>
      <c r="V1190" s="12" t="s">
        <v>107</v>
      </c>
      <c r="W1190" s="14"/>
      <c r="X1190" s="15" t="n">
        <f aca="false">IF(OR($S1190="%",$R1190=""),"",$R1190*INDEX(Cambi!$J$2:$J$5,MATCH($S1190,Cambi!$I$2:$I$5,0))/IF($T1190="EUR",1,INDEX(Cambi!$D:$D,MATCH($T1190&amp;"|"&amp;$U1190,Cambi!$C:$C,0))))</f>
        <v>16371.6814159292</v>
      </c>
      <c r="Y1190" s="12" t="s">
        <v>654</v>
      </c>
      <c r="Z1190" s="12" t="s">
        <v>285</v>
      </c>
      <c r="AA1190" s="12" t="s">
        <v>2788</v>
      </c>
      <c r="AB1190" s="16" t="s">
        <v>679</v>
      </c>
      <c r="AC1190" s="16" t="s">
        <v>2789</v>
      </c>
      <c r="AD1190" s="12" t="s">
        <v>201</v>
      </c>
      <c r="AE1190" s="12" t="s">
        <v>2790</v>
      </c>
      <c r="AF1190" s="12" t="s">
        <v>6407</v>
      </c>
      <c r="AG1190" s="12" t="s">
        <v>498</v>
      </c>
      <c r="AH1190" s="12" t="s">
        <v>116</v>
      </c>
      <c r="AI1190" s="12" t="s">
        <v>117</v>
      </c>
      <c r="AJ1190" s="12" t="s">
        <v>6408</v>
      </c>
      <c r="AK1190" s="12" t="s">
        <v>4</v>
      </c>
    </row>
    <row r="1191" customFormat="false" ht="15" hidden="false" customHeight="false" outlineLevel="0" collapsed="false">
      <c r="A1191" s="11" t="n">
        <v>1190</v>
      </c>
      <c r="B1191" s="12" t="s">
        <v>6409</v>
      </c>
      <c r="C1191" s="12" t="s">
        <v>6389</v>
      </c>
      <c r="D1191" s="12" t="s">
        <v>6389</v>
      </c>
      <c r="E1191" s="12" t="s">
        <v>6367</v>
      </c>
      <c r="F1191" s="12" t="s">
        <v>6410</v>
      </c>
      <c r="G1191" s="12" t="s">
        <v>1055</v>
      </c>
      <c r="H1191" s="12" t="s">
        <v>6411</v>
      </c>
      <c r="I1191" s="12" t="s">
        <v>6412</v>
      </c>
      <c r="J1191" s="13" t="s">
        <v>6413</v>
      </c>
      <c r="K1191" s="12"/>
      <c r="L1191" s="12" t="s">
        <v>6414</v>
      </c>
      <c r="M1191" s="12" t="s">
        <v>6415</v>
      </c>
      <c r="N1191" s="12" t="s">
        <v>352</v>
      </c>
      <c r="O1191" s="12" t="s">
        <v>102</v>
      </c>
      <c r="P1191" s="12" t="s">
        <v>103</v>
      </c>
      <c r="Q1191" s="12" t="s">
        <v>104</v>
      </c>
      <c r="R1191" s="14" t="n">
        <v>18.7</v>
      </c>
      <c r="S1191" s="14" t="s">
        <v>129</v>
      </c>
      <c r="T1191" s="14" t="s">
        <v>106</v>
      </c>
      <c r="U1191" s="14" t="n">
        <v>2026</v>
      </c>
      <c r="V1191" s="12" t="s">
        <v>198</v>
      </c>
      <c r="W1191" s="14" t="s">
        <v>6416</v>
      </c>
      <c r="X1191" s="15" t="n">
        <f aca="false">IF(OR($S1191="%",$R1191=""),"",$R1191*INDEX(Cambi!$J$2:$J$5,MATCH($S1191,Cambi!$I$2:$I$5,0))/IF($T1191="EUR",1,INDEX(Cambi!$D:$D,MATCH($T1191&amp;"|"&amp;$U1191,Cambi!$C:$C,0))))</f>
        <v>18700</v>
      </c>
      <c r="Y1191" s="12" t="s">
        <v>109</v>
      </c>
      <c r="Z1191" s="12" t="s">
        <v>285</v>
      </c>
      <c r="AA1191" s="12" t="s">
        <v>109</v>
      </c>
      <c r="AB1191" s="16" t="s">
        <v>110</v>
      </c>
      <c r="AC1191" s="16" t="s">
        <v>6417</v>
      </c>
      <c r="AD1191" s="12" t="s">
        <v>112</v>
      </c>
      <c r="AE1191" s="12" t="s">
        <v>282</v>
      </c>
      <c r="AF1191" s="12" t="s">
        <v>6418</v>
      </c>
      <c r="AG1191" s="12" t="s">
        <v>284</v>
      </c>
      <c r="AH1191" s="12" t="s">
        <v>116</v>
      </c>
      <c r="AI1191" s="12" t="s">
        <v>117</v>
      </c>
      <c r="AJ1191" s="12" t="s">
        <v>6419</v>
      </c>
      <c r="AK1191" s="12" t="s">
        <v>4</v>
      </c>
    </row>
    <row r="1192" customFormat="false" ht="15" hidden="false" customHeight="false" outlineLevel="0" collapsed="false">
      <c r="A1192" s="11" t="n">
        <v>1191</v>
      </c>
      <c r="B1192" s="12" t="s">
        <v>6420</v>
      </c>
      <c r="C1192" s="12" t="s">
        <v>6421</v>
      </c>
      <c r="D1192" s="12" t="s">
        <v>6422</v>
      </c>
      <c r="E1192" s="12" t="s">
        <v>6367</v>
      </c>
      <c r="F1192" s="12" t="s">
        <v>5350</v>
      </c>
      <c r="G1192" s="12" t="s">
        <v>830</v>
      </c>
      <c r="H1192" s="12" t="s">
        <v>6423</v>
      </c>
      <c r="I1192" s="12" t="s">
        <v>5352</v>
      </c>
      <c r="J1192" s="13" t="s">
        <v>6424</v>
      </c>
      <c r="K1192" s="12"/>
      <c r="L1192" s="12" t="s">
        <v>6425</v>
      </c>
      <c r="M1192" s="12" t="s">
        <v>6426</v>
      </c>
      <c r="N1192" s="12" t="s">
        <v>352</v>
      </c>
      <c r="O1192" s="12" t="s">
        <v>102</v>
      </c>
      <c r="P1192" s="12" t="s">
        <v>103</v>
      </c>
      <c r="Q1192" s="12" t="s">
        <v>104</v>
      </c>
      <c r="R1192" s="14" t="n">
        <v>8.7</v>
      </c>
      <c r="S1192" s="14" t="s">
        <v>129</v>
      </c>
      <c r="T1192" s="14" t="s">
        <v>653</v>
      </c>
      <c r="U1192" s="14" t="n">
        <v>2026</v>
      </c>
      <c r="V1192" s="12" t="s">
        <v>198</v>
      </c>
      <c r="W1192" s="14" t="s">
        <v>6427</v>
      </c>
      <c r="X1192" s="15" t="n">
        <f aca="false">IF(OR($S1192="%",$R1192=""),"",$R1192*INDEX(Cambi!$J$2:$J$5,MATCH($S1192,Cambi!$I$2:$I$5,0))/IF($T1192="EUR",1,INDEX(Cambi!$D:$D,MATCH($T1192&amp;"|"&amp;$U1192,Cambi!$C:$C,0))))</f>
        <v>7699.11504424779</v>
      </c>
      <c r="Y1192" s="12" t="s">
        <v>109</v>
      </c>
      <c r="Z1192" s="12" t="s">
        <v>285</v>
      </c>
      <c r="AA1192" s="12" t="s">
        <v>109</v>
      </c>
      <c r="AB1192" s="16" t="s">
        <v>110</v>
      </c>
      <c r="AC1192" s="16" t="s">
        <v>5837</v>
      </c>
      <c r="AD1192" s="12" t="s">
        <v>112</v>
      </c>
      <c r="AE1192" s="12" t="s">
        <v>282</v>
      </c>
      <c r="AF1192" s="12" t="s">
        <v>6428</v>
      </c>
      <c r="AG1192" s="12" t="s">
        <v>284</v>
      </c>
      <c r="AH1192" s="12" t="s">
        <v>838</v>
      </c>
      <c r="AI1192" s="12" t="s">
        <v>117</v>
      </c>
      <c r="AJ1192" s="12" t="s">
        <v>6429</v>
      </c>
      <c r="AK1192" s="12" t="s">
        <v>4</v>
      </c>
    </row>
    <row r="1193" customFormat="false" ht="15" hidden="false" customHeight="false" outlineLevel="0" collapsed="false">
      <c r="A1193" s="11" t="n">
        <v>1192</v>
      </c>
      <c r="B1193" s="12" t="s">
        <v>6430</v>
      </c>
      <c r="C1193" s="12" t="s">
        <v>6421</v>
      </c>
      <c r="D1193" s="12" t="s">
        <v>6422</v>
      </c>
      <c r="E1193" s="12" t="s">
        <v>6367</v>
      </c>
      <c r="F1193" s="12" t="s">
        <v>845</v>
      </c>
      <c r="G1193" s="12" t="s">
        <v>830</v>
      </c>
      <c r="H1193" s="12" t="s">
        <v>6431</v>
      </c>
      <c r="I1193" s="12" t="s">
        <v>1593</v>
      </c>
      <c r="J1193" s="13" t="s">
        <v>6432</v>
      </c>
      <c r="K1193" s="12"/>
      <c r="L1193" s="12" t="s">
        <v>6433</v>
      </c>
      <c r="M1193" s="12" t="s">
        <v>6434</v>
      </c>
      <c r="N1193" s="12" t="s">
        <v>352</v>
      </c>
      <c r="O1193" s="12" t="s">
        <v>102</v>
      </c>
      <c r="P1193" s="12" t="s">
        <v>103</v>
      </c>
      <c r="Q1193" s="12" t="s">
        <v>104</v>
      </c>
      <c r="R1193" s="14" t="n">
        <v>12.7</v>
      </c>
      <c r="S1193" s="14" t="s">
        <v>129</v>
      </c>
      <c r="T1193" s="14" t="s">
        <v>653</v>
      </c>
      <c r="U1193" s="14" t="n">
        <v>2024</v>
      </c>
      <c r="V1193" s="12" t="s">
        <v>198</v>
      </c>
      <c r="W1193" s="14"/>
      <c r="X1193" s="15" t="n">
        <f aca="false">IF(OR($S1193="%",$R1193=""),"",$R1193*INDEX(Cambi!$J$2:$J$5,MATCH($S1193,Cambi!$I$2:$I$5,0))/IF($T1193="EUR",1,INDEX(Cambi!$D:$D,MATCH($T1193&amp;"|"&amp;$U1193,Cambi!$C:$C,0))))</f>
        <v>11733.1855136733</v>
      </c>
      <c r="Y1193" s="12" t="s">
        <v>109</v>
      </c>
      <c r="Z1193" s="12" t="s">
        <v>285</v>
      </c>
      <c r="AA1193" s="12" t="s">
        <v>109</v>
      </c>
      <c r="AB1193" s="12" t="s">
        <v>3261</v>
      </c>
      <c r="AC1193" s="12" t="s">
        <v>395</v>
      </c>
      <c r="AD1193" s="12" t="s">
        <v>617</v>
      </c>
      <c r="AE1193" s="12" t="s">
        <v>6435</v>
      </c>
      <c r="AF1193" s="12" t="s">
        <v>6436</v>
      </c>
      <c r="AG1193" s="12" t="s">
        <v>498</v>
      </c>
      <c r="AH1193" s="12" t="s">
        <v>838</v>
      </c>
      <c r="AI1193" s="12" t="s">
        <v>117</v>
      </c>
      <c r="AJ1193" s="12" t="s">
        <v>6437</v>
      </c>
      <c r="AK1193" s="12" t="s">
        <v>4</v>
      </c>
    </row>
    <row r="1194" customFormat="false" ht="15" hidden="false" customHeight="false" outlineLevel="0" collapsed="false">
      <c r="A1194" s="11" t="n">
        <v>1193</v>
      </c>
      <c r="B1194" s="12" t="s">
        <v>6430</v>
      </c>
      <c r="C1194" s="12" t="s">
        <v>6421</v>
      </c>
      <c r="D1194" s="12" t="s">
        <v>6422</v>
      </c>
      <c r="E1194" s="12" t="s">
        <v>6367</v>
      </c>
      <c r="F1194" s="12" t="s">
        <v>845</v>
      </c>
      <c r="G1194" s="12" t="s">
        <v>830</v>
      </c>
      <c r="H1194" s="12" t="s">
        <v>6431</v>
      </c>
      <c r="I1194" s="12" t="s">
        <v>1593</v>
      </c>
      <c r="J1194" s="13" t="s">
        <v>6432</v>
      </c>
      <c r="K1194" s="12"/>
      <c r="L1194" s="12" t="s">
        <v>6438</v>
      </c>
      <c r="M1194" s="12" t="s">
        <v>6439</v>
      </c>
      <c r="N1194" s="12" t="s">
        <v>352</v>
      </c>
      <c r="O1194" s="12" t="s">
        <v>102</v>
      </c>
      <c r="P1194" s="12" t="s">
        <v>103</v>
      </c>
      <c r="Q1194" s="12" t="s">
        <v>104</v>
      </c>
      <c r="R1194" s="14" t="n">
        <v>19.06</v>
      </c>
      <c r="S1194" s="14" t="s">
        <v>129</v>
      </c>
      <c r="T1194" s="14" t="s">
        <v>653</v>
      </c>
      <c r="U1194" s="14" t="n">
        <v>2029</v>
      </c>
      <c r="V1194" s="12" t="s">
        <v>107</v>
      </c>
      <c r="W1194" s="14" t="s">
        <v>6440</v>
      </c>
      <c r="X1194" s="15" t="n">
        <f aca="false">IF(OR($S1194="%",$R1194=""),"",$R1194*INDEX(Cambi!$J$2:$J$5,MATCH($S1194,Cambi!$I$2:$I$5,0))/IF($T1194="EUR",1,INDEX(Cambi!$D:$D,MATCH($T1194&amp;"|"&amp;$U1194,Cambi!$C:$C,0))))</f>
        <v>16867.2566371681</v>
      </c>
      <c r="Y1194" s="12" t="s">
        <v>109</v>
      </c>
      <c r="Z1194" s="12" t="s">
        <v>285</v>
      </c>
      <c r="AA1194" s="12" t="s">
        <v>109</v>
      </c>
      <c r="AB1194" s="12" t="s">
        <v>3261</v>
      </c>
      <c r="AC1194" s="12" t="s">
        <v>395</v>
      </c>
      <c r="AD1194" s="12" t="s">
        <v>617</v>
      </c>
      <c r="AE1194" s="12" t="s">
        <v>6435</v>
      </c>
      <c r="AF1194" s="12" t="s">
        <v>6441</v>
      </c>
      <c r="AG1194" s="12" t="s">
        <v>498</v>
      </c>
      <c r="AH1194" s="12" t="s">
        <v>838</v>
      </c>
      <c r="AI1194" s="12" t="s">
        <v>117</v>
      </c>
      <c r="AJ1194" s="12" t="s">
        <v>6442</v>
      </c>
      <c r="AK1194" s="12" t="s">
        <v>4</v>
      </c>
    </row>
    <row r="1195" customFormat="false" ht="15" hidden="false" customHeight="false" outlineLevel="0" collapsed="false">
      <c r="A1195" s="11" t="n">
        <v>1194</v>
      </c>
      <c r="B1195" s="12" t="s">
        <v>5210</v>
      </c>
      <c r="C1195" s="12" t="s">
        <v>6421</v>
      </c>
      <c r="D1195" s="12" t="s">
        <v>6422</v>
      </c>
      <c r="E1195" s="12" t="s">
        <v>6367</v>
      </c>
      <c r="F1195" s="12" t="s">
        <v>845</v>
      </c>
      <c r="G1195" s="12" t="s">
        <v>830</v>
      </c>
      <c r="H1195" s="12" t="s">
        <v>6443</v>
      </c>
      <c r="I1195" s="12" t="s">
        <v>847</v>
      </c>
      <c r="J1195" s="13" t="s">
        <v>5212</v>
      </c>
      <c r="K1195" s="12"/>
      <c r="L1195" s="12" t="s">
        <v>6444</v>
      </c>
      <c r="M1195" s="12" t="s">
        <v>6445</v>
      </c>
      <c r="N1195" s="12" t="s">
        <v>352</v>
      </c>
      <c r="O1195" s="12" t="s">
        <v>196</v>
      </c>
      <c r="P1195" s="12" t="s">
        <v>214</v>
      </c>
      <c r="Q1195" s="12" t="s">
        <v>6137</v>
      </c>
      <c r="R1195" s="14" t="n">
        <v>23.1</v>
      </c>
      <c r="S1195" s="14" t="s">
        <v>197</v>
      </c>
      <c r="T1195" s="14"/>
      <c r="U1195" s="14" t="n">
        <v>2025</v>
      </c>
      <c r="V1195" s="12" t="s">
        <v>157</v>
      </c>
      <c r="W1195" s="14"/>
      <c r="X1195" s="15" t="str">
        <f aca="false">IF(OR($S1195="%",$R1195=""),"",$R1195*INDEX(Cambi!$J$2:$J$5,MATCH($S1195,Cambi!$I$2:$I$5,0))/IF($T1195="EUR",1,INDEX(Cambi!$D:$D,MATCH($T1195&amp;"|"&amp;$U1195,Cambi!$C:$C,0))))</f>
        <v/>
      </c>
      <c r="Y1195" s="12" t="s">
        <v>239</v>
      </c>
      <c r="Z1195" s="12" t="s">
        <v>285</v>
      </c>
      <c r="AA1195" s="12" t="s">
        <v>6446</v>
      </c>
      <c r="AB1195" s="12" t="s">
        <v>3261</v>
      </c>
      <c r="AC1195" s="12" t="s">
        <v>395</v>
      </c>
      <c r="AD1195" s="12" t="s">
        <v>617</v>
      </c>
      <c r="AE1195" s="12" t="s">
        <v>6435</v>
      </c>
      <c r="AF1195" s="12" t="s">
        <v>6447</v>
      </c>
      <c r="AG1195" s="12" t="s">
        <v>498</v>
      </c>
      <c r="AH1195" s="12" t="s">
        <v>838</v>
      </c>
      <c r="AI1195" s="12" t="s">
        <v>117</v>
      </c>
      <c r="AJ1195" s="12" t="s">
        <v>6448</v>
      </c>
      <c r="AK1195" s="12" t="s">
        <v>4</v>
      </c>
    </row>
    <row r="1196" customFormat="false" ht="15" hidden="false" customHeight="false" outlineLevel="0" collapsed="false">
      <c r="A1196" s="11" t="n">
        <v>1195</v>
      </c>
      <c r="B1196" s="12" t="s">
        <v>5210</v>
      </c>
      <c r="C1196" s="12" t="s">
        <v>6421</v>
      </c>
      <c r="D1196" s="12" t="s">
        <v>6422</v>
      </c>
      <c r="E1196" s="12" t="s">
        <v>6367</v>
      </c>
      <c r="F1196" s="12" t="s">
        <v>845</v>
      </c>
      <c r="G1196" s="12" t="s">
        <v>830</v>
      </c>
      <c r="H1196" s="12" t="s">
        <v>6443</v>
      </c>
      <c r="I1196" s="12" t="s">
        <v>847</v>
      </c>
      <c r="J1196" s="13" t="s">
        <v>5212</v>
      </c>
      <c r="K1196" s="12"/>
      <c r="L1196" s="12" t="s">
        <v>6449</v>
      </c>
      <c r="M1196" s="12" t="s">
        <v>6450</v>
      </c>
      <c r="N1196" s="12" t="s">
        <v>352</v>
      </c>
      <c r="O1196" s="12" t="s">
        <v>196</v>
      </c>
      <c r="P1196" s="12" t="s">
        <v>856</v>
      </c>
      <c r="Q1196" s="12" t="s">
        <v>857</v>
      </c>
      <c r="R1196" s="14" t="n">
        <v>70.2</v>
      </c>
      <c r="S1196" s="14" t="s">
        <v>197</v>
      </c>
      <c r="T1196" s="14"/>
      <c r="U1196" s="14" t="n">
        <v>2025</v>
      </c>
      <c r="V1196" s="12" t="s">
        <v>157</v>
      </c>
      <c r="W1196" s="14"/>
      <c r="X1196" s="15" t="str">
        <f aca="false">IF(OR($S1196="%",$R1196=""),"",$R1196*INDEX(Cambi!$J$2:$J$5,MATCH($S1196,Cambi!$I$2:$I$5,0))/IF($T1196="EUR",1,INDEX(Cambi!$D:$D,MATCH($T1196&amp;"|"&amp;$U1196,Cambi!$C:$C,0))))</f>
        <v/>
      </c>
      <c r="Y1196" s="12" t="s">
        <v>239</v>
      </c>
      <c r="Z1196" s="12" t="s">
        <v>285</v>
      </c>
      <c r="AA1196" s="12" t="s">
        <v>6446</v>
      </c>
      <c r="AB1196" s="12" t="s">
        <v>3261</v>
      </c>
      <c r="AC1196" s="12" t="s">
        <v>395</v>
      </c>
      <c r="AD1196" s="12" t="s">
        <v>617</v>
      </c>
      <c r="AE1196" s="12" t="s">
        <v>6435</v>
      </c>
      <c r="AF1196" s="12" t="s">
        <v>6451</v>
      </c>
      <c r="AG1196" s="12" t="s">
        <v>498</v>
      </c>
      <c r="AH1196" s="12" t="s">
        <v>838</v>
      </c>
      <c r="AI1196" s="12" t="s">
        <v>117</v>
      </c>
      <c r="AJ1196" s="12" t="s">
        <v>6452</v>
      </c>
      <c r="AK1196" s="12" t="s">
        <v>4</v>
      </c>
    </row>
    <row r="1197" customFormat="false" ht="15" hidden="false" customHeight="false" outlineLevel="0" collapsed="false">
      <c r="A1197" s="11" t="n">
        <v>1196</v>
      </c>
      <c r="B1197" s="12" t="s">
        <v>5210</v>
      </c>
      <c r="C1197" s="12" t="s">
        <v>6421</v>
      </c>
      <c r="D1197" s="12" t="s">
        <v>6422</v>
      </c>
      <c r="E1197" s="12" t="s">
        <v>6367</v>
      </c>
      <c r="F1197" s="12" t="s">
        <v>845</v>
      </c>
      <c r="G1197" s="12" t="s">
        <v>830</v>
      </c>
      <c r="H1197" s="12" t="s">
        <v>6443</v>
      </c>
      <c r="I1197" s="12" t="s">
        <v>847</v>
      </c>
      <c r="J1197" s="13" t="s">
        <v>5212</v>
      </c>
      <c r="K1197" s="12"/>
      <c r="L1197" s="12" t="s">
        <v>6453</v>
      </c>
      <c r="M1197" s="12" t="s">
        <v>6454</v>
      </c>
      <c r="N1197" s="12" t="s">
        <v>352</v>
      </c>
      <c r="O1197" s="12" t="s">
        <v>102</v>
      </c>
      <c r="P1197" s="12" t="s">
        <v>103</v>
      </c>
      <c r="Q1197" s="12" t="s">
        <v>104</v>
      </c>
      <c r="R1197" s="14" t="n">
        <v>13.77</v>
      </c>
      <c r="S1197" s="14" t="s">
        <v>129</v>
      </c>
      <c r="T1197" s="14" t="s">
        <v>653</v>
      </c>
      <c r="U1197" s="14" t="n">
        <v>2025</v>
      </c>
      <c r="V1197" s="12" t="s">
        <v>157</v>
      </c>
      <c r="W1197" s="14"/>
      <c r="X1197" s="15" t="n">
        <f aca="false">IF(OR($S1197="%",$R1197=""),"",$R1197*INDEX(Cambi!$J$2:$J$5,MATCH($S1197,Cambi!$I$2:$I$5,0))/IF($T1197="EUR",1,INDEX(Cambi!$D:$D,MATCH($T1197&amp;"|"&amp;$U1197,Cambi!$C:$C,0))))</f>
        <v>12185.8407079646</v>
      </c>
      <c r="Y1197" s="12" t="s">
        <v>109</v>
      </c>
      <c r="Z1197" s="12" t="s">
        <v>285</v>
      </c>
      <c r="AA1197" s="12" t="s">
        <v>6446</v>
      </c>
      <c r="AB1197" s="12" t="s">
        <v>3261</v>
      </c>
      <c r="AC1197" s="12" t="s">
        <v>395</v>
      </c>
      <c r="AD1197" s="12" t="s">
        <v>617</v>
      </c>
      <c r="AE1197" s="12" t="s">
        <v>6435</v>
      </c>
      <c r="AF1197" s="12" t="s">
        <v>6455</v>
      </c>
      <c r="AG1197" s="12" t="s">
        <v>498</v>
      </c>
      <c r="AH1197" s="12" t="s">
        <v>838</v>
      </c>
      <c r="AI1197" s="12" t="s">
        <v>117</v>
      </c>
      <c r="AJ1197" s="12" t="s">
        <v>6456</v>
      </c>
      <c r="AK1197" s="12" t="s">
        <v>4</v>
      </c>
    </row>
    <row r="1198" customFormat="false" ht="15" hidden="false" customHeight="false" outlineLevel="0" collapsed="false">
      <c r="A1198" s="11" t="n">
        <v>1197</v>
      </c>
      <c r="B1198" s="12" t="s">
        <v>5210</v>
      </c>
      <c r="C1198" s="12" t="s">
        <v>6421</v>
      </c>
      <c r="D1198" s="12" t="s">
        <v>6422</v>
      </c>
      <c r="E1198" s="12" t="s">
        <v>6367</v>
      </c>
      <c r="F1198" s="12" t="s">
        <v>845</v>
      </c>
      <c r="G1198" s="12" t="s">
        <v>830</v>
      </c>
      <c r="H1198" s="12" t="s">
        <v>6443</v>
      </c>
      <c r="I1198" s="12" t="s">
        <v>847</v>
      </c>
      <c r="J1198" s="13" t="s">
        <v>5212</v>
      </c>
      <c r="K1198" s="12"/>
      <c r="L1198" s="12" t="s">
        <v>6457</v>
      </c>
      <c r="M1198" s="12" t="s">
        <v>6458</v>
      </c>
      <c r="N1198" s="12" t="s">
        <v>352</v>
      </c>
      <c r="O1198" s="12" t="s">
        <v>102</v>
      </c>
      <c r="P1198" s="12" t="s">
        <v>103</v>
      </c>
      <c r="Q1198" s="12" t="s">
        <v>104</v>
      </c>
      <c r="R1198" s="14" t="n">
        <v>14.92</v>
      </c>
      <c r="S1198" s="14" t="s">
        <v>129</v>
      </c>
      <c r="T1198" s="14" t="s">
        <v>653</v>
      </c>
      <c r="U1198" s="14" t="n">
        <v>2026</v>
      </c>
      <c r="V1198" s="12" t="s">
        <v>198</v>
      </c>
      <c r="W1198" s="14"/>
      <c r="X1198" s="15" t="n">
        <f aca="false">IF(OR($S1198="%",$R1198=""),"",$R1198*INDEX(Cambi!$J$2:$J$5,MATCH($S1198,Cambi!$I$2:$I$5,0))/IF($T1198="EUR",1,INDEX(Cambi!$D:$D,MATCH($T1198&amp;"|"&amp;$U1198,Cambi!$C:$C,0))))</f>
        <v>13203.5398230089</v>
      </c>
      <c r="Y1198" s="12" t="s">
        <v>109</v>
      </c>
      <c r="Z1198" s="12" t="s">
        <v>285</v>
      </c>
      <c r="AA1198" s="12" t="s">
        <v>6446</v>
      </c>
      <c r="AB1198" s="12" t="s">
        <v>3261</v>
      </c>
      <c r="AC1198" s="12" t="s">
        <v>395</v>
      </c>
      <c r="AD1198" s="12" t="s">
        <v>617</v>
      </c>
      <c r="AE1198" s="12" t="s">
        <v>6435</v>
      </c>
      <c r="AF1198" s="12" t="s">
        <v>6459</v>
      </c>
      <c r="AG1198" s="12" t="s">
        <v>498</v>
      </c>
      <c r="AH1198" s="12" t="s">
        <v>838</v>
      </c>
      <c r="AI1198" s="12" t="s">
        <v>117</v>
      </c>
      <c r="AJ1198" s="12" t="s">
        <v>6460</v>
      </c>
      <c r="AK1198" s="12" t="s">
        <v>4</v>
      </c>
    </row>
    <row r="1199" customFormat="false" ht="15" hidden="false" customHeight="false" outlineLevel="0" collapsed="false">
      <c r="A1199" s="11" t="n">
        <v>1198</v>
      </c>
      <c r="B1199" s="12" t="s">
        <v>5210</v>
      </c>
      <c r="C1199" s="12" t="s">
        <v>6421</v>
      </c>
      <c r="D1199" s="12" t="s">
        <v>6422</v>
      </c>
      <c r="E1199" s="12" t="s">
        <v>6367</v>
      </c>
      <c r="F1199" s="12" t="s">
        <v>845</v>
      </c>
      <c r="G1199" s="12" t="s">
        <v>830</v>
      </c>
      <c r="H1199" s="12" t="s">
        <v>6443</v>
      </c>
      <c r="I1199" s="12" t="s">
        <v>847</v>
      </c>
      <c r="J1199" s="13" t="s">
        <v>5212</v>
      </c>
      <c r="K1199" s="12"/>
      <c r="L1199" s="12" t="s">
        <v>6461</v>
      </c>
      <c r="M1199" s="12" t="s">
        <v>6462</v>
      </c>
      <c r="N1199" s="12" t="s">
        <v>352</v>
      </c>
      <c r="O1199" s="12" t="s">
        <v>102</v>
      </c>
      <c r="P1199" s="12" t="s">
        <v>103</v>
      </c>
      <c r="Q1199" s="12" t="s">
        <v>104</v>
      </c>
      <c r="R1199" s="14" t="n">
        <v>22.25</v>
      </c>
      <c r="S1199" s="14" t="s">
        <v>129</v>
      </c>
      <c r="T1199" s="14" t="s">
        <v>653</v>
      </c>
      <c r="U1199" s="14" t="n">
        <v>2031</v>
      </c>
      <c r="V1199" s="12" t="s">
        <v>107</v>
      </c>
      <c r="W1199" s="14" t="s">
        <v>2691</v>
      </c>
      <c r="X1199" s="15" t="n">
        <f aca="false">IF(OR($S1199="%",$R1199=""),"",$R1199*INDEX(Cambi!$J$2:$J$5,MATCH($S1199,Cambi!$I$2:$I$5,0))/IF($T1199="EUR",1,INDEX(Cambi!$D:$D,MATCH($T1199&amp;"|"&amp;$U1199,Cambi!$C:$C,0))))</f>
        <v>19690.2654867257</v>
      </c>
      <c r="Y1199" s="12" t="s">
        <v>109</v>
      </c>
      <c r="Z1199" s="12" t="s">
        <v>285</v>
      </c>
      <c r="AA1199" s="12" t="s">
        <v>6446</v>
      </c>
      <c r="AB1199" s="12" t="s">
        <v>3261</v>
      </c>
      <c r="AC1199" s="12" t="s">
        <v>395</v>
      </c>
      <c r="AD1199" s="12" t="s">
        <v>617</v>
      </c>
      <c r="AE1199" s="12" t="s">
        <v>6435</v>
      </c>
      <c r="AF1199" s="12" t="s">
        <v>6463</v>
      </c>
      <c r="AG1199" s="12" t="s">
        <v>498</v>
      </c>
      <c r="AH1199" s="12" t="s">
        <v>838</v>
      </c>
      <c r="AI1199" s="12" t="s">
        <v>117</v>
      </c>
      <c r="AJ1199" s="12" t="s">
        <v>6452</v>
      </c>
      <c r="AK1199" s="12" t="s">
        <v>4</v>
      </c>
    </row>
    <row r="1200" customFormat="false" ht="15" hidden="false" customHeight="false" outlineLevel="0" collapsed="false">
      <c r="A1200" s="11" t="n">
        <v>1199</v>
      </c>
      <c r="B1200" s="12" t="s">
        <v>6464</v>
      </c>
      <c r="C1200" s="12" t="s">
        <v>6421</v>
      </c>
      <c r="D1200" s="12" t="s">
        <v>6422</v>
      </c>
      <c r="E1200" s="12" t="s">
        <v>6367</v>
      </c>
      <c r="F1200" s="12" t="s">
        <v>6465</v>
      </c>
      <c r="G1200" s="12" t="s">
        <v>830</v>
      </c>
      <c r="H1200" s="12" t="s">
        <v>6466</v>
      </c>
      <c r="I1200" s="12" t="s">
        <v>847</v>
      </c>
      <c r="J1200" s="13" t="s">
        <v>6467</v>
      </c>
      <c r="K1200" s="12"/>
      <c r="L1200" s="12" t="s">
        <v>6468</v>
      </c>
      <c r="M1200" s="12" t="s">
        <v>6469</v>
      </c>
      <c r="N1200" s="12" t="s">
        <v>352</v>
      </c>
      <c r="O1200" s="12" t="s">
        <v>102</v>
      </c>
      <c r="P1200" s="12" t="s">
        <v>103</v>
      </c>
      <c r="Q1200" s="12" t="s">
        <v>104</v>
      </c>
      <c r="R1200" s="14" t="n">
        <v>12.8</v>
      </c>
      <c r="S1200" s="14" t="s">
        <v>129</v>
      </c>
      <c r="T1200" s="14" t="s">
        <v>653</v>
      </c>
      <c r="U1200" s="14" t="n">
        <v>2026</v>
      </c>
      <c r="V1200" s="12" t="s">
        <v>198</v>
      </c>
      <c r="W1200" s="14" t="s">
        <v>6427</v>
      </c>
      <c r="X1200" s="15" t="n">
        <f aca="false">IF(OR($S1200="%",$R1200=""),"",$R1200*INDEX(Cambi!$J$2:$J$5,MATCH($S1200,Cambi!$I$2:$I$5,0))/IF($T1200="EUR",1,INDEX(Cambi!$D:$D,MATCH($T1200&amp;"|"&amp;$U1200,Cambi!$C:$C,0))))</f>
        <v>11327.4336283186</v>
      </c>
      <c r="Y1200" s="12" t="s">
        <v>109</v>
      </c>
      <c r="Z1200" s="12" t="s">
        <v>285</v>
      </c>
      <c r="AA1200" s="12" t="s">
        <v>109</v>
      </c>
      <c r="AB1200" s="16" t="s">
        <v>110</v>
      </c>
      <c r="AC1200" s="16" t="s">
        <v>5837</v>
      </c>
      <c r="AD1200" s="12" t="s">
        <v>112</v>
      </c>
      <c r="AE1200" s="12" t="s">
        <v>282</v>
      </c>
      <c r="AF1200" s="12" t="s">
        <v>6470</v>
      </c>
      <c r="AG1200" s="12" t="s">
        <v>284</v>
      </c>
      <c r="AH1200" s="12" t="s">
        <v>838</v>
      </c>
      <c r="AI1200" s="12" t="s">
        <v>117</v>
      </c>
      <c r="AJ1200" s="12" t="s">
        <v>6471</v>
      </c>
      <c r="AK1200" s="12" t="s">
        <v>4</v>
      </c>
    </row>
    <row r="1201" customFormat="false" ht="15" hidden="false" customHeight="false" outlineLevel="0" collapsed="false">
      <c r="A1201" s="11" t="n">
        <v>1200</v>
      </c>
      <c r="B1201" s="12" t="s">
        <v>6472</v>
      </c>
      <c r="C1201" s="12" t="s">
        <v>6421</v>
      </c>
      <c r="D1201" s="12" t="s">
        <v>6422</v>
      </c>
      <c r="E1201" s="12" t="s">
        <v>6367</v>
      </c>
      <c r="F1201" s="12" t="s">
        <v>927</v>
      </c>
      <c r="G1201" s="12" t="s">
        <v>830</v>
      </c>
      <c r="H1201" s="12" t="s">
        <v>6473</v>
      </c>
      <c r="I1201" s="12" t="s">
        <v>4207</v>
      </c>
      <c r="J1201" s="13" t="s">
        <v>6474</v>
      </c>
      <c r="K1201" s="12"/>
      <c r="L1201" s="12" t="s">
        <v>6433</v>
      </c>
      <c r="M1201" s="12" t="s">
        <v>6475</v>
      </c>
      <c r="N1201" s="12" t="s">
        <v>352</v>
      </c>
      <c r="O1201" s="12" t="s">
        <v>102</v>
      </c>
      <c r="P1201" s="12" t="s">
        <v>103</v>
      </c>
      <c r="Q1201" s="12" t="s">
        <v>104</v>
      </c>
      <c r="R1201" s="14" t="n">
        <v>13.2</v>
      </c>
      <c r="S1201" s="14" t="s">
        <v>129</v>
      </c>
      <c r="T1201" s="14" t="s">
        <v>653</v>
      </c>
      <c r="U1201" s="14" t="n">
        <v>2024</v>
      </c>
      <c r="V1201" s="12" t="s">
        <v>157</v>
      </c>
      <c r="W1201" s="14"/>
      <c r="X1201" s="15" t="n">
        <f aca="false">IF(OR($S1201="%",$R1201=""),"",$R1201*INDEX(Cambi!$J$2:$J$5,MATCH($S1201,Cambi!$I$2:$I$5,0))/IF($T1201="EUR",1,INDEX(Cambi!$D:$D,MATCH($T1201&amp;"|"&amp;$U1201,Cambi!$C:$C,0))))</f>
        <v>12195.1219512195</v>
      </c>
      <c r="Y1201" s="12" t="s">
        <v>109</v>
      </c>
      <c r="Z1201" s="12" t="s">
        <v>285</v>
      </c>
      <c r="AA1201" s="12" t="s">
        <v>109</v>
      </c>
      <c r="AB1201" s="16" t="s">
        <v>110</v>
      </c>
      <c r="AC1201" s="16" t="s">
        <v>5837</v>
      </c>
      <c r="AD1201" s="12" t="s">
        <v>112</v>
      </c>
      <c r="AE1201" s="12" t="s">
        <v>6476</v>
      </c>
      <c r="AF1201" s="12" t="s">
        <v>6477</v>
      </c>
      <c r="AG1201" s="12" t="s">
        <v>284</v>
      </c>
      <c r="AH1201" s="12" t="s">
        <v>838</v>
      </c>
      <c r="AI1201" s="12" t="s">
        <v>117</v>
      </c>
      <c r="AJ1201" s="12" t="s">
        <v>6478</v>
      </c>
      <c r="AK1201" s="12" t="s">
        <v>4</v>
      </c>
    </row>
    <row r="1202" customFormat="false" ht="15" hidden="false" customHeight="false" outlineLevel="0" collapsed="false">
      <c r="A1202" s="11" t="n">
        <v>1201</v>
      </c>
      <c r="B1202" s="12" t="s">
        <v>6472</v>
      </c>
      <c r="C1202" s="12" t="s">
        <v>6421</v>
      </c>
      <c r="D1202" s="12" t="s">
        <v>6422</v>
      </c>
      <c r="E1202" s="12" t="s">
        <v>6367</v>
      </c>
      <c r="F1202" s="12" t="s">
        <v>927</v>
      </c>
      <c r="G1202" s="12" t="s">
        <v>830</v>
      </c>
      <c r="H1202" s="12" t="s">
        <v>6473</v>
      </c>
      <c r="I1202" s="12" t="s">
        <v>4207</v>
      </c>
      <c r="J1202" s="13" t="s">
        <v>6474</v>
      </c>
      <c r="K1202" s="12"/>
      <c r="L1202" s="12" t="s">
        <v>6479</v>
      </c>
      <c r="M1202" s="12" t="s">
        <v>6480</v>
      </c>
      <c r="N1202" s="12" t="s">
        <v>352</v>
      </c>
      <c r="O1202" s="12" t="s">
        <v>102</v>
      </c>
      <c r="P1202" s="12" t="s">
        <v>103</v>
      </c>
      <c r="Q1202" s="12" t="s">
        <v>104</v>
      </c>
      <c r="R1202" s="14" t="n">
        <v>25.54</v>
      </c>
      <c r="S1202" s="14" t="s">
        <v>129</v>
      </c>
      <c r="T1202" s="14" t="s">
        <v>653</v>
      </c>
      <c r="U1202" s="14" t="n">
        <v>2032</v>
      </c>
      <c r="V1202" s="12" t="s">
        <v>107</v>
      </c>
      <c r="W1202" s="14" t="s">
        <v>6481</v>
      </c>
      <c r="X1202" s="15" t="n">
        <f aca="false">IF(OR($S1202="%",$R1202=""),"",$R1202*INDEX(Cambi!$J$2:$J$5,MATCH($S1202,Cambi!$I$2:$I$5,0))/IF($T1202="EUR",1,INDEX(Cambi!$D:$D,MATCH($T1202&amp;"|"&amp;$U1202,Cambi!$C:$C,0))))</f>
        <v>22601.7699115044</v>
      </c>
      <c r="Y1202" s="12" t="s">
        <v>109</v>
      </c>
      <c r="Z1202" s="12" t="s">
        <v>285</v>
      </c>
      <c r="AA1202" s="12" t="s">
        <v>109</v>
      </c>
      <c r="AB1202" s="16" t="s">
        <v>110</v>
      </c>
      <c r="AC1202" s="16" t="s">
        <v>5837</v>
      </c>
      <c r="AD1202" s="12" t="s">
        <v>112</v>
      </c>
      <c r="AE1202" s="12" t="s">
        <v>6476</v>
      </c>
      <c r="AF1202" s="12" t="s">
        <v>6482</v>
      </c>
      <c r="AG1202" s="12" t="s">
        <v>284</v>
      </c>
      <c r="AH1202" s="12" t="s">
        <v>838</v>
      </c>
      <c r="AI1202" s="12" t="s">
        <v>117</v>
      </c>
      <c r="AJ1202" s="12" t="s">
        <v>6452</v>
      </c>
      <c r="AK1202" s="12" t="s">
        <v>4</v>
      </c>
    </row>
    <row r="1203" customFormat="false" ht="15" hidden="false" customHeight="false" outlineLevel="0" collapsed="false">
      <c r="A1203" s="11" t="n">
        <v>1202</v>
      </c>
      <c r="B1203" s="12" t="s">
        <v>6483</v>
      </c>
      <c r="C1203" s="12" t="s">
        <v>6484</v>
      </c>
      <c r="D1203" s="12" t="s">
        <v>6485</v>
      </c>
      <c r="E1203" s="12" t="s">
        <v>6367</v>
      </c>
      <c r="F1203" s="12" t="s">
        <v>845</v>
      </c>
      <c r="G1203" s="12" t="s">
        <v>830</v>
      </c>
      <c r="H1203" s="12" t="s">
        <v>6486</v>
      </c>
      <c r="I1203" s="12" t="s">
        <v>1593</v>
      </c>
      <c r="J1203" s="13" t="s">
        <v>6487</v>
      </c>
      <c r="K1203" s="12"/>
      <c r="L1203" s="12" t="s">
        <v>6488</v>
      </c>
      <c r="M1203" s="12" t="s">
        <v>6489</v>
      </c>
      <c r="N1203" s="12" t="s">
        <v>352</v>
      </c>
      <c r="O1203" s="12" t="s">
        <v>102</v>
      </c>
      <c r="P1203" s="12" t="s">
        <v>103</v>
      </c>
      <c r="Q1203" s="12" t="s">
        <v>104</v>
      </c>
      <c r="R1203" s="14" t="n">
        <v>4.04</v>
      </c>
      <c r="S1203" s="14" t="s">
        <v>129</v>
      </c>
      <c r="T1203" s="14" t="s">
        <v>653</v>
      </c>
      <c r="U1203" s="14" t="n">
        <v>2024</v>
      </c>
      <c r="V1203" s="12" t="s">
        <v>198</v>
      </c>
      <c r="W1203" s="14"/>
      <c r="X1203" s="15" t="n">
        <f aca="false">IF(OR($S1203="%",$R1203=""),"",$R1203*INDEX(Cambi!$J$2:$J$5,MATCH($S1203,Cambi!$I$2:$I$5,0))/IF($T1203="EUR",1,INDEX(Cambi!$D:$D,MATCH($T1203&amp;"|"&amp;$U1203,Cambi!$C:$C,0))))</f>
        <v>3732.44641537324</v>
      </c>
      <c r="Y1203" s="12" t="s">
        <v>109</v>
      </c>
      <c r="Z1203" s="12" t="s">
        <v>285</v>
      </c>
      <c r="AA1203" s="12" t="s">
        <v>109</v>
      </c>
      <c r="AB1203" s="12" t="s">
        <v>3261</v>
      </c>
      <c r="AC1203" s="12" t="s">
        <v>395</v>
      </c>
      <c r="AD1203" s="12" t="s">
        <v>617</v>
      </c>
      <c r="AE1203" s="12" t="s">
        <v>6435</v>
      </c>
      <c r="AF1203" s="12" t="s">
        <v>6490</v>
      </c>
      <c r="AG1203" s="12" t="s">
        <v>498</v>
      </c>
      <c r="AH1203" s="12" t="s">
        <v>838</v>
      </c>
      <c r="AI1203" s="12" t="s">
        <v>117</v>
      </c>
      <c r="AJ1203" s="12" t="s">
        <v>6491</v>
      </c>
      <c r="AK1203" s="12" t="s">
        <v>4</v>
      </c>
    </row>
    <row r="1204" customFormat="false" ht="15" hidden="false" customHeight="false" outlineLevel="0" collapsed="false">
      <c r="A1204" s="11" t="n">
        <v>1203</v>
      </c>
      <c r="B1204" s="12" t="s">
        <v>6483</v>
      </c>
      <c r="C1204" s="12" t="s">
        <v>6484</v>
      </c>
      <c r="D1204" s="12" t="s">
        <v>6485</v>
      </c>
      <c r="E1204" s="12" t="s">
        <v>6367</v>
      </c>
      <c r="F1204" s="12" t="s">
        <v>845</v>
      </c>
      <c r="G1204" s="12" t="s">
        <v>830</v>
      </c>
      <c r="H1204" s="12" t="s">
        <v>6486</v>
      </c>
      <c r="I1204" s="12" t="s">
        <v>1593</v>
      </c>
      <c r="J1204" s="13" t="s">
        <v>6487</v>
      </c>
      <c r="K1204" s="12"/>
      <c r="L1204" s="12" t="s">
        <v>6492</v>
      </c>
      <c r="M1204" s="12" t="s">
        <v>6493</v>
      </c>
      <c r="N1204" s="12" t="s">
        <v>352</v>
      </c>
      <c r="O1204" s="12" t="s">
        <v>102</v>
      </c>
      <c r="P1204" s="12" t="s">
        <v>103</v>
      </c>
      <c r="Q1204" s="12" t="s">
        <v>104</v>
      </c>
      <c r="R1204" s="14" t="n">
        <v>5.9</v>
      </c>
      <c r="S1204" s="14" t="s">
        <v>129</v>
      </c>
      <c r="T1204" s="14" t="s">
        <v>653</v>
      </c>
      <c r="U1204" s="14" t="n">
        <v>2029</v>
      </c>
      <c r="V1204" s="12" t="s">
        <v>107</v>
      </c>
      <c r="W1204" s="14" t="s">
        <v>6494</v>
      </c>
      <c r="X1204" s="15" t="n">
        <f aca="false">IF(OR($S1204="%",$R1204=""),"",$R1204*INDEX(Cambi!$J$2:$J$5,MATCH($S1204,Cambi!$I$2:$I$5,0))/IF($T1204="EUR",1,INDEX(Cambi!$D:$D,MATCH($T1204&amp;"|"&amp;$U1204,Cambi!$C:$C,0))))</f>
        <v>5221.2389380531</v>
      </c>
      <c r="Y1204" s="12" t="s">
        <v>109</v>
      </c>
      <c r="Z1204" s="12" t="s">
        <v>285</v>
      </c>
      <c r="AA1204" s="12" t="s">
        <v>109</v>
      </c>
      <c r="AB1204" s="12" t="s">
        <v>3261</v>
      </c>
      <c r="AC1204" s="12" t="s">
        <v>395</v>
      </c>
      <c r="AD1204" s="12" t="s">
        <v>617</v>
      </c>
      <c r="AE1204" s="12" t="s">
        <v>6435</v>
      </c>
      <c r="AF1204" s="12" t="s">
        <v>6495</v>
      </c>
      <c r="AG1204" s="12" t="s">
        <v>498</v>
      </c>
      <c r="AH1204" s="12" t="s">
        <v>838</v>
      </c>
      <c r="AI1204" s="12" t="s">
        <v>117</v>
      </c>
      <c r="AJ1204" s="12" t="s">
        <v>6496</v>
      </c>
      <c r="AK1204" s="12" t="s">
        <v>4</v>
      </c>
    </row>
    <row r="1205" customFormat="false" ht="15" hidden="false" customHeight="false" outlineLevel="0" collapsed="false">
      <c r="A1205" s="11" t="n">
        <v>1204</v>
      </c>
      <c r="B1205" s="12" t="s">
        <v>6497</v>
      </c>
      <c r="C1205" s="12" t="s">
        <v>6484</v>
      </c>
      <c r="D1205" s="12" t="s">
        <v>6485</v>
      </c>
      <c r="E1205" s="12" t="s">
        <v>6367</v>
      </c>
      <c r="F1205" s="12" t="s">
        <v>845</v>
      </c>
      <c r="G1205" s="12" t="s">
        <v>830</v>
      </c>
      <c r="H1205" s="12" t="s">
        <v>6498</v>
      </c>
      <c r="I1205" s="12" t="s">
        <v>847</v>
      </c>
      <c r="J1205" s="13" t="s">
        <v>6499</v>
      </c>
      <c r="K1205" s="12"/>
      <c r="L1205" s="12" t="s">
        <v>6500</v>
      </c>
      <c r="M1205" s="12" t="s">
        <v>6501</v>
      </c>
      <c r="N1205" s="12" t="s">
        <v>352</v>
      </c>
      <c r="O1205" s="12" t="s">
        <v>102</v>
      </c>
      <c r="P1205" s="12" t="s">
        <v>103</v>
      </c>
      <c r="Q1205" s="12" t="s">
        <v>104</v>
      </c>
      <c r="R1205" s="14" t="n">
        <v>4.36</v>
      </c>
      <c r="S1205" s="14" t="s">
        <v>129</v>
      </c>
      <c r="T1205" s="14" t="s">
        <v>653</v>
      </c>
      <c r="U1205" s="14" t="n">
        <v>2025</v>
      </c>
      <c r="V1205" s="12" t="s">
        <v>157</v>
      </c>
      <c r="W1205" s="14"/>
      <c r="X1205" s="15" t="n">
        <f aca="false">IF(OR($S1205="%",$R1205=""),"",$R1205*INDEX(Cambi!$J$2:$J$5,MATCH($S1205,Cambi!$I$2:$I$5,0))/IF($T1205="EUR",1,INDEX(Cambi!$D:$D,MATCH($T1205&amp;"|"&amp;$U1205,Cambi!$C:$C,0))))</f>
        <v>3858.40707964602</v>
      </c>
      <c r="Y1205" s="12" t="s">
        <v>109</v>
      </c>
      <c r="Z1205" s="12" t="s">
        <v>285</v>
      </c>
      <c r="AA1205" s="12" t="s">
        <v>109</v>
      </c>
      <c r="AB1205" s="12" t="s">
        <v>3261</v>
      </c>
      <c r="AC1205" s="12" t="s">
        <v>395</v>
      </c>
      <c r="AD1205" s="12" t="s">
        <v>617</v>
      </c>
      <c r="AE1205" s="12" t="s">
        <v>6435</v>
      </c>
      <c r="AF1205" s="12" t="s">
        <v>6502</v>
      </c>
      <c r="AG1205" s="12" t="s">
        <v>498</v>
      </c>
      <c r="AH1205" s="12" t="s">
        <v>838</v>
      </c>
      <c r="AI1205" s="12" t="s">
        <v>117</v>
      </c>
      <c r="AJ1205" s="12" t="s">
        <v>6503</v>
      </c>
      <c r="AK1205" s="12" t="s">
        <v>4</v>
      </c>
    </row>
    <row r="1206" customFormat="false" ht="15" hidden="false" customHeight="false" outlineLevel="0" collapsed="false">
      <c r="A1206" s="11" t="n">
        <v>1205</v>
      </c>
      <c r="B1206" s="12" t="s">
        <v>6497</v>
      </c>
      <c r="C1206" s="12" t="s">
        <v>6484</v>
      </c>
      <c r="D1206" s="12" t="s">
        <v>6485</v>
      </c>
      <c r="E1206" s="12" t="s">
        <v>6367</v>
      </c>
      <c r="F1206" s="12" t="s">
        <v>845</v>
      </c>
      <c r="G1206" s="12" t="s">
        <v>830</v>
      </c>
      <c r="H1206" s="12" t="s">
        <v>6498</v>
      </c>
      <c r="I1206" s="12" t="s">
        <v>847</v>
      </c>
      <c r="J1206" s="13" t="s">
        <v>6499</v>
      </c>
      <c r="K1206" s="12"/>
      <c r="L1206" s="12" t="s">
        <v>6504</v>
      </c>
      <c r="M1206" s="12" t="s">
        <v>6505</v>
      </c>
      <c r="N1206" s="12" t="s">
        <v>352</v>
      </c>
      <c r="O1206" s="12" t="s">
        <v>196</v>
      </c>
      <c r="P1206" s="12" t="s">
        <v>214</v>
      </c>
      <c r="Q1206" s="12" t="s">
        <v>6137</v>
      </c>
      <c r="R1206" s="14" t="n">
        <v>24.82</v>
      </c>
      <c r="S1206" s="14" t="s">
        <v>197</v>
      </c>
      <c r="T1206" s="14"/>
      <c r="U1206" s="14" t="n">
        <v>2025</v>
      </c>
      <c r="V1206" s="12" t="s">
        <v>157</v>
      </c>
      <c r="W1206" s="14"/>
      <c r="X1206" s="15" t="str">
        <f aca="false">IF(OR($S1206="%",$R1206=""),"",$R1206*INDEX(Cambi!$J$2:$J$5,MATCH($S1206,Cambi!$I$2:$I$5,0))/IF($T1206="EUR",1,INDEX(Cambi!$D:$D,MATCH($T1206&amp;"|"&amp;$U1206,Cambi!$C:$C,0))))</f>
        <v/>
      </c>
      <c r="Y1206" s="12" t="s">
        <v>239</v>
      </c>
      <c r="Z1206" s="12" t="s">
        <v>285</v>
      </c>
      <c r="AA1206" s="12" t="s">
        <v>109</v>
      </c>
      <c r="AB1206" s="12" t="s">
        <v>3261</v>
      </c>
      <c r="AC1206" s="12" t="s">
        <v>395</v>
      </c>
      <c r="AD1206" s="12" t="s">
        <v>617</v>
      </c>
      <c r="AE1206" s="12" t="s">
        <v>6435</v>
      </c>
      <c r="AF1206" s="12" t="s">
        <v>6506</v>
      </c>
      <c r="AG1206" s="12" t="s">
        <v>498</v>
      </c>
      <c r="AH1206" s="12" t="s">
        <v>838</v>
      </c>
      <c r="AI1206" s="12" t="s">
        <v>117</v>
      </c>
      <c r="AJ1206" s="12" t="s">
        <v>266</v>
      </c>
      <c r="AK1206" s="12" t="s">
        <v>4</v>
      </c>
    </row>
    <row r="1207" customFormat="false" ht="15" hidden="false" customHeight="false" outlineLevel="0" collapsed="false">
      <c r="A1207" s="11" t="n">
        <v>1206</v>
      </c>
      <c r="B1207" s="12" t="s">
        <v>6497</v>
      </c>
      <c r="C1207" s="12" t="s">
        <v>6484</v>
      </c>
      <c r="D1207" s="12" t="s">
        <v>6485</v>
      </c>
      <c r="E1207" s="12" t="s">
        <v>6367</v>
      </c>
      <c r="F1207" s="12" t="s">
        <v>845</v>
      </c>
      <c r="G1207" s="12" t="s">
        <v>830</v>
      </c>
      <c r="H1207" s="12" t="s">
        <v>6498</v>
      </c>
      <c r="I1207" s="12" t="s">
        <v>847</v>
      </c>
      <c r="J1207" s="13" t="s">
        <v>6499</v>
      </c>
      <c r="K1207" s="12"/>
      <c r="L1207" s="12" t="s">
        <v>6507</v>
      </c>
      <c r="M1207" s="12" t="s">
        <v>6508</v>
      </c>
      <c r="N1207" s="12" t="s">
        <v>352</v>
      </c>
      <c r="O1207" s="12" t="s">
        <v>196</v>
      </c>
      <c r="P1207" s="12" t="s">
        <v>856</v>
      </c>
      <c r="Q1207" s="12" t="s">
        <v>1467</v>
      </c>
      <c r="R1207" s="14" t="n">
        <v>68.43</v>
      </c>
      <c r="S1207" s="14" t="s">
        <v>197</v>
      </c>
      <c r="T1207" s="14"/>
      <c r="U1207" s="14" t="n">
        <v>2025</v>
      </c>
      <c r="V1207" s="12" t="s">
        <v>157</v>
      </c>
      <c r="W1207" s="14"/>
      <c r="X1207" s="15" t="str">
        <f aca="false">IF(OR($S1207="%",$R1207=""),"",$R1207*INDEX(Cambi!$J$2:$J$5,MATCH($S1207,Cambi!$I$2:$I$5,0))/IF($T1207="EUR",1,INDEX(Cambi!$D:$D,MATCH($T1207&amp;"|"&amp;$U1207,Cambi!$C:$C,0))))</f>
        <v/>
      </c>
      <c r="Y1207" s="12" t="s">
        <v>109</v>
      </c>
      <c r="Z1207" s="12" t="s">
        <v>285</v>
      </c>
      <c r="AA1207" s="12" t="s">
        <v>109</v>
      </c>
      <c r="AB1207" s="12" t="s">
        <v>3261</v>
      </c>
      <c r="AC1207" s="12" t="s">
        <v>395</v>
      </c>
      <c r="AD1207" s="12" t="s">
        <v>617</v>
      </c>
      <c r="AE1207" s="12" t="s">
        <v>6435</v>
      </c>
      <c r="AF1207" s="12" t="s">
        <v>6509</v>
      </c>
      <c r="AG1207" s="12" t="s">
        <v>498</v>
      </c>
      <c r="AH1207" s="12" t="s">
        <v>838</v>
      </c>
      <c r="AI1207" s="12" t="s">
        <v>117</v>
      </c>
      <c r="AJ1207" s="12" t="s">
        <v>266</v>
      </c>
      <c r="AK1207" s="12" t="s">
        <v>4</v>
      </c>
    </row>
    <row r="1208" customFormat="false" ht="15" hidden="false" customHeight="false" outlineLevel="0" collapsed="false">
      <c r="A1208" s="11" t="n">
        <v>1207</v>
      </c>
      <c r="B1208" s="12" t="s">
        <v>6497</v>
      </c>
      <c r="C1208" s="12" t="s">
        <v>6484</v>
      </c>
      <c r="D1208" s="12" t="s">
        <v>6485</v>
      </c>
      <c r="E1208" s="12" t="s">
        <v>6367</v>
      </c>
      <c r="F1208" s="12" t="s">
        <v>845</v>
      </c>
      <c r="G1208" s="12" t="s">
        <v>830</v>
      </c>
      <c r="H1208" s="12" t="s">
        <v>6498</v>
      </c>
      <c r="I1208" s="12" t="s">
        <v>847</v>
      </c>
      <c r="J1208" s="13" t="s">
        <v>6499</v>
      </c>
      <c r="K1208" s="12"/>
      <c r="L1208" s="12" t="s">
        <v>6510</v>
      </c>
      <c r="M1208" s="12" t="s">
        <v>6511</v>
      </c>
      <c r="N1208" s="12" t="s">
        <v>352</v>
      </c>
      <c r="O1208" s="12" t="s">
        <v>196</v>
      </c>
      <c r="P1208" s="12" t="s">
        <v>155</v>
      </c>
      <c r="Q1208" s="12" t="s">
        <v>1027</v>
      </c>
      <c r="R1208" s="14" t="n">
        <v>68.38</v>
      </c>
      <c r="S1208" s="14" t="s">
        <v>197</v>
      </c>
      <c r="T1208" s="14"/>
      <c r="U1208" s="14" t="n">
        <v>2025</v>
      </c>
      <c r="V1208" s="12" t="s">
        <v>157</v>
      </c>
      <c r="W1208" s="14"/>
      <c r="X1208" s="15" t="str">
        <f aca="false">IF(OR($S1208="%",$R1208=""),"",$R1208*INDEX(Cambi!$J$2:$J$5,MATCH($S1208,Cambi!$I$2:$I$5,0))/IF($T1208="EUR",1,INDEX(Cambi!$D:$D,MATCH($T1208&amp;"|"&amp;$U1208,Cambi!$C:$C,0))))</f>
        <v/>
      </c>
      <c r="Y1208" s="12" t="s">
        <v>109</v>
      </c>
      <c r="Z1208" s="12" t="s">
        <v>285</v>
      </c>
      <c r="AA1208" s="12" t="s">
        <v>109</v>
      </c>
      <c r="AB1208" s="12" t="s">
        <v>3261</v>
      </c>
      <c r="AC1208" s="12" t="s">
        <v>395</v>
      </c>
      <c r="AD1208" s="12" t="s">
        <v>617</v>
      </c>
      <c r="AE1208" s="12" t="s">
        <v>6435</v>
      </c>
      <c r="AF1208" s="12" t="s">
        <v>6512</v>
      </c>
      <c r="AG1208" s="12" t="s">
        <v>498</v>
      </c>
      <c r="AH1208" s="12" t="s">
        <v>838</v>
      </c>
      <c r="AI1208" s="12" t="s">
        <v>117</v>
      </c>
      <c r="AJ1208" s="12" t="s">
        <v>266</v>
      </c>
      <c r="AK1208" s="12" t="s">
        <v>4</v>
      </c>
    </row>
    <row r="1209" customFormat="false" ht="15" hidden="false" customHeight="false" outlineLevel="0" collapsed="false">
      <c r="A1209" s="11" t="n">
        <v>1208</v>
      </c>
      <c r="B1209" s="12" t="s">
        <v>6497</v>
      </c>
      <c r="C1209" s="12" t="s">
        <v>6484</v>
      </c>
      <c r="D1209" s="12" t="s">
        <v>6485</v>
      </c>
      <c r="E1209" s="12" t="s">
        <v>6367</v>
      </c>
      <c r="F1209" s="12" t="s">
        <v>845</v>
      </c>
      <c r="G1209" s="12" t="s">
        <v>830</v>
      </c>
      <c r="H1209" s="12" t="s">
        <v>6498</v>
      </c>
      <c r="I1209" s="12" t="s">
        <v>847</v>
      </c>
      <c r="J1209" s="13" t="s">
        <v>6499</v>
      </c>
      <c r="K1209" s="12"/>
      <c r="L1209" s="12" t="s">
        <v>6513</v>
      </c>
      <c r="M1209" s="12" t="s">
        <v>6514</v>
      </c>
      <c r="N1209" s="12" t="s">
        <v>352</v>
      </c>
      <c r="O1209" s="12" t="s">
        <v>102</v>
      </c>
      <c r="P1209" s="12" t="s">
        <v>103</v>
      </c>
      <c r="Q1209" s="12" t="s">
        <v>104</v>
      </c>
      <c r="R1209" s="14" t="n">
        <v>4.68</v>
      </c>
      <c r="S1209" s="14" t="s">
        <v>129</v>
      </c>
      <c r="T1209" s="14" t="s">
        <v>653</v>
      </c>
      <c r="U1209" s="14" t="n">
        <v>2026</v>
      </c>
      <c r="V1209" s="12" t="s">
        <v>198</v>
      </c>
      <c r="W1209" s="14"/>
      <c r="X1209" s="15" t="n">
        <f aca="false">IF(OR($S1209="%",$R1209=""),"",$R1209*INDEX(Cambi!$J$2:$J$5,MATCH($S1209,Cambi!$I$2:$I$5,0))/IF($T1209="EUR",1,INDEX(Cambi!$D:$D,MATCH($T1209&amp;"|"&amp;$U1209,Cambi!$C:$C,0))))</f>
        <v>4141.59292035398</v>
      </c>
      <c r="Y1209" s="12" t="s">
        <v>109</v>
      </c>
      <c r="Z1209" s="12" t="s">
        <v>285</v>
      </c>
      <c r="AA1209" s="12" t="s">
        <v>109</v>
      </c>
      <c r="AB1209" s="12" t="s">
        <v>3261</v>
      </c>
      <c r="AC1209" s="12" t="s">
        <v>395</v>
      </c>
      <c r="AD1209" s="12" t="s">
        <v>617</v>
      </c>
      <c r="AE1209" s="12" t="s">
        <v>6435</v>
      </c>
      <c r="AF1209" s="12" t="s">
        <v>6502</v>
      </c>
      <c r="AG1209" s="12" t="s">
        <v>498</v>
      </c>
      <c r="AH1209" s="12" t="s">
        <v>838</v>
      </c>
      <c r="AI1209" s="12" t="s">
        <v>117</v>
      </c>
      <c r="AJ1209" s="12" t="s">
        <v>6223</v>
      </c>
      <c r="AK1209" s="12" t="s">
        <v>4</v>
      </c>
    </row>
    <row r="1210" customFormat="false" ht="15" hidden="false" customHeight="false" outlineLevel="0" collapsed="false">
      <c r="A1210" s="11" t="n">
        <v>1209</v>
      </c>
      <c r="B1210" s="12" t="s">
        <v>6497</v>
      </c>
      <c r="C1210" s="12" t="s">
        <v>6484</v>
      </c>
      <c r="D1210" s="12" t="s">
        <v>6485</v>
      </c>
      <c r="E1210" s="12" t="s">
        <v>6367</v>
      </c>
      <c r="F1210" s="12" t="s">
        <v>845</v>
      </c>
      <c r="G1210" s="12" t="s">
        <v>830</v>
      </c>
      <c r="H1210" s="12" t="s">
        <v>6498</v>
      </c>
      <c r="I1210" s="12" t="s">
        <v>847</v>
      </c>
      <c r="J1210" s="13" t="s">
        <v>6499</v>
      </c>
      <c r="K1210" s="12"/>
      <c r="L1210" s="12" t="s">
        <v>6515</v>
      </c>
      <c r="M1210" s="12" t="s">
        <v>6516</v>
      </c>
      <c r="N1210" s="12" t="s">
        <v>352</v>
      </c>
      <c r="O1210" s="12" t="s">
        <v>102</v>
      </c>
      <c r="P1210" s="12" t="s">
        <v>103</v>
      </c>
      <c r="Q1210" s="12" t="s">
        <v>104</v>
      </c>
      <c r="R1210" s="14" t="n">
        <v>6.71</v>
      </c>
      <c r="S1210" s="14" t="s">
        <v>129</v>
      </c>
      <c r="T1210" s="14" t="s">
        <v>653</v>
      </c>
      <c r="U1210" s="14" t="n">
        <v>2031</v>
      </c>
      <c r="V1210" s="12" t="s">
        <v>107</v>
      </c>
      <c r="W1210" s="14" t="s">
        <v>6517</v>
      </c>
      <c r="X1210" s="15" t="n">
        <f aca="false">IF(OR($S1210="%",$R1210=""),"",$R1210*INDEX(Cambi!$J$2:$J$5,MATCH($S1210,Cambi!$I$2:$I$5,0))/IF($T1210="EUR",1,INDEX(Cambi!$D:$D,MATCH($T1210&amp;"|"&amp;$U1210,Cambi!$C:$C,0))))</f>
        <v>5938.05309734513</v>
      </c>
      <c r="Y1210" s="12" t="s">
        <v>109</v>
      </c>
      <c r="Z1210" s="12" t="s">
        <v>285</v>
      </c>
      <c r="AA1210" s="12" t="s">
        <v>109</v>
      </c>
      <c r="AB1210" s="12" t="s">
        <v>3261</v>
      </c>
      <c r="AC1210" s="12" t="s">
        <v>395</v>
      </c>
      <c r="AD1210" s="12" t="s">
        <v>617</v>
      </c>
      <c r="AE1210" s="12" t="s">
        <v>6435</v>
      </c>
      <c r="AF1210" s="12" t="s">
        <v>6518</v>
      </c>
      <c r="AG1210" s="12" t="s">
        <v>498</v>
      </c>
      <c r="AH1210" s="12" t="s">
        <v>838</v>
      </c>
      <c r="AI1210" s="12" t="s">
        <v>117</v>
      </c>
      <c r="AJ1210" s="12" t="s">
        <v>266</v>
      </c>
      <c r="AK1210" s="12" t="s">
        <v>4</v>
      </c>
    </row>
    <row r="1211" customFormat="false" ht="15" hidden="false" customHeight="false" outlineLevel="0" collapsed="false">
      <c r="A1211" s="11" t="n">
        <v>1210</v>
      </c>
      <c r="B1211" s="12" t="s">
        <v>6027</v>
      </c>
      <c r="C1211" s="12" t="s">
        <v>6519</v>
      </c>
      <c r="D1211" s="12" t="s">
        <v>6520</v>
      </c>
      <c r="E1211" s="12" t="s">
        <v>6367</v>
      </c>
      <c r="F1211" s="12" t="s">
        <v>2235</v>
      </c>
      <c r="G1211" s="12" t="s">
        <v>1876</v>
      </c>
      <c r="H1211" s="12" t="s">
        <v>6368</v>
      </c>
      <c r="I1211" s="12" t="s">
        <v>1667</v>
      </c>
      <c r="J1211" s="13" t="s">
        <v>6369</v>
      </c>
      <c r="K1211" s="12" t="s">
        <v>6031</v>
      </c>
      <c r="L1211" s="12" t="s">
        <v>6521</v>
      </c>
      <c r="M1211" s="12" t="s">
        <v>6522</v>
      </c>
      <c r="N1211" s="12" t="s">
        <v>352</v>
      </c>
      <c r="O1211" s="12" t="s">
        <v>102</v>
      </c>
      <c r="P1211" s="12" t="s">
        <v>103</v>
      </c>
      <c r="Q1211" s="12" t="s">
        <v>104</v>
      </c>
      <c r="R1211" s="14" t="n">
        <v>2.6</v>
      </c>
      <c r="S1211" s="14" t="s">
        <v>129</v>
      </c>
      <c r="T1211" s="14" t="s">
        <v>653</v>
      </c>
      <c r="U1211" s="14" t="n">
        <v>2019</v>
      </c>
      <c r="V1211" s="12" t="s">
        <v>198</v>
      </c>
      <c r="W1211" s="14"/>
      <c r="X1211" s="15" t="n">
        <f aca="false">IF(OR($S1211="%",$R1211=""),"",$R1211*INDEX(Cambi!$J$2:$J$5,MATCH($S1211,Cambi!$I$2:$I$5,0))/IF($T1211="EUR",1,INDEX(Cambi!$D:$D,MATCH($T1211&amp;"|"&amp;$U1211,Cambi!$C:$C,0))))</f>
        <v>2322.46538633318</v>
      </c>
      <c r="Y1211" s="12" t="s">
        <v>654</v>
      </c>
      <c r="Z1211" s="12" t="s">
        <v>285</v>
      </c>
      <c r="AA1211" s="12" t="s">
        <v>2788</v>
      </c>
      <c r="AB1211" s="16" t="s">
        <v>679</v>
      </c>
      <c r="AC1211" s="16" t="s">
        <v>2789</v>
      </c>
      <c r="AD1211" s="12" t="s">
        <v>201</v>
      </c>
      <c r="AE1211" s="12" t="s">
        <v>2790</v>
      </c>
      <c r="AF1211" s="12" t="s">
        <v>6523</v>
      </c>
      <c r="AG1211" s="12" t="s">
        <v>498</v>
      </c>
      <c r="AH1211" s="12" t="s">
        <v>499</v>
      </c>
      <c r="AI1211" s="12" t="s">
        <v>285</v>
      </c>
      <c r="AJ1211" s="12" t="s">
        <v>6524</v>
      </c>
      <c r="AK1211" s="12" t="s">
        <v>4</v>
      </c>
    </row>
    <row r="1212" customFormat="false" ht="15" hidden="false" customHeight="false" outlineLevel="0" collapsed="false">
      <c r="A1212" s="11" t="n">
        <v>1211</v>
      </c>
      <c r="B1212" s="12" t="s">
        <v>6525</v>
      </c>
      <c r="C1212" s="12" t="s">
        <v>6526</v>
      </c>
      <c r="D1212" s="12" t="s">
        <v>6526</v>
      </c>
      <c r="E1212" s="12" t="s">
        <v>6526</v>
      </c>
      <c r="F1212" s="12" t="s">
        <v>6527</v>
      </c>
      <c r="G1212" s="12" t="s">
        <v>1876</v>
      </c>
      <c r="H1212" s="12" t="s">
        <v>6528</v>
      </c>
      <c r="I1212" s="12" t="s">
        <v>583</v>
      </c>
      <c r="J1212" s="13" t="s">
        <v>6529</v>
      </c>
      <c r="K1212" s="12"/>
      <c r="L1212" s="12" t="s">
        <v>6530</v>
      </c>
      <c r="M1212" s="12" t="s">
        <v>6531</v>
      </c>
      <c r="N1212" s="12" t="s">
        <v>352</v>
      </c>
      <c r="O1212" s="12" t="s">
        <v>213</v>
      </c>
      <c r="P1212" s="12" t="s">
        <v>103</v>
      </c>
      <c r="Q1212" s="12" t="s">
        <v>104</v>
      </c>
      <c r="R1212" s="14" t="n">
        <v>11.1</v>
      </c>
      <c r="S1212" s="14" t="s">
        <v>197</v>
      </c>
      <c r="T1212" s="14"/>
      <c r="U1212" s="14" t="n">
        <v>2023</v>
      </c>
      <c r="V1212" s="12" t="s">
        <v>157</v>
      </c>
      <c r="W1212" s="14"/>
      <c r="X1212" s="15" t="str">
        <f aca="false">IF(OR($S1212="%",$R1212=""),"",$R1212*INDEX(Cambi!$J$2:$J$5,MATCH($S1212,Cambi!$I$2:$I$5,0))/IF($T1212="EUR",1,INDEX(Cambi!$D:$D,MATCH($T1212&amp;"|"&amp;$U1212,Cambi!$C:$C,0))))</f>
        <v/>
      </c>
      <c r="Y1212" s="12" t="s">
        <v>109</v>
      </c>
      <c r="Z1212" s="12" t="s">
        <v>285</v>
      </c>
      <c r="AA1212" s="12" t="s">
        <v>6532</v>
      </c>
      <c r="AB1212" s="16" t="s">
        <v>679</v>
      </c>
      <c r="AC1212" s="16" t="s">
        <v>6533</v>
      </c>
      <c r="AD1212" s="12" t="s">
        <v>166</v>
      </c>
      <c r="AE1212" s="12" t="s">
        <v>6534</v>
      </c>
      <c r="AF1212" s="12" t="s">
        <v>6535</v>
      </c>
      <c r="AG1212" s="12" t="s">
        <v>498</v>
      </c>
      <c r="AH1212" s="12" t="s">
        <v>116</v>
      </c>
      <c r="AI1212" s="12" t="s">
        <v>117</v>
      </c>
      <c r="AJ1212" s="12" t="s">
        <v>6536</v>
      </c>
      <c r="AK1212" s="12" t="s">
        <v>4</v>
      </c>
    </row>
    <row r="1213" customFormat="false" ht="15" hidden="false" customHeight="false" outlineLevel="0" collapsed="false">
      <c r="A1213" s="11" t="n">
        <v>1212</v>
      </c>
      <c r="B1213" s="12" t="s">
        <v>6537</v>
      </c>
      <c r="C1213" s="12" t="s">
        <v>6526</v>
      </c>
      <c r="D1213" s="12" t="s">
        <v>6526</v>
      </c>
      <c r="E1213" s="12" t="s">
        <v>6526</v>
      </c>
      <c r="F1213" s="12" t="s">
        <v>6527</v>
      </c>
      <c r="G1213" s="12" t="s">
        <v>1876</v>
      </c>
      <c r="H1213" s="12" t="s">
        <v>6538</v>
      </c>
      <c r="I1213" s="12" t="s">
        <v>6539</v>
      </c>
      <c r="J1213" s="13" t="s">
        <v>6540</v>
      </c>
      <c r="K1213" s="12"/>
      <c r="L1213" s="12" t="s">
        <v>6541</v>
      </c>
      <c r="M1213" s="12" t="s">
        <v>6542</v>
      </c>
      <c r="N1213" s="12" t="s">
        <v>352</v>
      </c>
      <c r="O1213" s="12" t="s">
        <v>102</v>
      </c>
      <c r="P1213" s="12" t="s">
        <v>103</v>
      </c>
      <c r="Q1213" s="12" t="s">
        <v>104</v>
      </c>
      <c r="R1213" s="14" t="n">
        <v>5.2</v>
      </c>
      <c r="S1213" s="14" t="s">
        <v>129</v>
      </c>
      <c r="T1213" s="14" t="s">
        <v>653</v>
      </c>
      <c r="U1213" s="14" t="n">
        <v>2022</v>
      </c>
      <c r="V1213" s="12" t="s">
        <v>157</v>
      </c>
      <c r="W1213" s="14"/>
      <c r="X1213" s="15" t="n">
        <f aca="false">IF(OR($S1213="%",$R1213=""),"",$R1213*INDEX(Cambi!$J$2:$J$5,MATCH($S1213,Cambi!$I$2:$I$5,0))/IF($T1213="EUR",1,INDEX(Cambi!$D:$D,MATCH($T1213&amp;"|"&amp;$U1213,Cambi!$C:$C,0))))</f>
        <v>4938.27160493827</v>
      </c>
      <c r="Y1213" s="12" t="s">
        <v>109</v>
      </c>
      <c r="Z1213" s="12" t="s">
        <v>285</v>
      </c>
      <c r="AA1213" s="12" t="s">
        <v>6532</v>
      </c>
      <c r="AB1213" s="16" t="s">
        <v>679</v>
      </c>
      <c r="AC1213" s="16" t="s">
        <v>6533</v>
      </c>
      <c r="AD1213" s="12" t="s">
        <v>166</v>
      </c>
      <c r="AE1213" s="12" t="s">
        <v>6534</v>
      </c>
      <c r="AF1213" s="12" t="s">
        <v>6543</v>
      </c>
      <c r="AG1213" s="12" t="s">
        <v>498</v>
      </c>
      <c r="AH1213" s="12" t="s">
        <v>116</v>
      </c>
      <c r="AI1213" s="12" t="s">
        <v>117</v>
      </c>
      <c r="AJ1213" s="12" t="s">
        <v>6544</v>
      </c>
      <c r="AK1213" s="12" t="s">
        <v>4</v>
      </c>
    </row>
    <row r="1214" customFormat="false" ht="15" hidden="false" customHeight="false" outlineLevel="0" collapsed="false">
      <c r="A1214" s="11" t="n">
        <v>1213</v>
      </c>
      <c r="B1214" s="12" t="s">
        <v>6545</v>
      </c>
      <c r="C1214" s="12" t="s">
        <v>6526</v>
      </c>
      <c r="D1214" s="12" t="s">
        <v>6526</v>
      </c>
      <c r="E1214" s="12" t="s">
        <v>6526</v>
      </c>
      <c r="F1214" s="12" t="s">
        <v>6527</v>
      </c>
      <c r="G1214" s="12" t="s">
        <v>1876</v>
      </c>
      <c r="H1214" s="12" t="s">
        <v>6546</v>
      </c>
      <c r="I1214" s="12" t="s">
        <v>583</v>
      </c>
      <c r="J1214" s="13" t="s">
        <v>6547</v>
      </c>
      <c r="K1214" s="12"/>
      <c r="L1214" s="12" t="s">
        <v>6548</v>
      </c>
      <c r="M1214" s="12" t="s">
        <v>6549</v>
      </c>
      <c r="N1214" s="12" t="s">
        <v>352</v>
      </c>
      <c r="O1214" s="12" t="s">
        <v>102</v>
      </c>
      <c r="P1214" s="12" t="s">
        <v>103</v>
      </c>
      <c r="Q1214" s="12" t="s">
        <v>104</v>
      </c>
      <c r="R1214" s="14" t="n">
        <v>5.9</v>
      </c>
      <c r="S1214" s="14" t="s">
        <v>129</v>
      </c>
      <c r="T1214" s="14" t="s">
        <v>653</v>
      </c>
      <c r="U1214" s="14" t="n">
        <v>2022</v>
      </c>
      <c r="V1214" s="12" t="s">
        <v>157</v>
      </c>
      <c r="W1214" s="14" t="s">
        <v>6550</v>
      </c>
      <c r="X1214" s="15" t="n">
        <f aca="false">IF(OR($S1214="%",$R1214=""),"",$R1214*INDEX(Cambi!$J$2:$J$5,MATCH($S1214,Cambi!$I$2:$I$5,0))/IF($T1214="EUR",1,INDEX(Cambi!$D:$D,MATCH($T1214&amp;"|"&amp;$U1214,Cambi!$C:$C,0))))</f>
        <v>5603.03893637227</v>
      </c>
      <c r="Y1214" s="12" t="s">
        <v>109</v>
      </c>
      <c r="Z1214" s="12" t="s">
        <v>285</v>
      </c>
      <c r="AA1214" s="12" t="s">
        <v>6532</v>
      </c>
      <c r="AB1214" s="16" t="s">
        <v>679</v>
      </c>
      <c r="AC1214" s="16" t="s">
        <v>6533</v>
      </c>
      <c r="AD1214" s="12" t="s">
        <v>166</v>
      </c>
      <c r="AE1214" s="12" t="s">
        <v>6534</v>
      </c>
      <c r="AF1214" s="12" t="s">
        <v>6551</v>
      </c>
      <c r="AG1214" s="12" t="s">
        <v>498</v>
      </c>
      <c r="AH1214" s="12" t="s">
        <v>116</v>
      </c>
      <c r="AI1214" s="12" t="s">
        <v>117</v>
      </c>
      <c r="AJ1214" s="12" t="s">
        <v>6552</v>
      </c>
      <c r="AK1214" s="12" t="s">
        <v>4</v>
      </c>
    </row>
    <row r="1215" customFormat="false" ht="15" hidden="false" customHeight="false" outlineLevel="0" collapsed="false">
      <c r="A1215" s="11" t="n">
        <v>1214</v>
      </c>
      <c r="B1215" s="12" t="s">
        <v>5947</v>
      </c>
      <c r="C1215" s="12" t="s">
        <v>6526</v>
      </c>
      <c r="D1215" s="12" t="s">
        <v>6526</v>
      </c>
      <c r="E1215" s="12" t="s">
        <v>6526</v>
      </c>
      <c r="F1215" s="12" t="s">
        <v>5948</v>
      </c>
      <c r="G1215" s="12" t="s">
        <v>1876</v>
      </c>
      <c r="H1215" s="12" t="s">
        <v>5949</v>
      </c>
      <c r="I1215" s="12" t="s">
        <v>748</v>
      </c>
      <c r="J1215" s="13" t="s">
        <v>5950</v>
      </c>
      <c r="K1215" s="12"/>
      <c r="L1215" s="12" t="s">
        <v>6553</v>
      </c>
      <c r="M1215" s="12" t="s">
        <v>6554</v>
      </c>
      <c r="N1215" s="12" t="s">
        <v>352</v>
      </c>
      <c r="O1215" s="12" t="s">
        <v>213</v>
      </c>
      <c r="P1215" s="12" t="s">
        <v>155</v>
      </c>
      <c r="Q1215" s="12" t="s">
        <v>1937</v>
      </c>
      <c r="R1215" s="14" t="n">
        <v>14.1</v>
      </c>
      <c r="S1215" s="14" t="s">
        <v>197</v>
      </c>
      <c r="T1215" s="14"/>
      <c r="U1215" s="14" t="n">
        <v>2021</v>
      </c>
      <c r="V1215" s="12" t="s">
        <v>107</v>
      </c>
      <c r="W1215" s="14"/>
      <c r="X1215" s="15" t="str">
        <f aca="false">IF(OR($S1215="%",$R1215=""),"",$R1215*INDEX(Cambi!$J$2:$J$5,MATCH($S1215,Cambi!$I$2:$I$5,0))/IF($T1215="EUR",1,INDEX(Cambi!$D:$D,MATCH($T1215&amp;"|"&amp;$U1215,Cambi!$C:$C,0))))</f>
        <v/>
      </c>
      <c r="Y1215" s="12" t="s">
        <v>109</v>
      </c>
      <c r="Z1215" s="12" t="s">
        <v>285</v>
      </c>
      <c r="AA1215" s="12" t="s">
        <v>4418</v>
      </c>
      <c r="AB1215" s="16" t="s">
        <v>110</v>
      </c>
      <c r="AC1215" s="16" t="s">
        <v>5954</v>
      </c>
      <c r="AD1215" s="12" t="s">
        <v>112</v>
      </c>
      <c r="AE1215" s="12" t="s">
        <v>282</v>
      </c>
      <c r="AF1215" s="12" t="s">
        <v>6555</v>
      </c>
      <c r="AG1215" s="12" t="s">
        <v>284</v>
      </c>
      <c r="AH1215" s="12" t="s">
        <v>116</v>
      </c>
      <c r="AI1215" s="12" t="s">
        <v>117</v>
      </c>
      <c r="AJ1215" s="12" t="s">
        <v>266</v>
      </c>
      <c r="AK1215" s="12" t="s">
        <v>4</v>
      </c>
    </row>
    <row r="1216" customFormat="false" ht="15" hidden="false" customHeight="false" outlineLevel="0" collapsed="false">
      <c r="A1216" s="11" t="n">
        <v>1215</v>
      </c>
      <c r="B1216" s="12" t="s">
        <v>6556</v>
      </c>
      <c r="C1216" s="12" t="s">
        <v>6526</v>
      </c>
      <c r="D1216" s="12" t="s">
        <v>6526</v>
      </c>
      <c r="E1216" s="12" t="s">
        <v>6526</v>
      </c>
      <c r="F1216" s="12" t="s">
        <v>6557</v>
      </c>
      <c r="G1216" s="12" t="s">
        <v>1055</v>
      </c>
      <c r="H1216" s="12" t="s">
        <v>6558</v>
      </c>
      <c r="I1216" s="12" t="s">
        <v>762</v>
      </c>
      <c r="J1216" s="13" t="s">
        <v>6559</v>
      </c>
      <c r="K1216" s="12" t="s">
        <v>6560</v>
      </c>
      <c r="L1216" s="12" t="s">
        <v>6561</v>
      </c>
      <c r="M1216" s="12" t="s">
        <v>6562</v>
      </c>
      <c r="N1216" s="12" t="s">
        <v>352</v>
      </c>
      <c r="O1216" s="12" t="s">
        <v>102</v>
      </c>
      <c r="P1216" s="12" t="s">
        <v>155</v>
      </c>
      <c r="Q1216" s="12" t="s">
        <v>1937</v>
      </c>
      <c r="R1216" s="14" t="n">
        <v>7.6</v>
      </c>
      <c r="S1216" s="14" t="s">
        <v>129</v>
      </c>
      <c r="T1216" s="14" t="s">
        <v>106</v>
      </c>
      <c r="U1216" s="14" t="n">
        <v>2024</v>
      </c>
      <c r="V1216" s="12" t="s">
        <v>198</v>
      </c>
      <c r="W1216" s="14" t="s">
        <v>6563</v>
      </c>
      <c r="X1216" s="15" t="n">
        <f aca="false">IF(OR($S1216="%",$R1216=""),"",$R1216*INDEX(Cambi!$J$2:$J$5,MATCH($S1216,Cambi!$I$2:$I$5,0))/IF($T1216="EUR",1,INDEX(Cambi!$D:$D,MATCH($T1216&amp;"|"&amp;$U1216,Cambi!$C:$C,0))))</f>
        <v>7600</v>
      </c>
      <c r="Y1216" s="12" t="s">
        <v>109</v>
      </c>
      <c r="Z1216" s="12" t="s">
        <v>285</v>
      </c>
      <c r="AA1216" s="12" t="s">
        <v>4418</v>
      </c>
      <c r="AB1216" s="16" t="s">
        <v>110</v>
      </c>
      <c r="AC1216" s="16" t="s">
        <v>6564</v>
      </c>
      <c r="AD1216" s="12" t="s">
        <v>281</v>
      </c>
      <c r="AE1216" s="12" t="s">
        <v>282</v>
      </c>
      <c r="AF1216" s="12" t="s">
        <v>6565</v>
      </c>
      <c r="AG1216" s="12" t="s">
        <v>284</v>
      </c>
      <c r="AH1216" s="12" t="s">
        <v>499</v>
      </c>
      <c r="AI1216" s="12" t="s">
        <v>285</v>
      </c>
      <c r="AJ1216" s="12" t="s">
        <v>6566</v>
      </c>
      <c r="AK1216" s="12" t="s">
        <v>4</v>
      </c>
    </row>
  </sheetData>
  <autoFilter ref="A1:AK1216"/>
  <hyperlinks>
    <hyperlink ref="J2" r:id="rId1" display="https://data.consilium.europa.eu/doc/document/ST-5611-2026-INIT/en/pdf"/>
    <hyperlink ref="J3" r:id="rId2" display="https://data.consilium.europa.eu/doc/document/ST-5611-2026-INIT/en/pdf"/>
    <hyperlink ref="J4" r:id="rId3" display="https://ec.europa.eu/commission/presscorner/api/files/document/print/en/ip_23_2243/IP_23_2243_EN.pdf"/>
    <hyperlink ref="J5" r:id="rId4" display="https://digital-strategy.ec.europa.eu/en/library/digital-europe-more-competitive-autonomous-and-sustainable-europe-brochure"/>
    <hyperlink ref="J6" r:id="rId5" display="https://digital-strategy.ec.europa.eu/en/policies/cybersecurity-policies"/>
    <hyperlink ref="J7" r:id="rId6" display="https://digital-strategy.ec.europa.eu/en/news/digital-europe-programme-fuels-digital-transformation-and-skills-development-across-europe"/>
    <hyperlink ref="J8" r:id="rId7" display="https://secure.ipex.eu/IPEXL-WEB/download/file/082d29089070f71e019072c2e24e0036"/>
    <hyperlink ref="J9" r:id="rId8" display="https://www.europarl.europa.eu/RegData/docs_autres_institutions/commission_europeenne/com/2025/0290/COM_COM(2025)0290(ANN)_EN.pdf"/>
    <hyperlink ref="J10" r:id="rId9" display="https://ec.europa.eu/info/funding-tenders/opportunities/docs/2021-2027/horizon/wp-call/2025/wp-6-civil-security-for-society_horizon-2025_en.pdf"/>
    <hyperlink ref="J11" r:id="rId10" display="https://www.eerstekamer.nl/bijlage/20210114/swd_2020_345_impact_assessment_7/document3/f=/vlfghch5jfhz.pdf"/>
    <hyperlink ref="J12" r:id="rId11" display="https://www.eerstekamer.nl/bijlage/20210114/swd_2020_345_impact_assessment_7/document3/f=/vlfghch5jfhz.pdf"/>
    <hyperlink ref="J13" r:id="rId12" display="https://www.eerstekamer.nl/bijlage/20210114/swd_2020_345_impact_assessment_5/document3/f=/vlfghbk7smnk.pdf"/>
    <hyperlink ref="J14" r:id="rId13" display="https://www.eerstekamer.nl/bijlage/20210114/swd_2020_345_impact_assessment_5/document3/f=/vlfghbk7smnk.pdf"/>
    <hyperlink ref="J15" r:id="rId14" display="https://www.eerstekamer.nl/bijlage/20210114/swd_2020_345_impact_assessment_7/document3/f=/vlfghch5jfhz.pdf"/>
    <hyperlink ref="J16" r:id="rId15" display="https://www.eerstekamer.nl/bijlage/20210114/swd_2020_345_impact_assessment_7/document3/f=/vlfghch5jfhz.pdf"/>
    <hyperlink ref="J17" r:id="rId16" display="https://www.eerstekamer.nl/bijlage/20210114/swd_2020_345_impact_assessment_7/document3/f=/vlfghch5jfhz.pdf"/>
    <hyperlink ref="J18" r:id="rId17" display="https://www.eerstekamer.nl/bijlage/20210114/swd_2020_345_impact_assessment_7/document3/f=/vlfghch5jfhz.pdf"/>
    <hyperlink ref="J19" r:id="rId18" display="https://www.eerstekamer.nl/bijlage/20210114/swd_2020_345_impact_assessment_7/document3/f=/vlfghch5jfhz.pdf"/>
    <hyperlink ref="J20" r:id="rId19" display="https://www.eerstekamer.nl/bijlage/20210114/swd_2020_345_impact_assessment_7/document3/f=/vlfghch5jfhz.pdf"/>
    <hyperlink ref="J21" r:id="rId20" display="https://www.eerstekamer.nl/bijlage/20210114/swd_2020_345_impact_assessment_7/document3/f=/vlfghch5jfhz.pdf"/>
    <hyperlink ref="J22" r:id="rId21" display="https://op.europa.eu/o/opportal-service/download-handler?identifier=fa9b11af-6d4a-11f1-ae88-01aa75ed71a1&amp;format=PDF&amp;language=en&amp;productionSystem=cellar"/>
    <hyperlink ref="J23" r:id="rId22" display="https://op.europa.eu/o/opportal-service/download-handler?identifier=fa9b11af-6d4a-11f1-ae88-01aa75ed71a1&amp;format=PDF&amp;language=en&amp;productionSystem=cellar"/>
    <hyperlink ref="J24" r:id="rId23" display="https://op.europa.eu/o/opportal-service/download-handler?identifier=fa9b11af-6d4a-11f1-ae88-01aa75ed71a1&amp;format=PDF&amp;language=en&amp;productionSystem=cellar"/>
    <hyperlink ref="J25" r:id="rId24" display="https://op.europa.eu/o/opportal-service/download-handler?identifier=fa9b11af-6d4a-11f1-ae88-01aa75ed71a1&amp;format=PDF&amp;language=en&amp;productionSystem=cellar"/>
    <hyperlink ref="J26" r:id="rId25" display="https://www.eca.europa.eu/sites/cc/Lists/CCDocuments/Compendium_Cybersecurity/CC_Compendium_Cybersecurity_EN.pdf"/>
    <hyperlink ref="J27" r:id="rId26" display="https://www.eca.europa.eu/sites/cc/Lists/CCDocuments/Compendium_Cybersecurity/CC_Compendium_Cybersecurity_EN.pdf"/>
    <hyperlink ref="J28" r:id="rId27" display="https://cybersecurity-centre.europa.eu/document/download/8af166e1-69c5-4ccd-b38f-5a3ffe43ad73_en?filename=DEP%20WP2025-2027_March2025.pdf"/>
    <hyperlink ref="J29" r:id="rId28" display="https://cybersecurity-centre.europa.eu/document/download/8af166e1-69c5-4ccd-b38f-5a3ffe43ad73_en?filename=DEP%20WP2025-2027_March2025.pdf"/>
    <hyperlink ref="J30" r:id="rId29" display="https://cybersecurity-centre.europa.eu/document/download/8af166e1-69c5-4ccd-b38f-5a3ffe43ad73_en?filename=DEP%20WP2025-2027_March2025.pdf"/>
    <hyperlink ref="J31" r:id="rId30" display="https://cybersecurity-centre.europa.eu/document/download/8af166e1-69c5-4ccd-b38f-5a3ffe43ad73_en?filename=DEP%20WP2025-2027_March2025.pdf"/>
    <hyperlink ref="J32" r:id="rId31" display="https://cybersecurity-centre.europa.eu/document/download/a35f7be2-4464-43d3-a40f-6ec942036f48_en?filename=Amendment2cleanDEPcybersecurityWP2025-2027.pdf"/>
    <hyperlink ref="J33" r:id="rId32" display="https://cybersecurity-centre.europa.eu/document/download/a35f7be2-4464-43d3-a40f-6ec942036f48_en?filename=Amendment2cleanDEPcybersecurityWP2025-2027.pdf"/>
    <hyperlink ref="J34" r:id="rId33" display="https://cybersecurity-centre.europa.eu/document/download/a35f7be2-4464-43d3-a40f-6ec942036f48_en?filename=Amendment2cleanDEPcybersecurityWP2025-2027.pdf"/>
    <hyperlink ref="J35" r:id="rId34" display="https://cybersecurity-centre.europa.eu/document/download/a35f7be2-4464-43d3-a40f-6ec942036f48_en?filename=Amendment2cleanDEPcybersecurityWP2025-2027.pdf"/>
    <hyperlink ref="J36" r:id="rId35" display="https://cybersecurity-centre.europa.eu/document/download/a35f7be2-4464-43d3-a40f-6ec942036f48_en?filename=Amendment2cleanDEPcybersecurityWP2025-2027.pdf"/>
    <hyperlink ref="J37" r:id="rId36" display="https://cybersecurity-centre.europa.eu/system/files/2024-01/ECCC%20GB%20Decision%20No%202023_8%20ECCC%20final%20SPD%202024-2026.pdf"/>
    <hyperlink ref="J38" r:id="rId37" display="https://cybersecurity-centre.europa.eu/system/files/2024-01/ECCC%20GB%20Decision%20No%202023_8%20ECCC%20final%20SPD%202024-2026.pdf"/>
    <hyperlink ref="J39" r:id="rId38" display="https://cybersecurity-centre.europa.eu/system/files/2024-01/ECCC%20GB%20Decision%20No%202023_8%20ECCC%20final%20SPD%202024-2026.pdf"/>
    <hyperlink ref="J40" r:id="rId39" display="https://cybersecurity-centre.europa.eu/system/files/2024-01/ECCC%20GB%20Decision%20No%202023_8%20ECCC%20final%20SPD%202024-2026.pdf"/>
    <hyperlink ref="J41" r:id="rId40" display="https://ecs-org.eu/ecso-uploads/2024/12/ECSO-Cybersecurity-Market-Analysis-and-Recommendations-v1.1.pdf"/>
    <hyperlink ref="J42" r:id="rId41" display="https://ecs-org.eu/ecso-uploads/2024/12/ECSO-Cybersecurity-Market-Analysis-and-Recommendations-v1.1.pdf"/>
    <hyperlink ref="J43" r:id="rId42" display="https://ecs-org.eu/ecso-uploads/2024/12/ECSO-Cybersecurity-Market-Analysis-and-Recommendations-v1.1.pdf"/>
    <hyperlink ref="J44" r:id="rId43" display="https://ecs-org.eu/ecso-uploads/2024/12/ECSO-Cybersecurity-Market-Analysis-and-Recommendations-v1.1.pdf"/>
    <hyperlink ref="J45" r:id="rId44" display="https://ecs-org.eu/ecso-uploads/2024/12/ECSO-Cybersecurity-Market-Analysis-and-Recommendations-v1.1.pdf"/>
    <hyperlink ref="J46" r:id="rId45" display="https://ecs-org.eu/ecso-uploads/2024/12/ECSO-Cybersecurity-Market-Analysis-and-Recommendations-v1.1.pdf"/>
    <hyperlink ref="J47" r:id="rId46" display="https://www.enisa.europa.eu/sites/default/files/2025-06/Consolidated%20Annual%20Activity%20Report%202024.pdf"/>
    <hyperlink ref="J48" r:id="rId47" display="https://www.enisa.europa.eu/sites/default/files/2025-06/Consolidated%20Annual%20Activity%20Report%202024.pdf"/>
    <hyperlink ref="J49" r:id="rId48" display="https://www.enisa.europa.eu/sites/default/files/publications/ENISA%20-%20NIS%20Investments%20Report.pdf"/>
    <hyperlink ref="J50" r:id="rId49" display="https://www.enisa.europa.eu/sites/default/files/publications/ENISA%20Report%20-%20NIS%20Investments%202021.pdf"/>
    <hyperlink ref="J51" r:id="rId50" display="https://www.enisa.europa.eu/sites/default/files/publications/ENISA%20Report%20-%20NIS%20Investments%202021.pdf"/>
    <hyperlink ref="J52" r:id="rId51" display="https://www.enisa.europa.eu/sites/default/files/publications/ENISA%20Report%20-%20NIS%20Investments%202021.pdf"/>
    <hyperlink ref="J53" r:id="rId52" display="https://www.enisa.europa.eu/sites/default/files/publications/ENISA%20Report%20-%20NIS%20Investments%202021.pdf"/>
    <hyperlink ref="J54" r:id="rId53" display="https://www.enisa.europa.eu/sites/default/files/publications/ENISA%20Report%20-%20NIS%20Investments%202021.pdf"/>
    <hyperlink ref="J55" r:id="rId54" display="https://www.enisa.europa.eu/sites/default/files/publications/ENISA%20Report%20-%20NIS%20Investments%202021.pdf"/>
    <hyperlink ref="J56" r:id="rId55" display="https://www.enisa.europa.eu/sites/default/files/publications/ENISA%20Report%20-%20NIS%20Investments%202021.pdf"/>
    <hyperlink ref="J57" r:id="rId56" display="https://www.enisa.europa.eu/sites/default/files/publications/ENISA%20Report%20-%20NIS%20Investments%202021.pdf"/>
    <hyperlink ref="J58" r:id="rId57" display="https://www.enisa.europa.eu/sites/default/files/publications/ENISA%20Report%20-%20NIS%20Investments%202021.pdf"/>
    <hyperlink ref="J59" r:id="rId58" display="https://www.enisa.europa.eu/sites/default/files/publications/NIS%20Investments%202022.pdf"/>
    <hyperlink ref="J60" r:id="rId59" display="https://www.enisa.europa.eu/sites/default/files/publications/NIS%20Investments%202022.pdf"/>
    <hyperlink ref="J61" r:id="rId60" display="https://www.enisa.europa.eu/sites/default/files/publications/NIS%20Investments%202022.pdf"/>
    <hyperlink ref="J62" r:id="rId61" display="https://www.enisa.europa.eu/sites/default/files/publications/NIS%20Investments%202022.pdf"/>
    <hyperlink ref="J63" r:id="rId62" display="https://www.enisa.europa.eu/sites/default/files/publications/NIS%20Investments%202022.pdf"/>
    <hyperlink ref="J64" r:id="rId63" display="https://www.enisa.europa.eu/sites/default/files/publications/NIS%20Investments%202022.pdf"/>
    <hyperlink ref="J65" r:id="rId64" display="https://www.enisa.europa.eu/sites/default/files/publications/NIS%20Investments%202022.pdf"/>
    <hyperlink ref="J66" r:id="rId65" display="https://www.enisa.europa.eu/sites/default/files/publications/NIS%20Investments%202022.pdf"/>
    <hyperlink ref="J67" r:id="rId66" display="https://www.enisa.europa.eu/sites/default/files/publications/NIS%20Investments%202022.pdf"/>
    <hyperlink ref="J68" r:id="rId67" display="https://www.enisa.europa.eu/sites/default/files/publications/NIS%20Investments%202022.pdf"/>
    <hyperlink ref="J69" r:id="rId68" display="https://www.enisa.europa.eu/sites/default/files/publications/NIS%20Investments%202022.pdf"/>
    <hyperlink ref="J70" r:id="rId69" display="https://www.enisa.europa.eu/sites/default/files/publications/NIS%20Investments%202022.pdf"/>
    <hyperlink ref="J71" r:id="rId70" display="https://www.enisa.europa.eu/sites/default/files/publications/NIS%20Investments%202022.pdf"/>
    <hyperlink ref="J72" r:id="rId71" display="https://www.enisa.europa.eu/sites/default/files/publications/CSPA%20-%20NIS%20Investments%20-%202023.pdf"/>
    <hyperlink ref="J73" r:id="rId72" display="https://www.enisa.europa.eu/sites/default/files/publications/CSPA%20-%20NIS%20Investments%20-%202023.pdf"/>
    <hyperlink ref="J74" r:id="rId73" display="https://www.enisa.europa.eu/sites/default/files/publications/CSPA%20-%20NIS%20Investments%20-%202023.pdf"/>
    <hyperlink ref="J75" r:id="rId74" display="https://www.enisa.europa.eu/sites/default/files/publications/CSPA%20-%20NIS%20Investments%20-%202023.pdf"/>
    <hyperlink ref="J76" r:id="rId75" display="https://www.enisa.europa.eu/sites/default/files/publications/CSPA%20-%20NIS%20Investments%20-%202023.pdf"/>
    <hyperlink ref="J77" r:id="rId76" display="https://www.enisa.europa.eu/sites/default/files/publications/CSPA%20-%20NIS%20Investments%20-%202023.pdf"/>
    <hyperlink ref="J78" r:id="rId77" display="https://www.enisa.europa.eu/sites/default/files/publications/CSPA%20-%20NIS%20Investments%20-%202023.pdf"/>
    <hyperlink ref="J79" r:id="rId78" display="https://www.enisa.europa.eu/sites/default/files/publications/CSPA%20-%20NIS%20Investments%20-%202023.pdf"/>
    <hyperlink ref="J80" r:id="rId79" display="https://www.enisa.europa.eu/sites/default/files/publications/CSPA%20-%20NIS%20Investments%20-%202023.pdf"/>
    <hyperlink ref="J81" r:id="rId80" display="https://www.enisa.europa.eu/sites/default/files/publications/CSPA%20-%20NIS%20Investments%20-%202023.pdf"/>
    <hyperlink ref="J82" r:id="rId81" display="https://www.enisa.europa.eu/sites/default/files/2024-11/CSPA%20-%20NIS%20Investments%20-%202024_0.pdf"/>
    <hyperlink ref="J83" r:id="rId82" display="https://www.enisa.europa.eu/sites/default/files/2024-11/CSPA%20-%20NIS%20Investments%20-%202024_0.pdf"/>
    <hyperlink ref="J84" r:id="rId83" display="https://www.enisa.europa.eu/sites/default/files/2024-11/CSPA%20-%20NIS%20Investments%20-%202024_0.pdf"/>
    <hyperlink ref="J85" r:id="rId84" display="https://www.enisa.europa.eu/sites/default/files/2024-11/CSPA%20-%20NIS%20Investments%20-%202024_0.pdf"/>
    <hyperlink ref="J86" r:id="rId85" display="https://www.enisa.europa.eu/sites/default/files/2024-11/CSPA%20-%20NIS%20Investments%20-%202024_0.pdf"/>
    <hyperlink ref="J87" r:id="rId86" display="https://www.enisa.europa.eu/sites/default/files/2024-11/CSPA%20-%20NIS%20Investments%20-%202024_0.pdf"/>
    <hyperlink ref="J88" r:id="rId87" display="https://www.enisa.europa.eu/sites/default/files/2024-11/CSPA%20-%20NIS%20Investments%20-%202024_0.pdf"/>
    <hyperlink ref="J89" r:id="rId88" display="https://www.enisa.europa.eu/sites/default/files/2024-11/CSPA%20-%20NIS%20Investments%20-%202024_0.pdf"/>
    <hyperlink ref="J90" r:id="rId89" display="https://www.enisa.europa.eu/sites/default/files/2024-11/CSPA%20-%20NIS%20Investments%20-%202024_0.pdf"/>
    <hyperlink ref="J91" r:id="rId90" display="https://www.enisa.europa.eu/sites/default/files/2024-11/CSPA%20-%20NIS%20Investments%20-%202024_0.pdf"/>
    <hyperlink ref="J92" r:id="rId91" display="https://www.enisa.europa.eu/sites/default/files/2024-11/CSPA%20-%20NIS%20Investments%20-%202024_0.pdf"/>
    <hyperlink ref="J93" r:id="rId92" display="https://www.enisa.europa.eu/sites/default/files/2024-11/CSPA%20-%20NIS%20Investments%20-%202024_0.pdf"/>
    <hyperlink ref="J94" r:id="rId93" display="https://www.enisa.europa.eu/sites/default/files/2026-02/NIS%20Investments%202025%20-%20Main%20report.pdf"/>
    <hyperlink ref="J95" r:id="rId94" display="https://www.enisa.europa.eu/sites/default/files/2025-12/NIS%20Investments%202025%20-%20Main%20report.pdf"/>
    <hyperlink ref="J96" r:id="rId95" display="https://www.enisa.europa.eu/sites/default/files/2025-12/NIS%20Investments%202025%20-%20Main%20report.pdf"/>
    <hyperlink ref="J97" r:id="rId96" display="https://www.enisa.europa.eu/sites/default/files/2025-12/NIS%20Investments%202025%20-%20Main%20report.pdf"/>
    <hyperlink ref="J98" r:id="rId97" display="https://www.frontier-economics.com/media/izyk5rgz/assessing-the-economic-cost-of-eu-initiatives-on-cybersecurity.pdf"/>
    <hyperlink ref="J99" r:id="rId98" display="https://www.frontier-economics.com/media/izyk5rgz/assessing-the-economic-cost-of-eu-initiatives-on-cybersecurity.pdf"/>
    <hyperlink ref="J100" r:id="rId99" display="https://www.frontier-economics.com/media/izyk5rgz/assessing-the-economic-cost-of-eu-initiatives-on-cybersecurity.pdf"/>
    <hyperlink ref="J101" r:id="rId100" display="https://www.frontier-economics.com/media/izyk5rgz/assessing-the-economic-cost-of-eu-initiatives-on-cybersecurity.pdf"/>
    <hyperlink ref="J102" r:id="rId101" display="https://www.frontier-economics.com/media/izyk5rgz/assessing-the-economic-cost-of-eu-initiatives-on-cybersecurity.pdf"/>
    <hyperlink ref="J103" r:id="rId102" display="https://www.frontier-economics.com/media/izyk5rgz/assessing-the-economic-cost-of-eu-initiatives-on-cybersecurity.pdf"/>
    <hyperlink ref="J104" r:id="rId103" display="https://www.frontier-economics.com/media/izyk5rgz/assessing-the-economic-cost-of-eu-initiatives-on-cybersecurity.pdf"/>
    <hyperlink ref="J105" r:id="rId104" display="https://otrenix.com/europa-cybersecurity-market/"/>
    <hyperlink ref="J106" r:id="rId105" display="https://otrenix.com/europa-cybersecurity-market/"/>
    <hyperlink ref="J107" r:id="rId106" display="https://www.europarl.europa.eu/RegData/etudes/BRIE/2025/772881/EPRS_BRI(2025)772881_EN.pdf"/>
    <hyperlink ref="J108" r:id="rId107" display="https://www.europarl.europa.eu/RegData/etudes/STUD/2025/778576/ECTI_STU(2025)778576_EN.pdf"/>
    <hyperlink ref="J109" r:id="rId108" display="https://www.europarl.europa.eu/RegData/etudes/STUD/2025/778576/ECTI_STU(2025)778576_EN.pdf"/>
    <hyperlink ref="J110" r:id="rId109" display="https://edz.bib.uni-mannheim.de/www-edz/pdf/swd/2017/swd-2017-0500-4-en.pdf"/>
    <hyperlink ref="J111" r:id="rId110" display="https://edz.bib.uni-mannheim.de/www-edz/pdf/swd/2017/swd-2017-0500-4-en.pdf"/>
    <hyperlink ref="J112" r:id="rId111" display="https://edz.bib.uni-mannheim.de/www-edz/pdf/swd/2017/swd-2017-0500-5-en.pdf"/>
    <hyperlink ref="J113" r:id="rId112" display="https://edz.bib.uni-mannheim.de/www-edz/pdf/swd/2017/swd-2017-0500-5-en.pdf"/>
    <hyperlink ref="J114" r:id="rId113" display="https://edz.bib.uni-mannheim.de/www-edz/pdf/swd/2017/swd-2017-0500-5-en.pdf"/>
    <hyperlink ref="J115" r:id="rId114" display="https://edz.bib.uni-mannheim.de/www-edz/pdf/swd/2017/swd-2017-0500-5-en.pdf"/>
    <hyperlink ref="J116" r:id="rId115" display="https://www.eca.europa.eu/Lists/ECADocuments/BRP_CYBERSECURITY/BRP_CYBERSECURITY_EN.pdf"/>
    <hyperlink ref="J117" r:id="rId116" display="https://www.eca.europa.eu/Lists/ECADocuments/BRP_CYBERSECURITY/BRP_CYBERSECURITY_EN.pdf"/>
    <hyperlink ref="J118" r:id="rId117" display="https://www.eca.europa.eu/Lists/ECADocuments/BRP_CYBERSECURITY/BRP_CYBERSECURITY_EN.pdf"/>
    <hyperlink ref="J119" r:id="rId118" display="https://www.eca.europa.eu/Lists/ECADocuments/BRP_CYBERSECURITY/BRP_CYBERSECURITY_EN.pdf"/>
    <hyperlink ref="J120" r:id="rId119" display="https://www.eunity-project.eu/m/filer_public/4b/62/4b6262dc-3bca-4145-a84b-b514049156ce/1_lsec_japan_eunity_ecso_wg2_cima_seldeslachts_ulrich_20190124881.pdf"/>
    <hyperlink ref="J121" r:id="rId120" display="https://www.eunity-project.eu/m/filer_public/4b/62/4b6262dc-3bca-4145-a84b-b514049156ce/1_lsec_japan_eunity_ecso_wg2_cima_seldeslachts_ulrich_20190124881.pdf"/>
    <hyperlink ref="J122" r:id="rId121" display="https://www.eunity-project.eu/m/filer_public/4b/62/4b6262dc-3bca-4145-a84b-b514049156ce/1_lsec_japan_eunity_ecso_wg2_cima_seldeslachts_ulrich_20190124881.pdf"/>
    <hyperlink ref="J123" r:id="rId122" display="https://www.eunity-project.eu/m/filer_public/4b/62/4b6262dc-3bca-4145-a84b-b514049156ce/1_lsec_japan_eunity_ecso_wg2_cima_seldeslachts_ulrich_20190124881.pdf"/>
    <hyperlink ref="J124" r:id="rId123" display="https://www.eunity-project.eu/m/filer_public/4b/62/4b6262dc-3bca-4145-a84b-b514049156ce/1_lsec_japan_eunity_ecso_wg2_cima_seldeslachts_ulrich_20190124881.pdf"/>
    <hyperlink ref="J125" r:id="rId124" display="https://www.eunity-project.eu/m/filer_public/4b/62/4b6262dc-3bca-4145-a84b-b514049156ce/1_lsec_japan_eunity_ecso_wg2_cima_seldeslachts_ulrich_20190124881.pdf"/>
    <hyperlink ref="J126" r:id="rId125" display="https://www.eunity-project.eu/m/filer_public/4b/62/4b6262dc-3bca-4145-a84b-b514049156ce/1_lsec_japan_eunity_ecso_wg2_cima_seldeslachts_ulrich_20190124881.pdf"/>
    <hyperlink ref="J127" r:id="rId126" display="https://www.europarl.europa.eu/RegData/etudes/STUD/2017/603948/EPRS_STU(2017)603948_EN.pdf"/>
    <hyperlink ref="J128" r:id="rId127" display="https://www.ey.com/de_at/insights/cybersecurity/ey-cybersecurity-studie"/>
    <hyperlink ref="J129" r:id="rId128" display="https://www.mordorintelligence.com/industry-reports/austria-cybersecurity-market/market-size"/>
    <hyperlink ref="J130" r:id="rId129" display="https://www.trade.gov/country-commercial-guides/austria-cyber-security"/>
    <hyperlink ref="J131" r:id="rId130" display="https://www.trade.gov/country-commercial-guides/austria-cyber-security"/>
    <hyperlink ref="J132" r:id="rId131" display="https://www.trade.gov/country-commercial-guides/austria-cyber-security"/>
    <hyperlink ref="J133" r:id="rId132" display="https://www.trade.gov/country-commercial-guides/austria-cyber-security"/>
    <hyperlink ref="J134" r:id="rId133" display="https://www.trade.gov/market-intelligence/austria-cybersecurity-opportunities"/>
    <hyperlink ref="J135" r:id="rId134" display="https://www.ruv.at/wp-content/uploads/kpmg-studie-cybersecurity-in-oesterreich-2023_1x1.pdf"/>
    <hyperlink ref="J136" r:id="rId135" display="https://www.ruv.at/wp-content/uploads/kpmg-studie-cybersecurity-in-oesterreich-2023_1x1.pdf"/>
    <hyperlink ref="J137" r:id="rId136" display="https://metastatinsight.com/report/austria-cybersecurity-market"/>
    <hyperlink ref="J138" r:id="rId137" display="https://metastatinsight.com/report/austria-cybersecurity-market"/>
    <hyperlink ref="J139" r:id="rId138" display="https://www.mordorintelligence.com/de/industry-reports/austria-cybersecurity-market"/>
    <hyperlink ref="J140" r:id="rId139" display="https://www.mordorintelligence.com/de/industry-reports/austria-cybersecurity-market"/>
    <hyperlink ref="J141" r:id="rId140" display="https://www.mordorintelligence.com/de/industry-reports/austria-cybersecurity-market"/>
    <hyperlink ref="J142" r:id="rId141" display="https://www.mordorintelligence.com/de/industry-reports/austria-cybersecurity-market"/>
    <hyperlink ref="J143" r:id="rId142" display="https://www.mordorintelligence.com/de/industry-reports/austria-cybersecurity-market"/>
    <hyperlink ref="J144" r:id="rId143" display="https://www.mordorintelligence.com/de/industry-reports/austria-cybersecurity-market"/>
    <hyperlink ref="J145" r:id="rId144" display="https://www.parlament.gv.at/dokument/budgetdienst/untergliederungsanalysen/BD-UG-10-Bundeskanzleramt-Budgets-2025-und-2026_BF.pdf"/>
    <hyperlink ref="J146" r:id="rId145" display="https://www.parlament.gv.at/dokument/budgetdienst/untergliederungsanalysen/BD-UG-10-Bundeskanzleramt-Budgets-2025-und-2026_BF.pdf"/>
    <hyperlink ref="J147" r:id="rId146" display="https://www.parlament.gv.at/dokument/fachinfos/zukunftsthemen/Cybersecurity-Endbericht_2021-12-17.pdf"/>
    <hyperlink ref="J148" r:id="rId147" display="https://www.parlament.gv.at/dokument/XXVII/ME/326/imfname_1621137.pdf"/>
    <hyperlink ref="J149" r:id="rId148" display="https://www.parlament.gv.at/dokument/XXVII/ME/326/imfname_1621137.pdf"/>
    <hyperlink ref="J150" r:id="rId149" display="https://www.parlament.gv.at/dokument/XXVII/ME/326/imfname_1621137.pdf"/>
    <hyperlink ref="J151" r:id="rId150" display="https://www.parlament.gv.at/dokument/XXVII/ME/326/imfname_1621137.pdf"/>
    <hyperlink ref="J152" r:id="rId151" display="https://www.parlament.gv.at/dokument/XXVII/ME/326/imfname_1621137.pdf"/>
    <hyperlink ref="J153" r:id="rId152" display="https://www.parlament.gv.at/dokument/XXVIII/I/308/imfname_1723248.pdf"/>
    <hyperlink ref="J154" r:id="rId153" display="https://www.parlament.gv.at/dokument/XXVIII/I/308/imfname_1723248.pdf"/>
    <hyperlink ref="J155" r:id="rId154" display="https://www.parlament.gv.at/dokument/XXVIII/I/308/imfname_1723248.pdf"/>
    <hyperlink ref="J156" r:id="rId155" display="https://www.parlament.gv.at/dokument/XXVIII/I/308/imfname_1723248.pdf"/>
    <hyperlink ref="J157" r:id="rId156" display="https://www.parlament.gv.at/dokument/XXVIII/I/308/imfname_1723248.pdf"/>
    <hyperlink ref="J158" r:id="rId157" display="https://www.verifiedmarketresearch.com/product/austria-cybersecurity-market/"/>
    <hyperlink ref="J159" r:id="rId158" display="https://www.verifiedmarketresearch.com/product/austria-cybersecurity-market/"/>
    <hyperlink ref="J160" r:id="rId159" display="https://www.verifiedmarketresearch.com/product/austria-ict-market/"/>
    <hyperlink ref="J161" r:id="rId160" display="https://www.agoria.be/en/services/expertise/digitalisation/cybersecurity/belgian-cyber-sector-set-to-double-in-size-within-five-years-4000-experts-needed"/>
    <hyperlink ref="J162" r:id="rId161" display="https://www.agoria.be/en/services/expertise/digitalisation/cybersecurity/first-step-taken-towards-israeli-cyber-reference-model-now-to-invest-in-a-number-of-experts"/>
    <hyperlink ref="J163" r:id="rId162" display="https://www.agoria.be/en/services/expertise/digitalisation/cybersecurity/first-step-taken-towards-israeli-cyber-reference-model-now-to-invest-in-a-number-of-experts"/>
    <hyperlink ref="J164" r:id="rId163" display="https://cdn.assets.prezly.com/243be490-ca27-4a42-aec1-1dc14b8d6a41/-/inline/no/Agoria_Socio-Economic-Study-Belgian-Cybersecurity-Sector.pdf"/>
    <hyperlink ref="J165" r:id="rId164" display="https://cdn.assets.prezly.com/243be490-ca27-4a42-aec1-1dc14b8d6a41/-/inline/no/Agoria_Socio-Economic-Study-Belgian-Cybersecurity-Sector.pdf"/>
    <hyperlink ref="J166" r:id="rId165" display="https://cdn.assets.prezly.com/243be490-ca27-4a42-aec1-1dc14b8d6a41/-/inline/no/Agoria_Socio-Economic-Study-Belgian-Cybersecurity-Sector.pdf"/>
    <hyperlink ref="J167" r:id="rId166" display="https://www.agoria.be/nl/diensten/expertise/conjunctuur-prijzen/conjunctuur/trends-en-toekomst-van-de-belgische-ict-bedrijven"/>
    <hyperlink ref="J168" r:id="rId167" display="https://www.agoria.be/nl/diensten/expertise/conjunctuur-prijzen/conjunctuur/trends-en-toekomst-van-de-belgische-ict-bedrijven"/>
    <hyperlink ref="J169" r:id="rId168" display="https://www.bdo.nl/getmedia/46087d8a-7d9a-4831-8e1c-fe8482cb676a/Global-and-European-Cybersecurity-Industry.pdf"/>
    <hyperlink ref="J170" r:id="rId169" display="https://www.bdo.nl/getmedia/46087d8a-7d9a-4831-8e1c-fe8482cb676a/Global-and-European-Cybersecurity-Industry.pdf"/>
    <hyperlink ref="J171" r:id="rId170" display="https://www.bdo.nl/getmedia/46087d8a-7d9a-4831-8e1c-fe8482cb676a/Global-and-European-Cybersecurity-Industry.pdf"/>
    <hyperlink ref="J172" r:id="rId171" display="https://www.bdo.nl/getmedia/46087d8a-7d9a-4831-8e1c-fe8482cb676a/Global-and-European-Cybersecurity-Industry.pdf"/>
    <hyperlink ref="J173" r:id="rId172" display="https://www.bdo.nl/getmedia/46087d8a-7d9a-4831-8e1c-fe8482cb676a/Global-and-European-Cybersecurity-Industry.pdf"/>
    <hyperlink ref="J174" r:id="rId173" display="https://www.bdo.nl/getmedia/46087d8a-7d9a-4831-8e1c-fe8482cb676a/Global-and-European-Cybersecurity-Industry.pdf"/>
    <hyperlink ref="J175" r:id="rId174" display="https://www.bdo.nl/getmedia/46087d8a-7d9a-4831-8e1c-fe8482cb676a/Global-and-European-Cybersecurity-Industry.pdf"/>
    <hyperlink ref="J176" r:id="rId175" display="https://www.bdo.nl/getmedia/46087d8a-7d9a-4831-8e1c-fe8482cb676a/Global-and-European-Cybersecurity-Industry.pdf"/>
    <hyperlink ref="J177" r:id="rId176" display="https://www.bdo.nl/getmedia/46087d8a-7d9a-4831-8e1c-fe8482cb676a/Global-and-European-Cybersecurity-Industry.pdf"/>
    <hyperlink ref="J178" r:id="rId177" display="https://www.bdo.nl/getmedia/46087d8a-7d9a-4831-8e1c-fe8482cb676a/Global-and-European-Cybersecurity-Industry.pdf"/>
    <hyperlink ref="J179" r:id="rId178" display="https://ccb.belgium.be/sites/default/files/2025-12/251204_CCB_Publicatie_10j_FR.pdf"/>
    <hyperlink ref="J180" r:id="rId179" display="https://ccb.belgium.be/sites/default/files/2025-12/251204_CCB_Publicatie_10j_FR.pdf"/>
    <hyperlink ref="J181" r:id="rId180" display="https://www.consultancy.nl/nieuws/69608/cybersecuritymarkt-groeit-door-tot-bijna-250-miljard-in-2030"/>
    <hyperlink ref="J182" r:id="rId181" display="https://blog.forumforthefuture.be/fr/article/quand-la-cour-des-comptes-se-penche-sur-la-politique-nationale-de-cybersecurite/32385"/>
    <hyperlink ref="J183" r:id="rId182" display="https://blog.forumforthefuture.be/fr/article/quand-la-cour-des-comptes-se-penche-sur-la-politique-nationale-de-cybersecurite/32385"/>
    <hyperlink ref="J184" r:id="rId183" display="https://www.icex.es/content/dam/icex/centros/belgica/documentos/2025/estudio-mercado-ciberseguridad-belgica-2025-resumen.pdf"/>
    <hyperlink ref="J185" r:id="rId184" display="https://www.icex.es/content/dam/icex/centros/belgica/documentos/2025/estudio-mercado-ciberseguridad-belgica-2025-resumen.pdf"/>
    <hyperlink ref="J186" r:id="rId185" display="https://www.icex.es/content/dam/icex/centros/belgica/documentos/2025/estudio-mercado-ciberseguridad-belgica-2025-resumen.pdf"/>
    <hyperlink ref="J187" r:id="rId186" display="https://www.mordorintelligence.com/fr/industry-reports/belgium-cybersecurity-market"/>
    <hyperlink ref="J188" r:id="rId187" display="https://www.mordorintelligence.com/fr/industry-reports/belgium-cybersecurity-market"/>
    <hyperlink ref="J189" r:id="rId188" display="https://www.mordorintelligence.com/fr/industry-reports/belgium-cybersecurity-market"/>
    <hyperlink ref="J190" r:id="rId189" display="https://www.europarl.europa.eu/RegData/etudes/BRIE/2025/772881/EPRS_BRI(2025)772881_EN.pdf"/>
    <hyperlink ref="J191" r:id="rId190" display="https://bosa.belgium.be/sites/default/files/publications/documents/Assessment%20report%20spending%20reviews%20FR%20def.pdf"/>
    <hyperlink ref="J192" r:id="rId191" display="https://bosa.belgium.be/sites/default/files/publications/documents/Assessment%20report%20spending%20reviews%20FR%20def.pdf"/>
    <hyperlink ref="J193" r:id="rId192" display="https://bosa.belgium.be/sites/default/files/publications/documents/Assessment%20report%20spending%20reviews%20FR%20def.pdf"/>
    <hyperlink ref="J194" r:id="rId193" display="https://bosa.belgium.be/sites/default/files/publications/documents/Assessment%20report%20spending%20reviews%20FR%20def.pdf"/>
    <hyperlink ref="J195" r:id="rId194" display="https://bosa.belgium.be/sites/default/files/publications/documents/Assessment%20report%20spending%20reviews%20FR%20def.pdf"/>
    <hyperlink ref="J196" r:id="rId195" display="https://bosa.belgium.be/sites/default/files/content/documents/Spending%20review%20-%20Cybersecurity%20-%20Rapport%20DEFI-PUBLI.pdf"/>
    <hyperlink ref="J197" r:id="rId196" display="https://www.vrt.be/vrtnws/fr/2025/05/30/le-gouvernement-federal-prevoit-55-millions-d-euros-pour-la-cybe/"/>
    <hyperlink ref="J198" r:id="rId197" display="https://digitalk.bg/security/2025/06/05/4789735_cbn_durjavata_e_poharchila_223_mln_leva_za/"/>
    <hyperlink ref="J199" r:id="rId198" display="https://digitalk.bg/security/2025/06/05/4789735_cbn_durjavata_e_poharchila_223_mln_leva_za/"/>
    <hyperlink ref="J200" r:id="rId199" display="https://digitalk.bg/security/2025/06/05/4789735_cbn_durjavata_e_poharchila_223_mln_leva_za/"/>
    <hyperlink ref="J201" r:id="rId200" display="https://www.ipa.government.bg/sites/default/files/digidecade_bg-bg.pdf"/>
    <hyperlink ref="J202" r:id="rId201" display="https://e-security.bg/balgarskiyat-pazar-na-kibersigurnost-dostiga-8264-miliona-dolara-prez-2025-g/"/>
    <hyperlink ref="J203" r:id="rId202" display="https://e-security.bg/balgarskiyat-pazar-na-kibersigurnost-dostiga-8264-miliona-dolara-prez-2025-g/"/>
    <hyperlink ref="J204" r:id="rId203" display="https://e-security.bg/balgarskiyat-pazar-na-kibersigurnost-dostiga-8264-miliona-dolara-prez-2025-g/"/>
    <hyperlink ref="J205" r:id="rId204" display="https://e-security.bg/balgarskiyat-pazar-na-kibersigurnost-dostiga-8264-miliona-dolara-prez-2025-g/"/>
    <hyperlink ref="J206" r:id="rId205" display="https://www.investor.bg/a/571-it-i-telekomunikatsii/432073-kibersigurnostta-veche-e-bitka-za-hora-ne-samo-za-tehnologii"/>
    <hyperlink ref="J207" r:id="rId206" display="https://www.investor.bg/a/571-it-i-telekomunikatsii/432073-kibersigurnostta-veche-e-bitka-za-hora-ne-samo-za-tehnologii"/>
    <hyperlink ref="J208" r:id="rId207" display="https://www.europarl.europa.eu/RegData/etudes/BRIE/2025/772881/EPRS_BRI(2025)772881_EN.pdf"/>
    <hyperlink ref="J209" r:id="rId208" display="https://e-gov.bg/wps/portal/agency/all-projects/projects-DAEU/projects-mis"/>
    <hyperlink ref="J210" r:id="rId209" display="https://e-gov.bg/wps/wcm/connect/e-gov.bg-18083/f8d63fb3-47b8-42f9-9f03-75168d028271/Putna_karta_public_v.0.7_Website.pdf?MOD=AJPERES"/>
    <hyperlink ref="J211" r:id="rId210" display="https://e-gov.bg/wps/wcm/connect/e-gov.bg-18083/f8d63fb3-47b8-42f9-9f03-75168d028271/Putna_karta_public_v.0.7_Website.pdf?MOD=AJPERES"/>
    <hyperlink ref="J212" r:id="rId211" display="https://www.mig.government.bg/wp-content/uploads/2023/08/11.-selection-criteria_cs1_-central-components.pdf"/>
    <hyperlink ref="J213" r:id="rId212" display="https://data.consilium.europa.eu/doc/document/ST-10476-2026-ADD-34/en/pdf"/>
    <hyperlink ref="J214" r:id="rId213" display="https://data.consilium.europa.eu/doc/document/ST-10476-2026-ADD-34/en/pdf"/>
    <hyperlink ref="J215" r:id="rId214" display="https://data.consilium.europa.eu/doc/document/ST-10476-2026-ADD-34/en/pdf"/>
    <hyperlink ref="J216" r:id="rId215" display="https://data.consilium.europa.eu/doc/document/ST-10476-2026-ADD-34/en/pdf"/>
    <hyperlink ref="J217" r:id="rId216" display="https://interoperable-europe.ec.europa.eu/sites/default/files/inline-files/DPA_Factsheets_2023_Cyprus_vFINAL_rev.pdf"/>
    <hyperlink ref="J218" r:id="rId217" display="https://www.trade.gov/country-commercial-guides/croatia-information-and-communication-technology"/>
    <hyperlink ref="J219" r:id="rId218" display="https://mpudt.gov.hr/vijesti-8/republika-hrvatska-dodatno-se-pozicionirala-kao-predvodnica-u-jacanju-europskog-ekosustava-kiberneticke-sigurnosti/29877?lang=cs"/>
    <hyperlink ref="J220" r:id="rId219" display="https://mup.gov.hr/vijesti/investicija-c2-3-r3-i2-jacanje-kapaciteta-policije-za-suzbijanje-kibernetickog-kriminaliteta-u-okviru-nacionalnog-programa-oporavka-i-otpornosti/294007"/>
    <hyperlink ref="J221" r:id="rId220" display="https://www.europarl.europa.eu/RegData/etudes/BRIE/2025/772881/EPRS_BRI(2025)772881_EN.pdf"/>
    <hyperlink ref="J222" r:id="rId221" display="https://www.poslovni.hr/sci-tech/stize-novac-za-ulaganja-u-kiberneticku-sigurnost-a-time-i-opasnost-od-guljenja-4493636"/>
    <hyperlink ref="J223" r:id="rId222" display="https://vlada.gov.hr/UserDocsImages/2016/Sjednice/2025/Prosinac/136_sjednica_VRH/136%20-%206.docx"/>
    <hyperlink ref="J224" r:id="rId223" display="https://www.zsis.hr/default.aspx?id=470"/>
    <hyperlink ref="J225" r:id="rId224" display="https://www.zsis.hr/default.aspx?id=663"/>
    <hyperlink ref="J226" r:id="rId225" display="https://www.zsis.hr/default.aspx?id=663"/>
    <hyperlink ref="J227" r:id="rId226" display="https://www.zsis.hr/default.aspx?id=663"/>
    <hyperlink ref="J228" r:id="rId227" display="https://www.danskindustri.dk/globalassets/politik-og-analyser/politiske-udspil/2025/cybersikkerhed/cyberpolitisk-rapport_2025_web.pdf?v=250526"/>
    <hyperlink ref="J229" r:id="rId228" display="https://www.danskindustri.dk/globalassets/politik-og-analyser/politiske-udspil/2025/cybersikkerhed/cyberpolitisk-rapport_2025_web.pdf?v=250526"/>
    <hyperlink ref="J230" r:id="rId229" display="https://finans.dk/tech/ECE11311839/danske-virksomheder-bruger-milliarder-paa-at-holde-hackerne-vaek/"/>
    <hyperlink ref="J231" r:id="rId230" display="https://finans.dk/tech/ECE11311839/danske-virksomheder-bruger-milliarder-paa-at-holde-hackerne-vaek/"/>
    <hyperlink ref="J232" r:id="rId231" display="https://finans.dk/tech/ECE11311839/danske-virksomheder-bruger-milliarder-paa-at-holde-hackerne-vaek/"/>
    <hyperlink ref="J233" r:id="rId232" display="https://finans.dk/tech/ECE11311839/danske-virksomheder-bruger-milliarder-paa-at-holde-hackerne-vaek/"/>
    <hyperlink ref="J234" r:id="rId233" display="https://finans.dk/tech/ECE14053355/nye-krav-til-cybersikkerhed-sender-milliardregning-videre-til-danske-virksomheder/"/>
    <hyperlink ref="J235" r:id="rId234" display="https://itb.dk/tema/it-branchens-talunivers/tal-cybersikkerhed/"/>
    <hyperlink ref="J236" r:id="rId235" display="https://mssb.dk/media/5jdlnv41/aftaletekst.pdf"/>
    <hyperlink ref="J237" r:id="rId236" display="https://mssb.dk/media/4ifhls3a/aftaletekst-strategi-for-cyber-og-informationssikkerhed-2026-2029.pdf"/>
    <hyperlink ref="J238" r:id="rId237" display="https://mssb.dk/media/4ifhls3a/aftaletekst-strategi-for-cyber-og-informationssikkerhed-2026-2029.pdf"/>
    <hyperlink ref="J239" r:id="rId238" display="https://mssb.dk/media/4ifhls3a/aftaletekst-strategi-for-cyber-og-informationssikkerhed-2026-2029.pdf"/>
    <hyperlink ref="J240" r:id="rId239" display="https://www.mordorintelligence.com/industry-reports/denmark-cybersecurity-market"/>
    <hyperlink ref="J241" r:id="rId240" display="https://www.mordorintelligence.com/industry-reports/denmark-cybersecurity-market"/>
    <hyperlink ref="J242" r:id="rId241" display="https://www.mordorintelligence.com/industry-reports/denmark-cybersecurity-market"/>
    <hyperlink ref="J243" r:id="rId242" display="https://www.mordorintelligence.com/industry-reports/denmark-cybersecurity-market"/>
    <hyperlink ref="J244" r:id="rId243" display="https://www.mordorintelligence.com/industry-reports/denmark-cybersecurity-market"/>
    <hyperlink ref="J245" r:id="rId244" display="https://www.mordorintelligence.com/industry-reports/denmark-cybersecurity-market"/>
    <hyperlink ref="J246" r:id="rId245" display="https://www.cfcs.dk/globalassets/cfcs/dokumenter/2022/ncis_2022-2024_en.pdf"/>
    <hyperlink ref="J247" r:id="rId246" display="https://www.cfcs.dk/globalassets/cfcs/dokumenter/2022/ncis_2022-2024_en.pdf"/>
    <hyperlink ref="J248" r:id="rId247" display="https://eis.ee/ettev%C3%B5tjad-saavad-t%C3%A4nasest-taotleda-k%C3%BCberturbe-taseme-t%C3%B5stmise-toetust/"/>
    <hyperlink ref="J249" r:id="rId248" display="https://www.mkm.ee/sites/default/files/documents/2024-07/Kyberturvalisuse%20strateegia%202024-2030_labivalt_IT_vaatlik_Eesti.pdf"/>
    <hyperlink ref="J250" r:id="rId249" display="https://www.mkm.ee/sites/default/files/documents/2024-07/Kyberturvalisuse%20strateegia%202024-2030_labivalt_IT_vaatlik_Eesti.pdf"/>
    <hyperlink ref="J251" r:id="rId250" display="https://www.mkm.ee/sites/default/files/documents/2024-07/Kyberturvalisuse%20strateegia%202024-2030_labivalt_IT_vaatlik_Eesti.pdf"/>
    <hyperlink ref="J252" r:id="rId251" display="https://www.mkm.ee/sites/default/files/documents/2024-07/Kyberturvalisuse%20strateegia%202024-2030_labivalt_IT_vaatlik_Eesti.pdf"/>
    <hyperlink ref="J253" r:id="rId252" display="https://www.praxis.ee/uploads/2018/04/K%C3%BCberturbe-uuring_aruanne-23_04_2019.pdf"/>
    <hyperlink ref="J254" r:id="rId253" display="https://www.fin.ee/sites/default/files/documents/2026-01/8.%20Digital%20society_0.pdf"/>
    <hyperlink ref="J255" r:id="rId254" display="https://www.fin.ee/sites/default/files/documents/2026-01/8.%20Digital%20society_0.pdf"/>
    <hyperlink ref="J256" r:id="rId255" display="https://startupestonia.ee/wp-content/uploads/2024/01/CyberTech-koondulevaade.pdf"/>
    <hyperlink ref="J257" r:id="rId256" display="https://startupestonia.ee/wp-content/uploads/2024/01/CyberTech-koondulevaade.pdf"/>
    <hyperlink ref="J258" r:id="rId257" display="https://www.alliedict.fi/wp-content/uploads/2021/06/3.Kyberturvallisuus_Suomessa_2019-2029.pdf"/>
    <hyperlink ref="J259" r:id="rId258" display="https://ek.fi/wp-content/uploads/2022/03/Kyberturvallisuuswebinaari-31032022_jaettava.pdf"/>
    <hyperlink ref="J260" r:id="rId259" display="https://valtioneuvosto.fi/-/1410829/kyberturvallisuusstrategian-toimeenpanoon-tarvitaan-pysyvaa-rahoitusta"/>
    <hyperlink ref="J261" r:id="rId260" display="https://valtioneuvosto.fi/-/1410829/kyberturvallisuusstrategian-toimeenpanoon-tarvitaan-pysyvaa-rahoitusta"/>
    <hyperlink ref="J262" r:id="rId261" display="https://www.mordorintelligence.com/industry-reports/finland-cybersecurity-market/market-size"/>
    <hyperlink ref="J263" r:id="rId262" display="https://www.mordorintelligence.com/industry-reports/finland-cybersecurity-market/market-size"/>
    <hyperlink ref="J264" r:id="rId263" display="https://www.mordorintelligence.com/industry-reports/finland-cybersecurity-market"/>
    <hyperlink ref="J265" r:id="rId264" display="https://www.mordorintelligence.com/industry-reports/finland-cybersecurity-market"/>
    <hyperlink ref="J266" r:id="rId265" display="https://www.mordorintelligence.com/industry-reports/finland-cybersecurity-market"/>
    <hyperlink ref="J267" r:id="rId266" display="https://teknologiateollisuus.fi/katsaus-kyberturvallisuuden-osaamistarpeisiin-uudet-teknologiat-laajentavat-osaamistarvetta/"/>
    <hyperlink ref="J268" r:id="rId267" display="https://vuosiraportit.traficom.fi/fi/kyberturvallisuuden-vuosi-2025/kyberturvallisuuskeskuksen-toimintoja-2025"/>
    <hyperlink ref="J269" r:id="rId268" display="https://www.kyberturvallisuuskeskus.fi/fi/toimintamme/kyberturvallisuuden-tutkimuksen-kehityksen-ja-innovaatioiden-kansallinen-koordinointikeskus/kansalliset-rahoitustuet"/>
    <hyperlink ref="J270" r:id="rId269" display="https://budjetti.vm.fi/sisalto.jsp?year=2025&amp;lang=fi&amp;maindoc=/2025/tae/valtiovarainministerionKanta/valtiovarainministerionKanta.xml&amp;opennode=0:1:241:941:943:"/>
    <hyperlink ref="J271" r:id="rId270" display="https://budjetti.vm.fi/indox/sisalto.jsp?year=2027&amp;lang=fi&amp;maindoc=/2027/tae/hallituksenEsitys/hallituksenEsitys.xml&amp;id=/2027/tae/hallituksenEsitys/YksityiskohtaisetPerustelut/31/01/02/02.html"/>
    <hyperlink ref="J272" r:id="rId271" display="https://www.globalsecuritymag.fr/IMG/pdf/Observatoire_ACN_de_la_Confiance_numerique_2019.pdf"/>
    <hyperlink ref="J273" r:id="rId272" display="https://www.globalsecuritymag.fr/IMG/pdf/Observatoire_ACN_de_la_Confiance_numerique_2019.pdf"/>
    <hyperlink ref="J274" r:id="rId273" display="https://www.globalsecuritymag.fr/IMG/pdf/Observatoire_ACN_de_la_Confiance_numerique_2019.pdf"/>
    <hyperlink ref="J275" r:id="rId274" display="http://www.decision.eu/wp-content/uploads/2021/01/Observatoire-ACN-2020.pdf"/>
    <hyperlink ref="J276" r:id="rId275" display="http://www.decision.eu/wp-content/uploads/2021/01/Observatoire-ACN-2020.pdf"/>
    <hyperlink ref="J277" r:id="rId276" display="http://www.decision.eu/wp-content/uploads/2021/01/Observatoire-ACN-2020.pdf"/>
    <hyperlink ref="J278" r:id="rId277" display="https://www.confiance-numerique.fr/wp-content/uploads/2023/11/Observatoire-ACN-2021-de-la-confiance-numerique.pdf"/>
    <hyperlink ref="J279" r:id="rId278" display="https://www.confiance-numerique.fr/wp-content/uploads/2023/11/Observatoire-ACN-2021-de-la-confiance-numerique.pdf"/>
    <hyperlink ref="J280" r:id="rId279" display="https://www.confiance-numerique.fr/wp-content/uploads/2023/11/Observatoire-ACN-2021-de-la-confiance-numerique.pdf"/>
    <hyperlink ref="J281" r:id="rId280" display="http://www.decision.eu/wp-content/uploads/2022/05/Observatoire-ACN-2022.pdf"/>
    <hyperlink ref="J282" r:id="rId281" display="http://www.decision.eu/wp-content/uploads/2022/05/Observatoire-ACN-2022.pdf"/>
    <hyperlink ref="J283" r:id="rId282" display="http://www.decision.eu/wp-content/uploads/2022/05/Observatoire-ACN-2022.pdf"/>
    <hyperlink ref="J284" r:id="rId283" display="http://www.decision.eu/wp-content/uploads/2022/05/Observatoire-ACN-2022.pdf"/>
    <hyperlink ref="J285" r:id="rId284" display="https://www.confiance-numerique.fr/wp-content/uploads/2023/11/Observatoire-ACN-2023-de-la-confiance-numerique-bd.pdf"/>
    <hyperlink ref="J286" r:id="rId285" display="https://www.confiance-numerique.fr/wp-content/uploads/2023/11/Observatoire-ACN-2023-de-la-confiance-numerique-bd.pdf"/>
    <hyperlink ref="J287" r:id="rId286" display="https://www.confiance-numerique.fr/wp-content/uploads/2023/11/Observatoire-ACN-2023-de-la-confiance-numerique-bd.pdf"/>
    <hyperlink ref="J288" r:id="rId287" display="https://www.confiance-numerique.fr/wp-content/uploads/2023/11/Observatoire-ACN-2023-de-la-confiance-numerique-bd.pdf"/>
    <hyperlink ref="J289" r:id="rId288" display="https://www.confiance-numerique.fr/wp-content/uploads/2024/05/ACN-Observatoire-de-la-filiere-de-la-confiance-numerique2024-bd.pdf"/>
    <hyperlink ref="J290" r:id="rId289" display="https://www.confiance-numerique.fr/wp-content/uploads/2024/05/ACN-Observatoire-de-la-filiere-de-la-confiance-numerique2024-bd.pdf"/>
    <hyperlink ref="J291" r:id="rId290" display="https://www.confiance-numerique.fr/wp-content/uploads/2024/05/ACN-Observatoire-de-la-filiere-de-la-confiance-numerique2024-bd.pdf"/>
    <hyperlink ref="J292" r:id="rId291" display="https://www.confiance-numerique.fr/wp-content/uploads/2024/05/ACN-Observatoire-de-la-filiere-de-la-confiance-numerique2024-bd.pdf"/>
    <hyperlink ref="J293" r:id="rId292" display="https://www.confiance-numerique.fr/wp-content/uploads/2024/05/ACN-Observatoire-de-la-filiere-de-la-confiance-numerique2024-bd.pdf"/>
    <hyperlink ref="J294" r:id="rId293" display="https://www.confiance-numerique.fr/lobservatoire-de-la-confiance-numerique/"/>
    <hyperlink ref="J295" r:id="rId294" display="https://www.confiance-numerique.fr/lobservatoire-de-la-confiance-numerique/"/>
    <hyperlink ref="J296" r:id="rId295" display="https://www.confiance-numerique.fr/lobservatoire-de-la-confiance-numerique/"/>
    <hyperlink ref="J297" r:id="rId296" display="https://www.confiance-numerique.fr/https-www-confiance-numerique-fr-wp-content-uploads-2026-06-observatoire-acn-2026-de-la-confiance-numerique-bd-pdf/"/>
    <hyperlink ref="J298" r:id="rId297" display="https://www.confiance-numerique.fr/https-www-confiance-numerique-fr-wp-content-uploads-2026-06-observatoire-acn-2026-de-la-confiance-numerique-bd-pdf/"/>
    <hyperlink ref="J299" r:id="rId298" display="https://www.confiance-numerique.fr/https-www-confiance-numerique-fr-wp-content-uploads-2026-06-observatoire-acn-2026-de-la-confiance-numerique-bd-pdf/"/>
    <hyperlink ref="J300" r:id="rId299" display="https://www.cbi.eu/market-information/outsourcing-itobpo/cybersecurity/market-potential"/>
    <hyperlink ref="J301" r:id="rId300" display="https://cesin.fr/document.php?d=69772236858eb&amp;share=1"/>
    <hyperlink ref="J302" r:id="rId301" display="https://cesin.fr/document.php?d=69772236858eb&amp;share=1"/>
    <hyperlink ref="J303" r:id="rId302" display="https://cesin.fr/document.php?d=69772236858eb&amp;share=1"/>
    <hyperlink ref="J304" r:id="rId303" display="https://cesin.fr/document.php?d=69772236858eb&amp;share=1"/>
    <hyperlink ref="J305" r:id="rId304" display="https://cesin.fr/document.php?d=69772236858eb&amp;share=1"/>
    <hyperlink ref="J306" r:id="rId305" display="https://cesin.fr/document.php?d=69772236858eb&amp;share=1"/>
    <hyperlink ref="J307" r:id="rId306" display="https://www.channelnews.fr/le-marche-francais-de-la-cybersecurite-va-encore-progresser-de-10-en-2025-145191"/>
    <hyperlink ref="J308" r:id="rId307" display="https://www.channelnews.fr/le-marche-francais-de-la-cybersecurite-va-encore-progresser-de-10-en-2025-145191"/>
    <hyperlink ref="J309" r:id="rId308" display="https://www.channelnews.fr/le-marche-francais-de-la-cybersecurite-va-encore-progresser-de-10-en-2025-145191"/>
    <hyperlink ref="J310" r:id="rId309" display="https://www.channelnews.fr/le-marche-francais-de-la-cybersecurite-va-encore-progresser-de-10-en-2025-145191"/>
    <hyperlink ref="J311" r:id="rId310" display="https://www.channelnews.fr/le-marche-francais-de-la-cybersecurite-va-encore-progresser-de-10-en-2025-145191"/>
    <hyperlink ref="J312" r:id="rId311" display="https://www.entreprises.gouv.fr/files/files/Entites/CNI/2025/contrat-filiere-industries-securite.pdf"/>
    <hyperlink ref="J313" r:id="rId312" display="https://www.entreprises.gouv.fr/secteurs-dactivite/le-secteur-du-numerique-en-france/la-cybersecurite"/>
    <hyperlink ref="J314" r:id="rId313" display="https://research.exaegis.com/cybersecurite"/>
    <hyperlink ref="J315" r:id="rId314" display="https://www.info.gouv.fr/actualite/un-plan-a-1-milliard-d-euros-pour-renforcer-la-cybersecurite"/>
    <hyperlink ref="J316" r:id="rId315" display="https://www.grandviewresearch.com/horizon/outlook/cyber-security-market/france"/>
    <hyperlink ref="J317" r:id="rId316" display="https://www.grandviewresearch.com/horizon/outlook/cyber-security-market/france"/>
    <hyperlink ref="J318" r:id="rId317" display="https://www.grandviewresearch.com/horizon/outlook/cyber-security-market/france"/>
    <hyperlink ref="J319" r:id="rId318" display="https://www.grandviewresearch.com/horizon/outlook/cyber-security-services-market/france"/>
    <hyperlink ref="J320" r:id="rId319" display="https://www.grandviewresearch.com/horizon/outlook/cyber-security-services-market/france"/>
    <hyperlink ref="J321" r:id="rId320" display="https://incyber.org/article/croissance-marche-francais-cybersecurite-reste-trop-fragmente/"/>
    <hyperlink ref="J322" r:id="rId321" display="https://incyber.org/article/croissance-marche-francais-cybersecurite-reste-trop-fragmente/"/>
    <hyperlink ref="J323" r:id="rId322" display="https://incyber.org/article/croissance-marche-francais-cybersecurite-reste-trop-fragmente/"/>
    <hyperlink ref="J324" r:id="rId323" display="https://incyber.org/article/croissance-marche-francais-cybersecurite-reste-trop-fragmente/"/>
    <hyperlink ref="J325" r:id="rId324" display="https://www.indexpresse-delphes.fr/sites/www.indexpresse-delphes.fr/files/etudes/T3.2110.74-CYBERSECURITE.pdf"/>
    <hyperlink ref="J326" r:id="rId325" display="https://www.indexpresse-delphes.fr/sites/www.indexpresse-delphes.fr/files/etudes/T3.2110.74-CYBERSECURITE.pdf"/>
    <hyperlink ref="J327" r:id="rId326" display="https://www.indexpresse-delphes.fr/sites/www.indexpresse-delphes.fr/files/etudes/T3.2110.74-CYBERSECURITE.pdf"/>
    <hyperlink ref="J328" r:id="rId327" display="https://www.marketresearchfuture.com/reports/france-cybersecurity-market-46038"/>
    <hyperlink ref="J329" r:id="rId328" display="https://www.marketresearchfuture.com/reports/france-cybersecurity-market-46038"/>
    <hyperlink ref="J330" r:id="rId329" display="https://www.marketsandmarkets.com/Market-Reports/geography/cyber-security-market/france"/>
    <hyperlink ref="J331" r:id="rId330" display="https://www.marketsandmarkets.com/Market-Reports/geography/cyber-security-market/france"/>
    <hyperlink ref="J332" r:id="rId331" display="https://www.economie.gouv.fr/strategie-nationale-acceleration-cybersecurite"/>
    <hyperlink ref="J333" r:id="rId332" display="https://www.economie.gouv.fr/strategie-nationale-acceleration-cybersecurite"/>
    <hyperlink ref="J334" r:id="rId333" display="https://www.economie.gouv.fr/strategie-nationale-acceleration-cybersecurite"/>
    <hyperlink ref="J335" r:id="rId334" display="https://www.mordorintelligence.com/fr/industry-reports/france-cybersecurity-market"/>
    <hyperlink ref="J336" r:id="rId335" display="https://www.mordorintelligence.com/fr/industry-reports/france-cybersecurity-market"/>
    <hyperlink ref="J337" r:id="rId336" display="https://www.mordorintelligence.com/fr/industry-reports/france-cybersecurity-market"/>
    <hyperlink ref="J338" r:id="rId337" display="https://www.mordorintelligence.com/fr/industry-reports/france-cybersecurity-market"/>
    <hyperlink ref="J339" r:id="rId338" display="https://www.mordorintelligence.com/fr/industry-reports/france-cybersecurity-market"/>
    <hyperlink ref="J340" r:id="rId339" display="https://www.mordorintelligence.com/fr/industry-reports/france-cybersecurity-market"/>
    <hyperlink ref="J341" r:id="rId340" display="https://numeum.fr/wp-content/uploads/2025/03/CP20Numeum_ConfC3A9rence20semestrielle20juin202024.pdf.pdf"/>
    <hyperlink ref="J342" r:id="rId341" display="https://numeum.fr/wp-content/uploads/2025/03/CP20Numeum_ConfC3A9rence20semestrielle20S2-2024.pdf.pdf"/>
    <hyperlink ref="J343" r:id="rId342" display="https://www.europarl.europa.eu/RegData/etudes/BRIE/2025/772881/EPRS_BRI(2025)772881_EN.pdf"/>
    <hyperlink ref="J344" r:id="rId343" display="https://www.senat.fr/rap/r22-638/r22-6381.pdf"/>
    <hyperlink ref="J345" r:id="rId344" display="https://www.senat.fr/rap/r22-638/r22-6381.pdf"/>
    <hyperlink ref="J346" r:id="rId345" display="https://www.senat.fr/rap/r22-638/r22-6381.pdf"/>
    <hyperlink ref="J347" r:id="rId346" display="https://www.silicon.fr/business-1367/les-benchmarks-de-lit-2026-les-solutions-de-cybersecurite-226696"/>
    <hyperlink ref="J348" r:id="rId347" display="https://publika.skema.edu/fr/cybersecurite-francaise-une-offre-qui-croit-plus-vite-que-son-absorption/"/>
    <hyperlink ref="J349" r:id="rId348" display="https://publika.skema.edu/fr/cybersecurite-francaise-une-offre-qui-croit-plus-vite-que-son-absorption/"/>
    <hyperlink ref="J350" r:id="rId349" display="https://publika.skema.edu/fr/cybersecurite-francaise-une-offre-qui-croit-plus-vite-que-son-absorption/"/>
    <hyperlink ref="J351" r:id="rId350" display="https://publika.skema.edu/fr/cybersecurite-francaise-une-offre-qui-croit-plus-vite-que-son-absorption/"/>
    <hyperlink ref="J352" r:id="rId351" display="https://www.xerfi.com/presentationetude/le-marche-de-la-cybersecurite_sae24"/>
    <hyperlink ref="J353" r:id="rId352" display="https://www.6wresearch.com/industry-report/germany-cyber-security-market-2020-2026"/>
    <hyperlink ref="J354" r:id="rId353" display="https://www.6wresearch.com/industry-report/germany-cyber-security-market-2020-2026"/>
    <hyperlink ref="J355" r:id="rId354" display="https://www.bdo.nl/getmedia/46087d8a-7d9a-4831-8e1c-fe8482cb676a/Global-and-European-Cybersecurity-Industry.pdf"/>
    <hyperlink ref="J356" r:id="rId355" display="https://www.bdo.nl/getmedia/46087d8a-7d9a-4831-8e1c-fe8482cb676a/Global-and-European-Cybersecurity-Industry.pdf"/>
    <hyperlink ref="J357" r:id="rId356" display="https://www.bdo.nl/getmedia/46087d8a-7d9a-4831-8e1c-fe8482cb676a/Global-and-European-Cybersecurity-Industry.pdf"/>
    <hyperlink ref="J358" r:id="rId357" display="https://www.bdo.nl/getmedia/46087d8a-7d9a-4831-8e1c-fe8482cb676a/Global-and-European-Cybersecurity-Industry.pdf"/>
    <hyperlink ref="J359" r:id="rId358" display="https://www.bdo.nl/getmedia/46087d8a-7d9a-4831-8e1c-fe8482cb676a/Global-and-European-Cybersecurity-Industry.pdf"/>
    <hyperlink ref="J360" r:id="rId359" display="https://www.bdo.nl/getmedia/46087d8a-7d9a-4831-8e1c-fe8482cb676a/Global-and-European-Cybersecurity-Industry.pdf"/>
    <hyperlink ref="J361" r:id="rId360" display="https://www.bdo.nl/getmedia/46087d8a-7d9a-4831-8e1c-fe8482cb676a/Global-and-European-Cybersecurity-Industry.pdf"/>
    <hyperlink ref="J362" r:id="rId361" display="https://www.bdo.nl/getmedia/46087d8a-7d9a-4831-8e1c-fe8482cb676a/Global-and-European-Cybersecurity-Industry.pdf"/>
    <hyperlink ref="J363" r:id="rId362" display="https://www.bdo.nl/getmedia/46087d8a-7d9a-4831-8e1c-fe8482cb676a/Global-and-European-Cybersecurity-Industry.pdf"/>
    <hyperlink ref="J364" r:id="rId363" display="https://www.bdo.nl/getmedia/46087d8a-7d9a-4831-8e1c-fe8482cb676a/Global-and-European-Cybersecurity-Industry.pdf"/>
    <hyperlink ref="J365" r:id="rId364" display="https://www.bitkom.org/Presse/Presseinformation/Digitalbranche-waechst-aber-nicht-ueberall"/>
    <hyperlink ref="J366" r:id="rId365" display="https://www.bitkom.org/Presse/Presseinformation/Digitalbranche-waechst-aber-nicht-ueberall"/>
    <hyperlink ref="J367" r:id="rId366" display="https://www.bitkom.org/Presse/Presseinformation/Lichtblick-Rezession-Digitalbranche-waechst"/>
    <hyperlink ref="J368" r:id="rId367" display="https://www.bitkom.org/Presse/Presseinformation/Rekordjahr-im-Markt-fuer-IT-Sicherheit"/>
    <hyperlink ref="J369" r:id="rId368" display="https://www.bitkom.org/Presse/Presseinformation/Rekordjahr-im-Markt-fuer-IT-Sicherheit"/>
    <hyperlink ref="J370" r:id="rId369" display="https://www.bitkom.org/Presse/Presseinformation/Rekordjahr-im-Markt-fuer-IT-Sicherheit"/>
    <hyperlink ref="J371" r:id="rId370" display="https://www.bitkom.org/Presse/Presseinformation/Rekordjahr-im-Markt-fuer-IT-Sicherheit"/>
    <hyperlink ref="J372" r:id="rId371" display="https://www.bitkom.org/Presse/Presseinformation/Rekordjahr-im-Markt-fuer-IT-Sicherheit"/>
    <hyperlink ref="J373" r:id="rId372" display="https://www.bitkom.org/Presse/Presseinformation/Markt-fuer-IT-Sicherheit-auf-Allzeithoch"/>
    <hyperlink ref="J374" r:id="rId373" display="https://www.bitkom.org/Presse/Presseinformation/Markt-fuer-IT-Sicherheit-auf-Allzeithoch"/>
    <hyperlink ref="J375" r:id="rId374" display="https://www.bitkom.org/Presse/Presseinformation/Markt-fuer-IT-Sicherheit-auf-Allzeithoch"/>
    <hyperlink ref="J376" r:id="rId375" display="https://www.bitkom.org/Presse/Presseinformation/Markt-fuer-IT-Sicherheit-auf-Allzeithoch"/>
    <hyperlink ref="J377" r:id="rId376" display="https://www.bitkom.org/Presse/Presseinformation/Markt-fuer-IT-Sicherheit-auf-Allzeithoch"/>
    <hyperlink ref="J378" r:id="rId377" display="https://www.bitkom.org/Presse/Presseinformation/Markt-fuer-IT-Sicherheit-bricht-Umsatzrekord"/>
    <hyperlink ref="J379" r:id="rId378" display="https://www.bitkom.org/Presse/Presseinformation/Markt-fuer-IT-Sicherheit-bricht-Umsatzrekord"/>
    <hyperlink ref="J380" r:id="rId379" display="https://www.bitkom.org/Presse/Presseinformation/Markt-fuer-IT-Sicherheit-bricht-Umsatzrekord"/>
    <hyperlink ref="J381" r:id="rId380" display="https://www.bitkom.org/Presse/Presseinformation/Markt-fuer-IT-Sicherheit-bricht-Umsatzrekord"/>
    <hyperlink ref="J382" r:id="rId381" display="https://www.bitkom.org/Presse/Presseinformation/Markt-fuer-IT-Sicherheit-bricht-Umsatzrekord"/>
    <hyperlink ref="J383" r:id="rId382" display="https://www.bitkom.org/Presse/Presseinformation/Markt-fuer-IT-Sicherheit-bricht-Umsatzrekord"/>
    <hyperlink ref="J384" r:id="rId383" display="https://www.bitkom.org/Presse/Presseinformation/Markt-fuer-IT-Sicherheit-bricht-Umsatzrekord"/>
    <hyperlink ref="J385" r:id="rId384" display="https://www.bitkom.org/Presse/Presseinformation/7-8-Milliarden-Euro-Markt-fuer-IT-Sicherheit-waechst-2022-um-13-Prozent"/>
    <hyperlink ref="J386" r:id="rId385" display="https://www.bitkom.org/Presse/Presseinformation/7-8-Milliarden-Euro-Markt-fuer-IT-Sicherheit-waechst-2022-um-13-Prozent"/>
    <hyperlink ref="J387" r:id="rId386" display="https://www.bitkom.org/Presse/Presseinformation/7-8-Milliarden-Euro-Markt-fuer-IT-Sicherheit-waechst-2022-um-13-Prozent"/>
    <hyperlink ref="J388" r:id="rId387" display="https://www.bitkom.org/Presse/Presseinformation/7-8-Milliarden-Euro-Markt-fuer-IT-Sicherheit-waechst-2022-um-13-Prozent"/>
    <hyperlink ref="J389" r:id="rId388" display="https://www.bitkom.org/Presse/Presseinformation/7-8-Milliarden-Euro-Markt-fuer-IT-Sicherheit-waechst-2022-um-13-Prozent"/>
    <hyperlink ref="J390" r:id="rId389" display="https://www.bitkom.org/Presse/Presseinformation/Markt-IT-Sicherheit-waechst-mehr-9-Milliarden-Euro"/>
    <hyperlink ref="J391" r:id="rId390" display="https://www.bitkom.org/Presse/Presseinformation/Markt-IT-Sicherheit-waechst-mehr-9-Milliarden-Euro"/>
    <hyperlink ref="J392" r:id="rId391" display="https://www.bitkom.org/Presse/Presseinformation/Markt-IT-Sicherheit-waechst-mehr-9-Milliarden-Euro"/>
    <hyperlink ref="J393" r:id="rId392" display="https://www.bitkom.org/Presse/Presseinformation/Markt-IT-Sicherheit-waechst-mehr-9-Milliarden-Euro"/>
    <hyperlink ref="J394" r:id="rId393" display="https://www.bitkom.org/Presse/Presseinformation/Markt-IT-Sicherheit-waechst-mehr-9-Milliarden-Euro"/>
    <hyperlink ref="J395" r:id="rId394" display="https://www.bitkom.org/Presse/Presseinformation/Erstmals-mehr-als-10-Milliarden-Euro-fuer-Deutschlands-Cybersicherheit"/>
    <hyperlink ref="J396" r:id="rId395" display="https://www.bitkom.org/Presse/Presseinformation/Erstmals-mehr-als-10-Milliarden-Euro-fuer-Deutschlands-Cybersicherheit"/>
    <hyperlink ref="J397" r:id="rId396" display="https://www.bitkom.org/Presse/Presseinformation/Erstmals-mehr-als-10-Milliarden-Euro-fuer-Deutschlands-Cybersicherheit"/>
    <hyperlink ref="J398" r:id="rId397" display="https://www.bitkom.org/Presse/Presseinformation/Erstmals-mehr-als-10-Milliarden-Euro-fuer-Deutschlands-Cybersicherheit"/>
    <hyperlink ref="J399" r:id="rId398" display="https://www.bitkom.org/sites/main/files/2025-10/bitkom-charts-cybercrime-und-der-markt-fuer-it-sicherheit-2025.pdf"/>
    <hyperlink ref="J400" r:id="rId399" display="https://www.bitkom.org/sites/main/files/2025-10/bitkom-charts-cybercrime-und-der-markt-fuer-it-sicherheit-2025.pdf"/>
    <hyperlink ref="J401" r:id="rId400" display="https://www.bitkom.org/sites/main/files/2025-10/bitkom-charts-cybercrime-und-der-markt-fuer-it-sicherheit-2025.pdf"/>
    <hyperlink ref="J402" r:id="rId401" display="https://www.bitkom.org/sites/main/files/2025-10/bitkom-charts-cybercrime-und-der-markt-fuer-it-sicherheit-2025.pdf"/>
    <hyperlink ref="J403" r:id="rId402" display="https://www.bitkom.org/sites/main/files/2025-10/bitkom-charts-cybercrime-und-der-markt-fuer-it-sicherheit-2025.pdf"/>
    <hyperlink ref="J404" r:id="rId403" display="https://www.bitkom.org/sites/main/files/2025-10/bitkom-charts-cybercrime-und-der-markt-fuer-it-sicherheit-2025.pdf"/>
    <hyperlink ref="J405" r:id="rId404" display="https://www.bitkom.org/sites/main/files/2025-10/bitkom-charts-cybercrime-und-der-markt-fuer-it-sicherheit-2025.pdf"/>
    <hyperlink ref="J406" r:id="rId405" display="https://www.bitkom.org/sites/main/files/2025-10/bitkom-charts-cybercrime-und-der-markt-fuer-it-sicherheit-2025.pdf"/>
    <hyperlink ref="J407" r:id="rId406" display="https://www.bitkom.org/sites/main/files/2025-10/bitkom-charts-cybercrime-und-der-markt-fuer-it-sicherheit-2025.pdf"/>
    <hyperlink ref="J408" r:id="rId407" display="https://www.bitkom.org/sites/main/files/2025-10/bitkom-charts-cybercrime-und-der-markt-fuer-it-sicherheit-2025.pdf"/>
    <hyperlink ref="J409" r:id="rId408" display="https://www.bitkom.org/sites/main/files/2025-10/bitkom-charts-cybercrime-und-der-markt-fuer-it-sicherheit-2025.pdf"/>
    <hyperlink ref="J410" r:id="rId409" display="https://www.bitkom.org/sites/main/files/2025-10/bitkom-charts-cybercrime-und-der-markt-fuer-it-sicherheit-2025.pdf"/>
    <hyperlink ref="J411" r:id="rId410" display="https://www.bitkom.org/sites/main/files/2025-10/bitkom-charts-cybercrime-und-der-markt-fuer-it-sicherheit-2025.pdf"/>
    <hyperlink ref="J412" r:id="rId411" display="https://www.bitkom.org/sites/main/files/2025-10/bitkom-charts-cybercrime-und-der-markt-fuer-it-sicherheit-2025.pdf"/>
    <hyperlink ref="J413" r:id="rId412" display="https://www.bitkom.org/sites/main/files/2025-10/bitkom-charts-cybercrime-und-der-markt-fuer-it-sicherheit-2025.pdf"/>
    <hyperlink ref="J414" r:id="rId413" display="https://www.bitkom.org/sites/main/files/2025-10/bitkom-charts-cybercrime-und-der-markt-fuer-it-sicherheit-2025.pdf"/>
    <hyperlink ref="J415" r:id="rId414" display="https://www.bitkom.org/Presse/Presseinformation/Cybersicherheit-Deutscher-Markt-ueber-10-Milliarden-Marke"/>
    <hyperlink ref="J416" r:id="rId415" display="https://www.bitkom.org/Presse/Presseinformation/Cybersicherheit-Deutscher-Markt-ueber-10-Milliarden-Marke"/>
    <hyperlink ref="J417" r:id="rId416" display="https://www.bitkom.org/Presse/Presseinformation/Cybersicherheit-Deutscher-Markt-ueber-10-Milliarden-Marke"/>
    <hyperlink ref="J418" r:id="rId417" display="https://www.bitkom.org/Presse/Presseinformation/Cybersicherheit-Deutscher-Markt-ueber-10-Milliarden-Marke"/>
    <hyperlink ref="J419" r:id="rId418" display="https://www.bitkom.org/Presse/Presseinformation/Cybersicherheit-Deutscher-Markt-ueber-10-Milliarden-Marke"/>
    <hyperlink ref="J420" r:id="rId419" display="https://www.bitkom.org/sites/main/files/2025-12/bitkom-studienbericht-wirtschaftsschutz-2025.pdf"/>
    <hyperlink ref="J421" r:id="rId420" display="https://www.bitkom.org/sites/main/files/2026-09/bitkom-studienbericht-wirtschaftsschutz-2026.pdf"/>
    <hyperlink ref="J422" r:id="rId421" display="https://www.bitkom.org/sites/main/files/2026-09/bitkom-studienbericht-wirtschaftsschutz-2026.pdf"/>
    <hyperlink ref="J423" r:id="rId422" display="https://www.bitkom.org/sites/main/files/2026-09/bitkom-studienbericht-wirtschaftsschutz-2026.pdf"/>
    <hyperlink ref="J424" r:id="rId423" display="https://www.bitkom.org/sites/main/files/2026-09/bitkom-studienbericht-wirtschaftsschutz-2026.pdf"/>
    <hyperlink ref="J425" r:id="rId424" display="https://www.bitkom.org/sites/main/files/2026-09/bitkom-studienbericht-wirtschaftsschutz-2026.pdf"/>
    <hyperlink ref="J426" r:id="rId425" display="https://www.bsi.bund.de/DE/Das-BSI/Auftrag/BSI-Kurzprofil/kurzprofil_node.html"/>
    <hyperlink ref="J427" r:id="rId426" display="https://www.cbi.eu/market-information/outsourcing-itobpo/cybersecurity/market-potential"/>
    <hyperlink ref="J428" r:id="rId427" display="https://it-sicherheit.de/wp-content/uploads/2024/09/Deloitte_Studie_Cybersecurity_im_Mittelstand.pdf"/>
    <hyperlink ref="J429" r:id="rId428" display="https://www.bundestag.de/dokumente/textarchiv/2025/kw38-de-inneres-1104014"/>
    <hyperlink ref="J430" r:id="rId429" display="https://www.bundestag.de/dokumente/textarchiv/2025/kw38-de-inneres-1104014"/>
    <hyperlink ref="J431" r:id="rId430" display="https://www.bundestag.de/dokumente/textarchiv/2025/kw48-de-inneres-1126080"/>
    <hyperlink ref="J432" r:id="rId431" display="https://www.expertmarketresearch.com/de/reports/germany-cyber-security-market"/>
    <hyperlink ref="J433" r:id="rId432" display="https://www.expertmarketresearch.com/de/reports/germany-cyber-security-market"/>
    <hyperlink ref="J434" r:id="rId433" display="https://www.grandviewresearch.com/horizon/outlook/cyber-security-market/germany"/>
    <hyperlink ref="J435" r:id="rId434" display="https://www.grandviewresearch.com/horizon/outlook/cyber-security-market/germany"/>
    <hyperlink ref="J436" r:id="rId435" display="https://www.grandviewresearch.com/horizon/outlook/cyber-security-market/germany"/>
    <hyperlink ref="J437" r:id="rId436" display="https://www.grandviewresearch.com/horizon/outlook/cyber-security-services-market/germany"/>
    <hyperlink ref="J438" r:id="rId437" display="https://www.grandviewresearch.com/horizon/outlook/cyber-security-services-market/germany"/>
    <hyperlink ref="J439" r:id="rId438" display="https://www.imarcgroup.com/germany-cybersecurity-market"/>
    <hyperlink ref="J440" r:id="rId439" display="https://www.imarcgroup.com/germany-cybersecurity-market"/>
    <hyperlink ref="J441" r:id="rId440" display="https://www.kenresearch.com/germany-cybersecurity-and-cloud-security-market"/>
    <hyperlink ref="J442" r:id="rId441" display="https://www.kenresearch.com/germany-cybersecurity-and-cloud-security-market"/>
    <hyperlink ref="J443" r:id="rId442" display="https://www.luenendonk.de/luenendonk-listen-2025-it-dienstleister-blicken-nach-durchwachsenem-jahr-2024-optimistisch-in-die-zukunft/"/>
    <hyperlink ref="J444" r:id="rId443" display="https://www.marketresearchfuture.com/reports/germany-cybersecurity-market-46036"/>
    <hyperlink ref="J445" r:id="rId444" display="https://www.marketresearchfuture.com/reports/germany-cybersecurity-market-46036"/>
    <hyperlink ref="J446" r:id="rId445" display="https://www.marketsandmarkets.com/Market-Reports/germany-cybersecurity-market-91945586.html"/>
    <hyperlink ref="J447" r:id="rId446" display="https://www.marketsandmarkets.com/Market-Reports/germany-cybersecurity-market-91945586.html"/>
    <hyperlink ref="J448" r:id="rId447" display="https://www.marketsandmarkets.com/Market-Reports/germany-cybersecurity-market-91945586.html"/>
    <hyperlink ref="J449" r:id="rId448" display="https://www.marketsandmarkets.com/Market-Reports/geography/cyber-security-market/germany"/>
    <hyperlink ref="J450" r:id="rId449" display="https://www.marketsandmarkets.com/Market-Reports/geography/cyber-security-market/germany"/>
    <hyperlink ref="J451" r:id="rId450" display="https://www.marketsandmarkets.com/Market-Reports/geography/government-public-sector-cybersecurity-market/Germany"/>
    <hyperlink ref="J452" r:id="rId451" display="https://www.marketsandmarkets.com/Market-Reports/geography/government-public-sector-cybersecurity-market/Germany"/>
    <hyperlink ref="J453" r:id="rId452" display="https://static.messe-essen-digitalmedia.de/uploads/E302/presstexts/3_marktdaten.pdf"/>
    <hyperlink ref="J454" r:id="rId453" display="https://www.mordorintelligence.com/de/industry-reports/germany-cybersecurity-market"/>
    <hyperlink ref="J455" r:id="rId454" display="https://www.mordorintelligence.com/de/industry-reports/germany-cybersecurity-market"/>
    <hyperlink ref="J456" r:id="rId455" display="https://www.mordorintelligence.com/de/industry-reports/germany-cybersecurity-market"/>
    <hyperlink ref="J457" r:id="rId456" display="https://www.mordorintelligence.com/de/industry-reports/germany-cybersecurity-market"/>
    <hyperlink ref="J458" r:id="rId457" display="https://www.europarl.europa.eu/RegData/etudes/BRIE/2025/772881/EPRS_BRI(2025)772881_EN.pdf"/>
    <hyperlink ref="J459" r:id="rId458" display="https://de.statista.com/infografik/36097/geschaetzter-weltweiter-umsatz-mit-cyber-security/"/>
    <hyperlink ref="J460" r:id="rId459" display="https://www.wifor.com/uploads/2019/08/it-sicherheitsmarkt-in-deutschland-studie-2019.pdf"/>
    <hyperlink ref="J461" r:id="rId460" display="https://www.wifor.com/uploads/2019/08/it-sicherheitsmarkt-in-deutschland-studie-2019.pdf"/>
    <hyperlink ref="J462" r:id="rId461" display="https://www.wifor.com/uploads/2019/08/it-sicherheitsmarkt-in-deutschland-studie-2019.pdf"/>
    <hyperlink ref="J463" r:id="rId462" display="https://www.wifor.com/uploads/2019/08/it-sicherheitsmarkt-in-deutschland-studie-2019.pdf"/>
    <hyperlink ref="J464" r:id="rId463" display="https://www.wifor.com/uploads/2019/08/it-sicherheitsmarkt-in-deutschland-studie-2019.pdf"/>
    <hyperlink ref="J465" r:id="rId464" display="https://www.idealholdings.gr/media/cgub5m1l/ideal-holdings_morgan-stanley-athex-greek-investment-conference-dec-25.pdf"/>
    <hyperlink ref="J466" r:id="rId465" display="https://www.idealholdings.gr/media/cgub5m1l/ideal-holdings_morgan-stanley-athex-greek-investment-conference-dec-25.pdf"/>
    <hyperlink ref="J467" r:id="rId466" display="https://www.mordorintelligence.com/industry-reports/greece-cybersecurity-market"/>
    <hyperlink ref="J468" r:id="rId467" display="https://www.mordorintelligence.com/industry-reports/greece-cybersecurity-market"/>
    <hyperlink ref="J469" r:id="rId468" display="https://www.mordorintelligence.com/industry-reports/greece-cybersecurity-market"/>
    <hyperlink ref="J470" r:id="rId469" display="https://www.mordorintelligence.com/industry-reports/greece-cybersecurity-market"/>
    <hyperlink ref="J471" r:id="rId470" display="https://www.mordorintelligence.com/industry-reports/greece-cybersecurity-market"/>
    <hyperlink ref="J472" r:id="rId471" display="https://www.mordorintelligence.com/industry-reports/greece-cybersecurity-market"/>
    <hyperlink ref="J473" r:id="rId472" display="https://www.newmoney.gr/roh/palmos-oikonomias/epixeiriseis/prooptiki-gia-tziro-e-34-dis-se-pliroforiki-ke-kivernoasfalia-stin-ellada-eos-to-2029-grafima/"/>
    <hyperlink ref="J474" r:id="rId473" display="https://www.ot.gr/2025/06/23/epixeiriseis/kyvernoasfaleia-oi-xakers-kratoun-ksagrypnes-tis-ellinikes-etaireies-oi-amynes-pou-stinoun/"/>
    <hyperlink ref="J475" r:id="rId474" display="https://www.europarl.europa.eu/RegData/etudes/BRIE/2025/772881/EPRS_BRI(2025)772881_EN.pdf"/>
    <hyperlink ref="J476" r:id="rId475" display="https://cyberireland.ie/wp-content/uploads/2022/05/State-of-the-Cyber-Security-Sector-in-Ireland-2022-Report.pdf"/>
    <hyperlink ref="J477" r:id="rId476" display="https://cyberireland.ie/wp-content/uploads/2022/05/State-of-the-Cyber-Security-Sector-in-Ireland-2022-Report.pdf"/>
    <hyperlink ref="J478" r:id="rId477" display="https://cyberireland.ie/wp-content/uploads/2022/05/State-of-the-Cyber-Security-Sector-in-Ireland-2022-Report.pdf"/>
    <hyperlink ref="J479" r:id="rId478" display="https://cyberireland.ie/wp-content/uploads/2025/06/PE-All-Island-Cyber-Security-Sector-Research-Report-FINAL.pdf"/>
    <hyperlink ref="J480" r:id="rId479" display="https://cyberireland.ie/wp-content/uploads/2025/06/PE-All-Island-Cyber-Security-Sector-Research-Report-FINAL.pdf"/>
    <hyperlink ref="J481" r:id="rId480" display="https://www.gov.ie/en/department-of-justice-home-affairs-and-migration/press-releases/minister-jim-ocallaghan-secures-record-allocation-of-over-617-billion-for-the-justice-sector-in-budget-2026/"/>
    <hyperlink ref="J482" r:id="rId481" display="https://assets.gov.ie/static/documents/72c5df9c/NDP_Sectoral_Investment_Plan-JusticeSector.pdf"/>
    <hyperlink ref="J483" r:id="rId482" display="https://assets.gov.ie/static/documents/national-cyber-security-annual-update-2023.pdf"/>
    <hyperlink ref="J484" r:id="rId483" display="https://assets.gov.ie/static/documents/national-cyber-security-annual-update-2023.pdf"/>
    <hyperlink ref="J485" r:id="rId484" display="https://assets.gov.ie/static/documents/national-cyber-security-annual-update-2023.pdf"/>
    <hyperlink ref="J486" r:id="rId485" display="https://assets.gov.ie/static/documents/national-cyber-security-annual-update-2023.pdf"/>
    <hyperlink ref="J487" r:id="rId486" display="https://my.idc.com/getdoc.jsp?containerId=prEUR253305325"/>
    <hyperlink ref="J488" r:id="rId487" display="https://www.audit.gov.ie/en/find-report/publications/2024/vote-29-environment-climate-and-communications.pdf"/>
    <hyperlink ref="J489" r:id="rId488" display="https://www.audit.gov.ie/en/find-report/publications/2024/vote-29-environment-climate-and-communications.pdf"/>
    <hyperlink ref="J490" r:id="rId489" display="https://www.audit.gov.ie/media/jxiaibps/24-vote-24-justice-home-affairs-and-migration.pdf"/>
    <hyperlink ref="J491" r:id="rId490" display="https://www.audit.gov.ie/media/jxiaibps/24-vote-24-justice-home-affairs-and-migration.pdf"/>
    <hyperlink ref="J492" r:id="rId491" display="https://www.researchandmarkets.com/reports/6072107/ireland-application-security-market-opportunity"/>
    <hyperlink ref="J493" r:id="rId492" display="https://www.researchandmarkets.com/reports/6248575/ireland-application-security-market-opportunity"/>
    <hyperlink ref="J494" r:id="rId493" display="https://www.researchandmarkets.com/reports/6248575/ireland-application-security-market-opportunity"/>
    <hyperlink ref="J495" r:id="rId494" display="https://www.researchandmarkets.com/reports/6248575/ireland-application-security-market-opportunity"/>
    <hyperlink ref="J496" r:id="rId495" display="https://www.techcentral.ie/cyber-security-industry-contributed-e1-2bn-to-economy-last-year-report/"/>
    <hyperlink ref="J497" r:id="rId496" display="https://www.techcentral.ie/cyber-security-industry-contributed-e1-2bn-to-economy-last-year-report/"/>
    <hyperlink ref="J498" r:id="rId497" display="https://www.acn.gov.it/portale/documents/d/guest/acn-bilancio-esercizio-2023"/>
    <hyperlink ref="J499" r:id="rId498" display="https://www.acn.gov.it/portale/w/strategia-nazionale-di-cybersicurezza.-pubblicato-il-dpcm-per-la-ripartizione-dei-fondi-nel-triennio-2024-2026"/>
    <hyperlink ref="J500" r:id="rId499" display="https://www.acn.gov.it/portale/documents/20119/446882/ACN_Relazione_2023.pdf"/>
    <hyperlink ref="J501" r:id="rId500" display="https://www.acn.gov.it/portale/relazione-annuale-2023"/>
    <hyperlink ref="J502" r:id="rId501" display="https://www.acn.gov.it/portale/documents/20119/56212/testo_Frattasi_review_final.pdf/21228528-4473-702f-375a-d8b18ad1bce5?t=1715606273341"/>
    <hyperlink ref="J503" r:id="rId502" display="https://giurisprudenza.unimc.it/it/ricerca/dirittoapplicato/site-news/ACN_Strategia.pdf"/>
    <hyperlink ref="J504" r:id="rId503" display="https://www.anitec-assinform.it/kdocs/1920845/il_digitale_in_italia_2018.pdf"/>
    <hyperlink ref="J505" r:id="rId504" display="https://www.anitec-assinform.it/kdocs/1920845/il_digitale_in_italia_2018.pdf"/>
    <hyperlink ref="J506" r:id="rId505" display="https://www.anitec-assinform.it/kdocs/1920845/il_digitale_in_italia_2018.pdf"/>
    <hyperlink ref="J507" r:id="rId506" display="https://www.anitec-assinform.it/kdocs/1962491/il_digitale_in_italia_2019.pdf"/>
    <hyperlink ref="J508" r:id="rId507" display="https://www.anitec-assinform.it/kdocs/1962491/il_digitale_in_italia_2019.pdf"/>
    <hyperlink ref="J509" r:id="rId508" display="https://www.anitec-assinform.it/kdocs/1962491/il_digitale_in_italia_2019.pdf"/>
    <hyperlink ref="J510" r:id="rId509" display="https://www.anitec-assinform.it/kdocs/1981743/il_digitale_in_italia_2020_vol_i.pdf"/>
    <hyperlink ref="J511" r:id="rId510" display="https://www.anitec-assinform.it/kdocs/1981743/il_digitale_in_italia_2020_vol_i.pdf"/>
    <hyperlink ref="J512" r:id="rId511" display="https://www.anitec-assinform.it/kdocs/1981743/il_digitale_in_italia_2020_vol_i.pdf"/>
    <hyperlink ref="J513" r:id="rId512" display="https://www.anitec-assinform.it/kdocs/1981743/il_digitale_in_italia_2020_vol_i.pdf"/>
    <hyperlink ref="J514" r:id="rId513" display="https://www.anitec-assinform.it/kdocs/1981743/il_digitale_in_italia_2020_vol_i.pdf"/>
    <hyperlink ref="J515" r:id="rId514" display="https://www.anitec-assinform.it/kdocs/2013003/il_digitale_in_italia_2021.pdf"/>
    <hyperlink ref="J516" r:id="rId515" display="https://www.anitec-assinform.it/kdocs/2065198/il_digitale_in_italia_-_vol_2.pdf"/>
    <hyperlink ref="J517" r:id="rId516" display="https://www.anitec-assinform.it/kdocs/2065198/il_digitale_in_italia_-_vol_2.pdf"/>
    <hyperlink ref="J518" r:id="rId517" display="https://www.anitec-assinform.it/kdocs/2065198/il_digitale_in_italia_-_vol_2.pdf"/>
    <hyperlink ref="J519" r:id="rId518" display="https://www.anitec-assinform.it/kdocs/2091849/il_digitale_in_italia_2023_v3.pdf"/>
    <hyperlink ref="J520" r:id="rId519" display="https://www.anitec-assinform.it/kdocs/2091849/il_digitale_in_italia_2023_v3.pdf"/>
    <hyperlink ref="J521" r:id="rId520" display="https://www.anitec-assinform.it/kdocs/2091849/il_digitale_in_italia_2023_v3.pdf"/>
    <hyperlink ref="J522" r:id="rId521" display="https://www.anitec-assinform.it/kdocs/2091849/il_digitale_in_italia_2023_v3.pdf"/>
    <hyperlink ref="J523" r:id="rId522" display="https://www.anitec-assinform.it/kdocs/2091849/il_digitale_in_italia_2023_v3.pdf"/>
    <hyperlink ref="J524" r:id="rId523" display="https://www.anitec-assinform.it/kdocs/2091849/il_digitale_in_italia_2023_v3.pdf"/>
    <hyperlink ref="J525" r:id="rId524" display="https://www.anitec-assinform.it/kdocs/2091849/il_digitale_in_italia_2023_v3.pdf"/>
    <hyperlink ref="J526" r:id="rId525" display="https://www.anitec-assinform.it/kdocs/2091849/il_digitale_in_italia_2023_v3.pdf"/>
    <hyperlink ref="J527" r:id="rId526" display="https://www.anitec-assinform.it/kdocs/2091849/il_digitale_in_italia_2023_v3.pdf"/>
    <hyperlink ref="J528" r:id="rId527" display="https://www.anitec-assinform.it/kdocs/2091849/il_digitale_in_italia_2023_v3.pdf"/>
    <hyperlink ref="J529" r:id="rId528" display="https://www.anitec-assinform.it/kdocs/2091849/il_digitale_in_italia_2023_v3.pdf"/>
    <hyperlink ref="J530" r:id="rId529" display="https://www.anitec-assinform.it/kdocs/2091849/il_digitale_in_italia_2023_v3.pdf"/>
    <hyperlink ref="J531" r:id="rId530" display="https://www.anitec-assinform.it/kdocs/2146137/il_digitale_in_italia_2024.pdf"/>
    <hyperlink ref="J532" r:id="rId531" display="https://www.anitec-assinform.it/kdocs/2146137/il_digitale_in_italia_2024.pdf"/>
    <hyperlink ref="J533" r:id="rId532" display="https://www.anitec-assinform.it/kdocs/2146137/il_digitale_in_italia_2024.pdf"/>
    <hyperlink ref="J534" r:id="rId533" display="https://www.anitec-assinform.it/kdocs/2146137/il_digitale_in_italia_2024.pdf"/>
    <hyperlink ref="J535" r:id="rId534" display="https://www.anitec-assinform.it/kdocs/2146137/il_digitale_in_italia_2024.pdf"/>
    <hyperlink ref="J536" r:id="rId535" display="https://www.anitec-assinform.it/kdocs/2146137/il_digitale_in_italia_2024.pdf"/>
    <hyperlink ref="J537" r:id="rId536" display="https://www.anitec-assinform.it/kdocs/2146137/il_digitale_in_italia_2024.pdf"/>
    <hyperlink ref="J538" r:id="rId537" display="https://www.anitec-assinform.it/kdocs/2146137/il_digitale_in_italia_2024.pdf"/>
    <hyperlink ref="J539" r:id="rId538" display="https://www.anitec-assinform.it/kdocs/2146137/il_digitale_in_italia_2024.pdf"/>
    <hyperlink ref="J540" r:id="rId539" display="https://www.anitec-assinform.it/kdocs/2146137/il_digitale_in_italia_2024.pdf"/>
    <hyperlink ref="J541" r:id="rId540" display="https://www.anitec-assinform.it/kdocs/2146137/il_digitale_in_italia_2024.pdf"/>
    <hyperlink ref="J542" r:id="rId541" display="https://www.anitec-assinform.it/kdocs/2146137/il_digitale_in_italia_2024.pdf"/>
    <hyperlink ref="J543" r:id="rId542" display="https://www.anitec-assinform.it/kdocs/2146137/il_digitale_in_italia_2024.pdf"/>
    <hyperlink ref="J544" r:id="rId543" display="https://www.anitec-assinform.it/kdocs/2146137/il_digitale_in_italia_2024.pdf"/>
    <hyperlink ref="J545" r:id="rId544" display="https://www.anitec-assinform.it/kdocs/2146137/il_digitale_in_italia_2024.pdf"/>
    <hyperlink ref="J546" r:id="rId545" display="https://www.anitec-assinform.it/kdocs/2146137/il_digitale_in_italia_2024.pdf"/>
    <hyperlink ref="J547" r:id="rId546" display="https://www.anitec-assinform.it/kdocs/2146137/il_digitale_in_italia_2024.pdf"/>
    <hyperlink ref="J548" r:id="rId547" display="https://lentepubblica.it/wp-content/uploads/2025/07/ANITEC-ASSINFORM_il_digitale_in_italia_2025_v5-compresso.pdf"/>
    <hyperlink ref="J549" r:id="rId548" display="https://lentepubblica.it/wp-content/uploads/2025/07/ANITEC-ASSINFORM_il_digitale_in_italia_2025_v5-compresso.pdf"/>
    <hyperlink ref="J550" r:id="rId549" display="https://lentepubblica.it/wp-content/uploads/2025/07/ANITEC-ASSINFORM_il_digitale_in_italia_2025_v5-compresso.pdf"/>
    <hyperlink ref="J551" r:id="rId550" display="https://lentepubblica.it/wp-content/uploads/2025/07/ANITEC-ASSINFORM_il_digitale_in_italia_2025_v5-compresso.pdf"/>
    <hyperlink ref="J552" r:id="rId551" display="https://lentepubblica.it/wp-content/uploads/2025/07/ANITEC-ASSINFORM_il_digitale_in_italia_2025_v5-compresso.pdf"/>
    <hyperlink ref="J553" r:id="rId552" display="https://lentepubblica.it/wp-content/uploads/2025/07/ANITEC-ASSINFORM_il_digitale_in_italia_2025_v5-compresso.pdf"/>
    <hyperlink ref="J554" r:id="rId553" display="https://lentepubblica.it/wp-content/uploads/2025/07/ANITEC-ASSINFORM_il_digitale_in_italia_2025_v5-compresso.pdf"/>
    <hyperlink ref="J555" r:id="rId554" display="https://lentepubblica.it/wp-content/uploads/2025/07/ANITEC-ASSINFORM_il_digitale_in_italia_2025_v5-compresso.pdf"/>
    <hyperlink ref="J556" r:id="rId555" display="https://lentepubblica.it/wp-content/uploads/2025/07/ANITEC-ASSINFORM_il_digitale_in_italia_2025_v5-compresso.pdf"/>
    <hyperlink ref="J557" r:id="rId556" display="https://www.anitec-assinform.it/media/comunicati-stampa/anitec-assinform-nel-2025-il-mercato-digitale-in-italia-raggiunge-84-4-miliardi-ecosistema-ict-con-oltre-132mila-imprese-e-piu-di-638mila-addetti.kl"/>
    <hyperlink ref="J558" r:id="rId557" display="https://www.matricedigitale.it/wp-content/uploads/2026/07/Rapporto-Anitec-Assinform_Il-Digitale-in-Italia-2026.pdf"/>
    <hyperlink ref="J559" r:id="rId558" display="https://www.matricedigitale.it/wp-content/uploads/2026/07/Rapporto-Anitec-Assinform_Il-Digitale-in-Italia-2026.pdf"/>
    <hyperlink ref="J560" r:id="rId559" display="https://www.associazionecittadinanzadigitale.org/wp-content/uploads/2026/01/il_digitale_in_italia_2025-previsioni_v4.pdf"/>
    <hyperlink ref="J561" r:id="rId560" display="https://www.associazionecittadinanzadigitale.org/wp-content/uploads/2026/01/il_digitale_in_italia_2025-previsioni_v4.pdf"/>
    <hyperlink ref="J562" r:id="rId561" display="https://www.associazionecittadinanzadigitale.org/wp-content/uploads/2026/01/il_digitale_in_italia_2025-previsioni_v4.pdf"/>
    <hyperlink ref="J563" r:id="rId562" display="https://www.associazionecittadinanzadigitale.org/wp-content/uploads/2026/01/il_digitale_in_italia_2025-previsioni_v4.pdf"/>
    <hyperlink ref="J564" r:id="rId563" display="https://www.bancaditalia.it/pubblicazioni/mercati-infrastrutture-e-sistemi-di-pagamento/approfondimenti/2025-063/N.63-MISP.pdf"/>
    <hyperlink ref="J565" r:id="rId564" display="https://www.bancaditalia.it/pubblicazioni/qef/2017-0407/index.html?com.dotmarketing.htmlpage.language=1"/>
    <hyperlink ref="J566" r:id="rId565" display="https://www.bancaditalia.it/pubblicazioni/qef/2017-0407/index.html?com.dotmarketing.htmlpage.language=1"/>
    <hyperlink ref="J567" r:id="rId566" display="https://www.bancaditalia.it/pubblicazioni/qef/2017-0407/index.html?com.dotmarketing.htmlpage.language=1"/>
    <hyperlink ref="J568" r:id="rId567" display="https://www.bancaditalia.it/pubblicazioni/qef/2017-0407/index.html?com.dotmarketing.htmlpage.language=1"/>
    <hyperlink ref="J569" r:id="rId568" display="https://www.gruppotim.it/content/dam/gt/centro-studi-tim/report-cybersecurity/cybersecurity%20made%20in%20italy_20230620.pdf"/>
    <hyperlink ref="J570" r:id="rId569" display="https://www.gruppotim.it/content/dam/gt/centro-studi-tim/report-cybersecurity/cybersecurity%20made%20in%20italy_20230620.pdf"/>
    <hyperlink ref="J571" r:id="rId570" display="https://www.cipa.it/rilevazioni/economiche/2023/index.html"/>
    <hyperlink ref="J572" r:id="rId571" display="https://www.cipa.it/rilevazioni/economiche/2024/Rilevazione_economica_2024.pdf"/>
    <hyperlink ref="J573" r:id="rId572" display="https://www.cipa.it/rilevazioni/economiche/2024/Rilevazione_economica_2024.pdf"/>
    <hyperlink ref="J574" r:id="rId573" display="https://www.cipa.it/rilevazioni/economiche/2024/Rilevazione_economica_2024.pdf"/>
    <hyperlink ref="J575" r:id="rId574" display="https://ofcs.report/wp-content/uploads/2019/03/Rapporto_Clusit_2019.pdf"/>
    <hyperlink ref="J576" r:id="rId575" display="https://ofcs.report/wp-content/uploads/2019/03/Rapporto_Clusit_2019.pdf"/>
    <hyperlink ref="J577" r:id="rId576" display="https://ofcs.report/wp-content/uploads/2019/03/Rapporto_Clusit_2019.pdf"/>
    <hyperlink ref="J578" r:id="rId577" display="https://www.pmi.it/tecnologia/infrastrutture-it/490340/cyber-index-pmi-2025.html"/>
    <hyperlink ref="J579" r:id="rId578" display="https://www.confindustria.an.it/documenti/2026/03_Marzo/CyberIndexPMI2025_ExecutiveSummary.pdf"/>
    <hyperlink ref="J580" r:id="rId579" display="https://www.imarcgroup.com/europe-cybersecurity-market"/>
    <hyperlink ref="J581" r:id="rId580" display="https://www.kenresearch.com/italy-cybersecurity-and-mssp-market"/>
    <hyperlink ref="J582" r:id="rId581" display="https://www.kenresearch.com/italy-cybersecurity-and-mssp-market"/>
    <hyperlink ref="J583" r:id="rId582" display="https://www.kenresearch.com/italy-cybersecurity-and-mssp-market"/>
    <hyperlink ref="J584" r:id="rId583" display="https://www.kenresearch.com/italy-cybersecurity-and-mssp-market"/>
    <hyperlink ref="J585" r:id="rId584" display="https://www.kenresearch.com/italy-cybersecurity-and-mssp-market"/>
    <hyperlink ref="J586" r:id="rId585" display="https://www.kenresearch.com/italy-cybersecurity-and-mssp-market"/>
    <hyperlink ref="J587" r:id="rId586" display="https://www.kenresearch.com/italy-cybersecurity-and-mssp-market"/>
    <hyperlink ref="J588" r:id="rId587" display="https://www.kenresearch.com/italy-cybersecurity-and-mssp-market"/>
    <hyperlink ref="J589" r:id="rId588" display="https://www.kenresearch.com/italy-cybersecurity-and-mssp-market"/>
    <hyperlink ref="J590" r:id="rId589" display="https://www.kenresearch.com/italy-cybersecurity-and-mssp-market"/>
    <hyperlink ref="J591" r:id="rId590" display="https://www.marketsandmarkets.com/Market-Reports/geography/cyber-security-market/italy"/>
    <hyperlink ref="J592" r:id="rId591" display="https://www.marketsandmarkets.com/Market-Reports/geography/cyber-security-market/italy"/>
    <hyperlink ref="J593" r:id="rId592" display="https://www.mordorintelligence.com/fr/industry-reports/italy-cybersecurity-market/market-size"/>
    <hyperlink ref="J594" r:id="rId593" display="https://www.mordorintelligence.com/fr/industry-reports/italy-cybersecurity-market/market-size"/>
    <hyperlink ref="J595" r:id="rId594" display="https://www.mordorintelligence.com/industry-reports/italy-cybersecurity-market"/>
    <hyperlink ref="J596" r:id="rId595" display="https://www.mordorintelligence.com/industry-reports/italy-cybersecurity-market"/>
    <hyperlink ref="J597" r:id="rId596" display="https://www.mordorintelligence.com/industry-reports/italy-cybersecurity-market"/>
    <hyperlink ref="J598" r:id="rId597" display="https://www.mordorintelligence.com/industry-reports/italy-cybersecurity-market"/>
    <hyperlink ref="J599" r:id="rId598" display="https://inno3.it/2021/12/20/barometro-cyber-cybersecurity-le-aziende-adottano-resiliency-plan/"/>
    <hyperlink ref="J600" r:id="rId599" display="https://www.osservatori.net/comunicato/cybersecurity-data-protection/gdpr-e-security-un-percorso-impervio-a-trazione-integrale/"/>
    <hyperlink ref="J601" r:id="rId600" display="https://www.osservatori.net/comunicato/cybersecurity-data-protection/gdpr-e-security-un-percorso-impervio-a-trazione-integrale/"/>
    <hyperlink ref="J602" r:id="rId601" display="https://www.osservatori.net/comunicato/cybersecurity-data-protection/gdpr-e-security-un-percorso-impervio-a-trazione-integrale/"/>
    <hyperlink ref="J603" r:id="rId602" display="https://www.osservatori.net/comunicato/cybersecurity-data-protection/gdpr-e-security-un-percorso-impervio-a-trazione-integrale/"/>
    <hyperlink ref="J604" r:id="rId603" display="https://www.osservatori.net/comunicato/cybersecurity-data-protection/information-cyber-security-e-privacy-aumentano-gli-investimenti/"/>
    <hyperlink ref="J605" r:id="rId604" display="https://www.osservatori.net/comunicato/cybersecurity-data-protection/information-cyber-security-e-privacy-aumentano-gli-investimenti/"/>
    <hyperlink ref="J606" r:id="rId605" display="https://www.osservatori.net/comunicato/cybersecurity-data-protection/information-cyber-security-e-privacy-aumentano-gli-investimenti/"/>
    <hyperlink ref="J607" r:id="rId606" display="https://cyberoo.com/news/sicurezza-informatica-in-italia-ricerca-osservatorio-information-security-privacy/"/>
    <hyperlink ref="J608" r:id="rId607" display="https://cyberoo.com/news/sicurezza-informatica-in-italia-ricerca-osservatorio-information-security-privacy/"/>
    <hyperlink ref="J609" r:id="rId608" display="https://www.ipresslive.it/it/ipress/comunicati/view/47361/"/>
    <hyperlink ref="J610" r:id="rId609" display="https://www.ipresslive.it/it/ipress/comunicati/view/47361/"/>
    <hyperlink ref="J611" r:id="rId610" display="https://www.ipresslive.it/it/ipress/comunicati/view/47361/"/>
    <hyperlink ref="J612" r:id="rId611" display="https://www.ipresslive.it/it/ipress/comunicati/view/47361/"/>
    <hyperlink ref="J613" r:id="rId612" display="https://www.ipresslive.it/it/ipress/comunicati/view/47361/"/>
    <hyperlink ref="J614" r:id="rId613" display="https://www.ipresslive.it/it/ipress/comunicati/view/47361/"/>
    <hyperlink ref="J615" r:id="rId614" display="https://officeautomation.soiel.it/cybersecurity-aumentano-le-minacce-ma-anche-gli-investimenti/"/>
    <hyperlink ref="J616" r:id="rId615" display="https://officeautomation.soiel.it/cybersecurity-aumentano-le-minacce-ma-anche-gli-investimenti/"/>
    <hyperlink ref="J617" r:id="rId616" display="https://officeautomation.soiel.it/cybersecurity-aumentano-le-minacce-ma-anche-gli-investimenti/"/>
    <hyperlink ref="J618" r:id="rId617" display="https://officeautomation.soiel.it/cybersecurity-aumentano-le-minacce-ma-anche-gli-investimenti/"/>
    <hyperlink ref="J619" r:id="rId618" display="https://officeautomation.soiel.it/cybersecurity-aumentano-le-minacce-ma-anche-gli-investimenti/"/>
    <hyperlink ref="J620" r:id="rId619" display="https://finanza.lastampa.it/News/2023/02/23/cybersecurity-aumentano-gli-attacchi-informatici-danni-tangibili-per-1-impresa-su-7/OTdfMjAyMy0wMi0yM19UTEI"/>
    <hyperlink ref="J621" r:id="rId620" display="https://finanza.lastampa.it/News/2023/02/23/cybersecurity-aumentano-gli-attacchi-informatici-danni-tangibili-per-1-impresa-su-7/OTdfMjAyMy0wMi0yM19UTEI"/>
    <hyperlink ref="J622" r:id="rId621" display="https://finanza.lastampa.it/News/2023/02/23/cybersecurity-aumentano-gli-attacchi-informatici-danni-tangibili-per-1-impresa-su-7/OTdfMjAyMy0wMi0yM19UTEI"/>
    <hyperlink ref="J623" r:id="rId622" display="https://finanza.lastampa.it/News/2023/02/23/cybersecurity-aumentano-gli-attacchi-informatici-danni-tangibili-per-1-impresa-su-7/OTdfMjAyMy0wMi0yM19UTEI"/>
    <hyperlink ref="J624" r:id="rId623" display="https://finanza.lastampa.it/News/2023/02/23/cybersecurity-aumentano-gli-attacchi-informatici-danni-tangibili-per-1-impresa-su-7/OTdfMjAyMy0wMi0yM19UTEI"/>
    <hyperlink ref="J625" r:id="rId624" display="https://finanza.lastampa.it/News/2023/02/23/cybersecurity-aumentano-gli-attacchi-informatici-danni-tangibili-per-1-impresa-su-7/OTdfMjAyMy0wMi0yM19UTEI"/>
    <hyperlink ref="J626" r:id="rId625" display="https://finanza.lastampa.it/News/2023/02/23/cybersecurity-aumentano-gli-attacchi-informatici-danni-tangibili-per-1-impresa-su-7/OTdfMjAyMy0wMi0yM19UTEI"/>
    <hyperlink ref="J627" r:id="rId626" display="https://www.osservatori.net/comunicato/cybersecurity-data-protection/cybersecurity-italia-mercato-crescita-2023/"/>
    <hyperlink ref="J628" r:id="rId627" display="https://www.osservatori.net/comunicato/cybersecurity-data-protection/cybersecurity-italia-mercato-crescita-2023/"/>
    <hyperlink ref="J629" r:id="rId628" display="https://www.osservatori.net/comunicato/cybersecurity-data-protection/cybersecurity-italia-mercato-crescita-2023/"/>
    <hyperlink ref="J630" r:id="rId629" display="https://www.esteri.it/wp-content/uploads/2025/05/cyber_sp.pdf"/>
    <hyperlink ref="J631" r:id="rId630" display="https://www.esteri.it/wp-content/uploads/2025/05/cyber_sp.pdf"/>
    <hyperlink ref="J632" r:id="rId631" display="https://www.esteri.it/wp-content/uploads/2025/05/cyber_sp.pdf"/>
    <hyperlink ref="J633" r:id="rId632" display="https://www.esteri.it/wp-content/uploads/2025/05/cyber_sp.pdf"/>
    <hyperlink ref="J634" r:id="rId633" display="https://finanza.repubblica.it/News/2025/02/27/cresce_il_mercato_della_cybersecurity_2_48_miliardi_di_euro_+15percento-45/"/>
    <hyperlink ref="J635" r:id="rId634" display="https://finanza.repubblica.it/News/2025/02/27/cresce_il_mercato_della_cybersecurity_2_48_miliardi_di_euro_+15percento-45/"/>
    <hyperlink ref="J636" r:id="rId635" display="https://finanza.repubblica.it/News/2025/02/27/cresce_il_mercato_della_cybersecurity_2_48_miliardi_di_euro_+15percento-45/"/>
    <hyperlink ref="J637" r:id="rId636" display="https://www.esteri.it/wp-content/uploads/2025/05/cyber_sp.pdf"/>
    <hyperlink ref="J638" r:id="rId637" display="https://finanza.repubblica.it/News/2025/02/27/cresce_il_mercato_della_cybersecurity_2_48_miliardi_di_euro_+15percento-45/"/>
    <hyperlink ref="J639" r:id="rId638" display="https://www.cybersecurity360.it/news/il-mercato-della-cyber-security-cresce-del-15-ma-le-minacce-crescono-di-piu/"/>
    <hyperlink ref="J640" r:id="rId639" display="https://www.cybersecurity360.it/news/il-mercato-della-cyber-security-cresce-del-15-ma-le-minacce-crescono-di-piu/"/>
    <hyperlink ref="J641" r:id="rId640" display="https://www.cybersecurity360.it/news/il-mercato-della-cyber-security-cresce-del-15-ma-le-minacce-crescono-di-piu/"/>
    <hyperlink ref="J642" r:id="rId641" display="https://www.esteri.it/wp-content/uploads/2025/05/cyber_sp.pdf"/>
    <hyperlink ref="J643" r:id="rId642" display="https://www.osservatori.net/comunicato/cybersecurity-data-protection/cybersecurity-italia-mercato-crescita/"/>
    <hyperlink ref="J644" r:id="rId643" display="https://www.osservatori.net/comunicato/cybersecurity-data-protection/cybersecurity-italia-mercato-crescita/"/>
    <hyperlink ref="J645" r:id="rId644" display="https://www.osservatori.net/comunicato/cybersecurity-data-protection/cybersecurity-italia-mercato-crescita/"/>
    <hyperlink ref="J646" r:id="rId645" display="https://www.osservatori.net/comunicato/cybersecurity-data-protection/cybersecurity-italia-mercato-crescita/"/>
    <hyperlink ref="J647" r:id="rId646" display="https://www.osservatori.net/comunicato/cybersecurity-data-protection/cybersecurity-italia-mercato-crescita/"/>
    <hyperlink ref="J648" r:id="rId647" display="https://www.osservatori.net/comunicato/cybersecurity-data-protection/cybersecurity-italia-mercato-crescita/"/>
    <hyperlink ref="J649" r:id="rId648" display="https://www.osservatori.net/comunicato/cybersecurity-data-protection/cybersecurity-italia-mercato-crescita/"/>
    <hyperlink ref="J650" r:id="rId649" display="https://www.europarl.europa.eu/RegData/etudes/BRIE/2025/772881/EPRS_BRI(2025)772881_EN.pdf"/>
    <hyperlink ref="J651" r:id="rId650" display="https://www.statista.com/forecasts/1499024/italy-cybersecurity-market-revenue"/>
    <hyperlink ref="J652" r:id="rId651" display="https://m.likumi.lv/ta/id/340633-par-latvijas-kiberdrosibas-strategiju-20232026-gadam"/>
    <hyperlink ref="J653" r:id="rId652" display="https://m.likumi.lv/ta/id/340633-par-latvijas-kiberdrosibas-strategiju-20232026-gadam"/>
    <hyperlink ref="J654" r:id="rId653" display="https://m.likumi.lv/ta/id/340633-par-latvijas-kiberdrosibas-strategiju-20232026-gadam"/>
    <hyperlink ref="J655" r:id="rId654" display="https://m.likumi.lv/ta/id/340633-par-latvijas-kiberdrosibas-strategiju-20232026-gadam"/>
    <hyperlink ref="J656" r:id="rId655" display="https://m.likumi.lv/ta/id/340633-par-latvijas-kiberdrosibas-strategiju-20232026-gadam"/>
    <hyperlink ref="J657" r:id="rId656" display="https://www.mk.gov.lv/lv/jaunums/valdiba-atbalsta-butiskas-es-fondu-investicijas-kiberdrosiba-un-militaras-mobilitates-infrastruktura"/>
    <hyperlink ref="J658" r:id="rId657" display="https://www.cyber.gov.lv/lv/zinas"/>
    <hyperlink ref="J659" r:id="rId658" display="https://kam.lt/duk/kibernetinio-saugumo-pletros-programa/"/>
    <hyperlink ref="J660" r:id="rId659" display="https://kam.lt/duk/kibernetinio-saugumo-pletros-programa/"/>
    <hyperlink ref="J661" r:id="rId660" display="https://e-seimas.lrs.lt/rs/lasupplement/TAD/ca445401de4511ef8cdff2c320e69444/a6f1f679de8011ef8cdff2c320e69444/format/ISO_PDF/"/>
    <hyperlink ref="J662" r:id="rId661" display="https://kam.lt/wp-content/uploads/2025/03/NKSC-BUKLETAS-FINAL-4.0.pdf"/>
    <hyperlink ref="J663" r:id="rId662" display="https://www.lrt.lt/naujienos/lietuvoje/2/2093159/gynybos-finansavimas-kitamet-sieks-2-71-proc-bvp-rodo-biudzeto-projektas"/>
    <hyperlink ref="J664" r:id="rId663" display="https://www.nksc.lt/es_projektai.html"/>
    <hyperlink ref="J665" r:id="rId664" display="https://www.europarl.europa.eu/RegData/etudes/BRIE/2025/772881/EPRS_BRI(2025)772881_EN.pdf"/>
    <hyperlink ref="J666" r:id="rId665" display="https://budget.public.lu/lb/budget2025/am-detail.html?chpt=depenses&amp;dept=1&amp;sect=16"/>
    <hyperlink ref="J667" r:id="rId666" display="https://budget.public.lu/lb/budget2025/am-detail.html?chpt=depenses&amp;dept=1&amp;sect=16"/>
    <hyperlink ref="J668" r:id="rId667" display="https://budget.public.lu/lb/budget2025/am-detail.html?chpt=depenses&amp;dept=1&amp;sect=16"/>
    <hyperlink ref="J669" r:id="rId668" display="https://budget.public.lu/lb/budget2025/am-detail.html?chpt=depenses&amp;dept=1&amp;sect=16"/>
    <hyperlink ref="J670" r:id="rId669" display="https://budget.public.lu/lb/budget2025/am-detail.html?chpt=depenses&amp;dept=1&amp;sect=16"/>
    <hyperlink ref="J671" r:id="rId670" display="https://budget.public.lu/lb/budget2025/am-detail.html?chpt=depenses&amp;dept=1&amp;sect=16"/>
    <hyperlink ref="J672" r:id="rId671" display="https://budget.public.lu/lb/budget2026/am-detail.html?chpt=depenses&amp;dept=6&amp;sect=55"/>
    <hyperlink ref="J673" r:id="rId672" display="https://budget.public.lu/lb/budget2026/am-detail.html?chpt=depenses&amp;dept=6&amp;sect=55"/>
    <hyperlink ref="J674" r:id="rId673" display="https://budget.public.lu/lb/budget2026/am-detail.html?chpt=depenses&amp;dept=6&amp;sect=55"/>
    <hyperlink ref="J675" r:id="rId674" display="https://budget.public.lu/lb/budget2026/am-detail.html?chpt=depenses&amp;dept=6&amp;sect=55"/>
    <hyperlink ref="J676" r:id="rId675" display="https://budget.public.lu/lb/budget2026/am-detail.html?chpt=depenses&amp;dept=6&amp;sect=55"/>
    <hyperlink ref="J677" r:id="rId676" display="https://budget.public.lu/lb/budget2026/am-detail.html?chpt=depenses&amp;dept=6&amp;sect=55"/>
    <hyperlink ref="J678" r:id="rId677" display="https://parlament.mt/media/125250/02606.pdf"/>
    <hyperlink ref="J679" r:id="rId678" display="https://parlament.mt/media/125250/02606.pdf"/>
    <hyperlink ref="J680" r:id="rId679" display="https://www.bdo.nl/getmedia/46087d8a-7d9a-4831-8e1c-fe8482cb676a/Global-and-European-Cybersecurity-Industry.pdf"/>
    <hyperlink ref="J681" r:id="rId680" display="https://www.cbi.eu/market-information/outsourcing-itobpo/cybersecurity/market-potential"/>
    <hyperlink ref="J682" r:id="rId681" display="https://www.consultancy.nl/nieuws/69608/cybersecuritymarkt-groeit-door-tot-bijna-250-miljard-in-2030"/>
    <hyperlink ref="J683" r:id="rId682" display="https://www.consultancy.nl/nieuws/69608/cybersecuritymarkt-groeit-door-tot-bijna-250-miljard-in-2030"/>
    <hyperlink ref="J684" r:id="rId683" display="https://www.consultancy.nl/nieuws/69608/cybersecuritymarkt-groeit-door-tot-bijna-250-miljard-in-2030"/>
    <hyperlink ref="J685" r:id="rId684" display="https://dialogic.nl/wp-content/uploads/2023/06/economische-kansen-van-de-cybersecuritysector-7.pdf"/>
    <hyperlink ref="J686" r:id="rId685" display="https://dialogic.nl/wp-content/uploads/2023/06/economische-kansen-van-de-cybersecuritysector-7.pdf"/>
    <hyperlink ref="J687" r:id="rId686" display="https://dialogic.nl/wp-content/uploads/2023/06/economische-kansen-van-de-cybersecuritysector-7.pdf"/>
    <hyperlink ref="J688" r:id="rId687" display="https://dialogic.nl/wp-content/uploads/2023/06/economische-kansen-van-de-cybersecuritysector-7.pdf"/>
    <hyperlink ref="J689" r:id="rId688" display="https://dialogic.nl/wp-content/uploads/2023/06/economische-kansen-van-de-cybersecuritysector-7.pdf"/>
    <hyperlink ref="J690" r:id="rId689" display="https://cyberveilignederland.nl/upload/userfiles/files/economische-kansen-van-de-cybersecuritysector(1).pdf"/>
    <hyperlink ref="J691" r:id="rId690" display="https://dialogic.nl/wp-content/uploads/2023/06/economische-kansen-van-de-cybersecuritysector-7.pdf"/>
    <hyperlink ref="J692" r:id="rId691" display="https://dialogic.nl/wp-content/uploads/2023/06/economische-kansen-van-de-cybersecuritysector-7.pdf"/>
    <hyperlink ref="J693" r:id="rId692" display="https://dialogic.nl/wp-content/uploads/2023/06/economische-kansen-van-de-cybersecuritysector-7.pdf"/>
    <hyperlink ref="J694" r:id="rId693" display="https://www.marketsandmarkets.com/Market-Reports/geography/industrial-cybersecurity-market/netherlands"/>
    <hyperlink ref="J695" r:id="rId694" display="https://www.marketsandmarkets.com/Market-Reports/geography/industrial-cybersecurity-market/netherlands"/>
    <hyperlink ref="J696" r:id="rId695" display="https://www.mordorintelligence.com/industry-reports/netherlands-cybersecurity-market"/>
    <hyperlink ref="J697" r:id="rId696" display="https://www.mordorintelligence.com/industry-reports/netherlands-cybersecurity-market"/>
    <hyperlink ref="J698" r:id="rId697" display="https://www.mordorintelligence.com/industry-reports/netherlands-cybersecurity-market"/>
    <hyperlink ref="J699" r:id="rId698" display="https://www.mordorintelligence.com/industry-reports/netherlands-cybersecurity-market"/>
    <hyperlink ref="J700" r:id="rId699" display="https://www.mordorintelligence.com/industry-reports/netherlands-cybersecurity-market"/>
    <hyperlink ref="J701" r:id="rId700" display="https://www.mordorintelligence.com/industry-reports/netherlands-cybersecurity-market"/>
    <hyperlink ref="J702" r:id="rId701" display="https://www.ncsc.nl/binaries/ncsc/documenten/publicaties/2019/mei/01/nederlandse-cybersecurity-agenda/CSAgenda_def_web_tcm31-322330.pdf"/>
    <hyperlink ref="J703" r:id="rId702" display="https://www.tweedekamer.nl/downloads/document?id=2024D01957"/>
    <hyperlink ref="J704" r:id="rId703" display="https://www.tweedekamer.nl/downloads/document?id=2024D01957"/>
    <hyperlink ref="J705" r:id="rId704" display="https://www.tweedekamer.nl/downloads/document?id=2024D01957"/>
    <hyperlink ref="J706" r:id="rId705" display="https://www.tweedekamer.nl/downloads/document?id=2024D01957"/>
    <hyperlink ref="J707" r:id="rId706" display="https://www.tweedekamer.nl/downloads/document?id=2022D46208"/>
    <hyperlink ref="J708" r:id="rId707" display="https://www.tweedekamer.nl/downloads/document?id=2022D46208"/>
    <hyperlink ref="J709" r:id="rId708" display="https://www.tweedekamer.nl/downloads/document?id=2022D46208"/>
    <hyperlink ref="J710" r:id="rId709" display="https://www.tweedekamer.nl/downloads/document?id=2022D46208"/>
    <hyperlink ref="J711" r:id="rId710" display="https://www.tweedekamer.nl/downloads/document?id=2022D46208"/>
    <hyperlink ref="J712" r:id="rId711" display="https://www.tweedekamer.nl/downloads/document?id=2022D46208"/>
    <hyperlink ref="J713" r:id="rId712" display="https://www.tweedekamer.nl/downloads/document?id=2022D46208"/>
    <hyperlink ref="J714" r:id="rId713" display="https://www.tweedekamer.nl/downloads/document?id=2022D46208"/>
    <hyperlink ref="J715" r:id="rId714" display="https://www.6wresearch.com/industry-report/poland-cyber-security-market"/>
    <hyperlink ref="J716" r:id="rId715" display="https://www.6wresearch.com/industry-report/poland-cyber-security-market"/>
    <hyperlink ref="J717" r:id="rId716" display="https://www.cbi.eu/market-information/outsourcing-itobpo/cybersecurity/market-potential"/>
    <hyperlink ref="J718" r:id="rId717" display="https://www.gov.pl/web/cppc/lista-rankingowa-cyberbezpieczne-wodociagi"/>
    <hyperlink ref="J719" r:id="rId718" display="https://www.databridgemarketresearch.com/nucleus/poland-cybersecurity-market"/>
    <hyperlink ref="J720" r:id="rId719" display="https://www.databridgemarketresearch.com/nucleus/poland-cybersecurity-market"/>
    <hyperlink ref="J721" r:id="rId720" display="https://www.isbtech.pl/2023/09/polska-zwieksza-wydatki-na-bezpieczenstwo-w-cyberprzestrzeni/"/>
    <hyperlink ref="J722" r:id="rId721" display="https://www.isbtech.pl/2023/10/polska-na-17-miejscu-w-europie-pod-wzgledem-wydatkow-na-cyberbezpieczenstwo/"/>
    <hyperlink ref="J723" r:id="rId722" display="https://itwiz.pl/polskie-firmy-zwiekszaja-wydatki-na-cyberbezpieczenstwo-kto-wyda-najwiecej/"/>
    <hyperlink ref="J724" r:id="rId723" display="https://itwiz.pl/polskie-firmy-zwiekszaja-wydatki-na-cyberbezpieczenstwo-kto-wyda-najwiecej/"/>
    <hyperlink ref="J725" r:id="rId724" display="https://itwiz.pl/polskie-firmy-zwiekszaja-wydatki-na-cyberbezpieczenstwo-kto-wyda-najwiecej/"/>
    <hyperlink ref="J726" r:id="rId725" display="https://itwiz.pl/ekosystem-rozwiazan-cyberbezpieczenstwa-w-polsce-wart-jest-12-mld-zl/"/>
    <hyperlink ref="J727" r:id="rId726" display="https://itwiz.pl/ekosystem-rozwiazan-cyberbezpieczenstwa-w-polsce-wart-jest-12-mld-zl/"/>
    <hyperlink ref="J728" r:id="rId727" display="https://www.kenresearch.com/poland-cybersecurity-and-mssp-market"/>
    <hyperlink ref="J729" r:id="rId728" display="https://sip.lex.pl/akty-prawne/dzu-dziennik-ustaw/krajowy-system-cyberbezpieczenstwa-18746756"/>
    <hyperlink ref="J730" r:id="rId729" display="https://sip.lex.pl/akty-prawne/dzu-dziennik-ustaw/krajowy-system-cyberbezpieczenstwa-18746756"/>
    <hyperlink ref="J731" r:id="rId730" display="https://sip.lex.pl/akty-prawne/dzu-dziennik-ustaw/krajowy-system-cyberbezpieczenstwa-18746756"/>
    <hyperlink ref="J732" r:id="rId731" display="https://sip.lex.pl/akty-prawne/dzu-dziennik-ustaw/krajowy-system-cyberbezpieczenstwa-18746756"/>
    <hyperlink ref="J733" r:id="rId732" display="https://sip.lex.pl/akty-prawne/dzu-dziennik-ustaw/krajowy-system-cyberbezpieczenstwa-18746756"/>
    <hyperlink ref="J734" r:id="rId733" display="https://sip.lex.pl/akty-prawne/dzu-dziennik-ustaw/krajowy-system-cyberbezpieczenstwa-18746756"/>
    <hyperlink ref="J735" r:id="rId734" display="https://sip.lex.pl/akty-prawne/dzu-dziennik-ustaw/krajowy-system-cyberbezpieczenstwa-18746756"/>
    <hyperlink ref="J736" r:id="rId735" display="https://sip.lex.pl/akty-prawne/dzu-dziennik-ustaw/krajowy-system-cyberbezpieczenstwa-18746756"/>
    <hyperlink ref="J737" r:id="rId736" display="https://sip.lex.pl/akty-prawne/dzu-dziennik-ustaw/krajowy-system-cyberbezpieczenstwa-18746756"/>
    <hyperlink ref="J738" r:id="rId737" display="https://sip.lex.pl/akty-prawne/dzu-dziennik-ustaw/krajowy-system-cyberbezpieczenstwa-18746756"/>
    <hyperlink ref="J739" r:id="rId738" display="https://www.marketsandmarkets.com/Market-Reports/geography/defense-cybersecurity-market/poland"/>
    <hyperlink ref="J740" r:id="rId739" display="https://www.marketsandmarkets.com/Market-Reports/geography/defense-cybersecurity-market/poland"/>
    <hyperlink ref="J741" r:id="rId740" display="https://www.gov.pl/web/cyfryzacja/polska-inwestuje-rekordowe-srodki-w-ochrone-przed-cyberatakami"/>
    <hyperlink ref="J742" r:id="rId741" display="https://www.gov.pl/web/cyfryzacja/polska-inwestuje-rekordowe-srodki-w-ochrone-przed-cyberatakami"/>
    <hyperlink ref="J743" r:id="rId742" display="https://www.gov.pl/web/cyfryzacja/polska-inwestuje-rekordowe-srodki-w-ochrone-przed-cyberatakami"/>
    <hyperlink ref="J744" r:id="rId743" display="https://www.gov.pl/web/cyfryzacja/polska-inwestuje-rekordowe-srodki-w-ochrone-przed-cyberatakami"/>
    <hyperlink ref="J745" r:id="rId744" display="https://www.gov.pl/web/cyfryzacja/polska-inwestuje-rekordowe-srodki-w-ochrone-przed-cyberatakami"/>
    <hyperlink ref="J746" r:id="rId745" display="https://www.gov.pl/web/cyfryzacja/polska-inwestuje-rekordowe-srodki-w-ochrone-przed-cyberatakami"/>
    <hyperlink ref="J747" r:id="rId746" display="https://www.gov.pl/web/cyfryzacja/polska-inwestuje-rekordowe-srodki-w-ochrone-przed-cyberatakami"/>
    <hyperlink ref="J748" r:id="rId747" display="https://www.gov.pl/web/cyfryzacja/polska-inwestuje-rekordowe-srodki-w-ochrone-przed-cyberatakami"/>
    <hyperlink ref="J749" r:id="rId748" display="https://www.gov.pl/web/cyfryzacja/polska-inwestuje-rekordowe-srodki-w-ochrone-przed-cyberatakami"/>
    <hyperlink ref="J750" r:id="rId749" display="https://www.gov.pl/web/cyfryzacja/polska-inwestuje-rekordowe-srodki-w-ochrone-przed-cyberatakami"/>
    <hyperlink ref="J751" r:id="rId750" display="https://www.gov.pl/web/cyfryzacja/15-mld-zl-dla-samorzadow-na-cyberbezpieczenstwo"/>
    <hyperlink ref="J752" r:id="rId751" display="https://www.gov.pl/web/cyfryzacja/15-mld-zl-dla-samorzadow-na-cyberbezpieczenstwo"/>
    <hyperlink ref="J753" r:id="rId752" display="https://www.gov.pl/web/cyfryzacja/15-mld-zl-dla-samorzadow-na-cyberbezpieczenstwo"/>
    <hyperlink ref="J754" r:id="rId753" display="https://www.gov.pl/web/cyfryzacja/15-mld-zl-dla-samorzadow-na-cyberbezpieczenstwo"/>
    <hyperlink ref="J755" r:id="rId754" display="https://www.gov.pl/web/cyfryzacja/wiecej-pieniedzy-na-fundusz-cyberbezpieczenstwa"/>
    <hyperlink ref="J756" r:id="rId755" display="https://www.gov.pl/web/cyfryzacja/nowa-platforma-wspolpracy-w-obszarze-cyberbezpieczenstwa-zwiekszy-odpornosc-samorzadow"/>
    <hyperlink ref="J757" r:id="rId756" display="https://www.mordorintelligence.com/industry-reports/poland-cybersecurity-market/market-size"/>
    <hyperlink ref="J758" r:id="rId757" display="https://www.mordorintelligence.com/industry-reports/poland-cybersecurity-market/market-size"/>
    <hyperlink ref="J759" r:id="rId758" display="https://www.mordorintelligence.com/industry-reports/poland-cybersecurity-market/market-size"/>
    <hyperlink ref="J760" r:id="rId759" display="https://www.mordorintelligence.com/industry-reports/poland-cybersecurity-market/market-size"/>
    <hyperlink ref="J761" r:id="rId760" display="https://www.mordorintelligence.com/industry-reports/poland-cybersecurity-market"/>
    <hyperlink ref="J762" r:id="rId761" display="https://www.mordorintelligence.com/industry-reports/poland-cybersecurity-market"/>
    <hyperlink ref="J763" r:id="rId762" display="https://www.mordorintelligence.com/industry-reports/poland-cybersecurity-market"/>
    <hyperlink ref="J764" r:id="rId763" display="https://www.mordorintelligence.com/industry-reports/poland-cybersecurity-market"/>
    <hyperlink ref="J765" r:id="rId764" display="https://www.mordorintelligence.com/industry-reports/poland-cybersecurity-market"/>
    <hyperlink ref="J766" r:id="rId765" display="https://www.europarl.europa.eu/RegData/etudes/BRIE/2025/772881/EPRS_BRI(2025)772881_EN.pdf"/>
    <hyperlink ref="J767" r:id="rId766" display="https://www.pmrmarketexperts.com/wiadomosci/rynek-cyberbezpieczenstwa-wzrosnie-do-2-5-mld-zl-w-2024-roku/"/>
    <hyperlink ref="J768" r:id="rId767" display="https://www.pmrmarketexperts.com/wiadomosci/rynek-cyberbezpieczenstwa-wzrosnie-do-2-5-mld-zl-w-2024-roku/"/>
    <hyperlink ref="J769" r:id="rId768" display="https://www.pmrmarketexperts.com/wiadomosci/rynek-cyberbezpieczenstwa-wzrosnie-do-2-5-mld-zl-w-2024-roku/"/>
    <hyperlink ref="J770" r:id="rId769" display="https://www.pmrmarketexperts.com/wiadomosci/rynek-cyberbezpieczenstwa-wzrosnie-do-2-5-mld-zl-w-2024-roku/"/>
    <hyperlink ref="J771" r:id="rId770" display="https://www.pmrmarketexperts.com/wiadomosci/rynek-cyberbezpieczenstwa-wzrosnie-do-2-5-mld-zl-w-2024-roku/"/>
    <hyperlink ref="J772" r:id="rId771" display="https://www.pmrmarketexperts.com/wiadomosci/rynek-cyberbezpieczenstwa-wzrosnie-do-2-5-mld-zl-w-2024-roku/"/>
    <hyperlink ref="J773" r:id="rId772" display="https://www.pmrmarketexperts.com/wiadomosci/rynek-cyberbezpieczenstwa-wzrosnie-do-2-5-mld-zl-w-2024-roku/"/>
    <hyperlink ref="J774" r:id="rId773" display="https://www.pb.pl/fudo-security-teraz-wie-lepiej-jak-podbic-usa-1239180"/>
    <hyperlink ref="J775" r:id="rId774" display="https://www.pwc.pl/pl/pdf/cyber-ruletka-po-polsku-raport-pwc-gsiss-2018.pdf"/>
    <hyperlink ref="J776" r:id="rId775" display="https://www.pwc.pl/pl/pdf/cyber-ruletka-po-polsku-raport-pwc-gsiss-2018.pdf"/>
    <hyperlink ref="J777" r:id="rId776" display="https://www.pwc.pl/pl/pdf/cyber-ruletka-po-polsku-raport-pwc-gsiss-2018.pdf"/>
    <hyperlink ref="J778" r:id="rId777" display="https://www.rp.pl/biznes/art43711681-rynek-cyberbezpieczenstwa-w-polsce-rosnie-jak-na-drozdzach"/>
    <hyperlink ref="J779" r:id="rId778" display="https://www.rp.pl/biznes/art43711681-rynek-cyberbezpieczenstwa-w-polsce-rosnie-jak-na-drozdzach"/>
    <hyperlink ref="J780" r:id="rId779" display="https://pro.rp.pl/raporty-ekonomiczne/art41624791-nadchodza-ciezkie-czasy-w-sieci-eksperci-wieszcza-potezne-zagrozenia"/>
    <hyperlink ref="J781" r:id="rId780" display="https://pro.rp.pl/raporty-ekonomiczne/art41624791-nadchodza-ciezkie-czasy-w-sieci-eksperci-wieszcza-potezne-zagrozenia"/>
    <hyperlink ref="J782" r:id="rId781" display="https://eli.gov.pl/api/acts/DU/2024/1662/text.html"/>
    <hyperlink ref="J783" r:id="rId782" display="https://eli.gov.pl/api/acts/DU/2024/1662/text.html"/>
    <hyperlink ref="J784" r:id="rId783" display="https://eli.gov.pl/api/acts/DU/2024/1662/text.html"/>
    <hyperlink ref="J785" r:id="rId784" display="https://eli.gov.pl/api/acts/DU/2026/252/text.pdf"/>
    <hyperlink ref="J786" r:id="rId785" display="https://eli.gov.pl/api/acts/DU/2026/252/text.pdf"/>
    <hyperlink ref="J787" r:id="rId786" display="https://eli.gov.pl/api/acts/DU/2026/252/text.pdf"/>
    <hyperlink ref="J788" r:id="rId787" display="https://eli.gov.pl/api/acts/DU/2026/252/text.pdf"/>
    <hyperlink ref="J789" r:id="rId788" display="https://eli.gov.pl/api/acts/DU/2026/252/text.pdf"/>
    <hyperlink ref="J790" r:id="rId789" display="https://eli.gov.pl/api/acts/DU/2026/252/text.pdf"/>
    <hyperlink ref="J791" r:id="rId790" display="https://www.statista.com/statistics/1489436/poland-market-size-of-cybersecurity-market/"/>
    <hyperlink ref="J792" r:id="rId791" display="https://www.verifiedmarketresearch.com/product/poland-cybersecurity-market/"/>
    <hyperlink ref="J793" r:id="rId792" display="https://www.verifiedmarketresearch.com/product/poland-cybersecurity-market/"/>
    <hyperlink ref="J794" r:id="rId793" display="https://cyfrowapolska.org/wp-content/uploads/2025/09/Raport_-_mapa_drogowa_polskiej_cyberodpornosci_2025_-1.pdf"/>
    <hyperlink ref="J795" r:id="rId794" display="https://cyfrowapolska.org/wp-content/uploads/2025/09/Raport_-_mapa_drogowa_polskiej_cyberodpornosci_2025_-1.pdf"/>
    <hyperlink ref="J796" r:id="rId795" display="https://www.gns.gov.pt/docs/pa-2025.pdf"/>
    <hyperlink ref="J797" r:id="rId796" display="https://www.gns.gov.pt/docs/pa-2025.pdf"/>
    <hyperlink ref="J798" r:id="rId797" display="https://www.gns.gov.pt/docs/pa-2025.pdf"/>
    <hyperlink ref="J799" r:id="rId798" display="https://portugal.gov.pt/gc23/comunicacao/noticias/prr-vai-investir-47-milhoes-na-formacao-em-ciberseguranca"/>
    <hyperlink ref="J800" r:id="rId799" display="https://www.mordorintelligence.com/industry-reports/portugal-cybersecurity-market/market-size"/>
    <hyperlink ref="J801" r:id="rId800" display="https://www.mordorintelligence.com/industry-reports/portugal-cybersecurity-market"/>
    <hyperlink ref="J802" r:id="rId801" display="https://www.mordorintelligence.com/industry-reports/portugal-cybersecurity-market"/>
    <hyperlink ref="J803" r:id="rId802" display="https://www.mordorintelligence.com/industry-reports/portugal-cybersecurity-market"/>
    <hyperlink ref="J804" r:id="rId803" display="https://www.cncs.gov.pt/docs/relatorio-economia2022-obciber-cncs.pdf"/>
    <hyperlink ref="J805" r:id="rId804" display="https://www.cncs.gov.pt/docs/relatorio-economia2022-obciber-cncs.pdf"/>
    <hyperlink ref="J806" r:id="rId805" display="https://www.cncs.gov.pt/docs/rel-sociedade2025-obciber-cncs.pdf"/>
    <hyperlink ref="J807" r:id="rId806" display="https://www.cncs.gov.pt/docs/rel-sociedade2025-obciber-cncs.pdf"/>
    <hyperlink ref="J808" r:id="rId807" display="https://www.cncs.gov.pt/docs/rel-sociedade2025-obciber-cncs.pdf"/>
    <hyperlink ref="J809" r:id="rId808" display="https://www.cncs.gov.pt/docs/rel-sociedade2025-obciber-cncs.pdf"/>
    <hyperlink ref="J810" r:id="rId809" display="https://www.cncs.gov.pt/docs/rel-sociedade2025-obciber-cncs.pdf"/>
    <hyperlink ref="J811" r:id="rId810" display="https://www.europarl.europa.eu/RegData/etudes/BRIE/2025/772881/EPRS_BRI(2025)772881_EN.pdf"/>
    <hyperlink ref="J812" r:id="rId811" display="https://www.6wresearch.com/industry-report/czech-republic-information-security-consulting-market"/>
    <hyperlink ref="J813" r:id="rId812" display="https://www.6wresearch.com/industry-report/czech-republic-managed-security-services-market-2020-2026"/>
    <hyperlink ref="J814" r:id="rId813" display="https://www.6wresearch.com/industry-report/czech-republic-security-and-vulnerability-management-market"/>
    <hyperlink ref="J815" r:id="rId814" display="https://feedit.cz/2026/03/23/vydaje-ceskych-firem-na-kybernetickou-bezpecnost-klesaji-tri-ctvrtiny-spolecnosti-za-ni-rocne-utrati-do-200-000-kc/"/>
    <hyperlink ref="J816" r:id="rId815" display="https://feedit.cz/2026/03/23/vydaje-ceskych-firem-na-kybernetickou-bezpecnost-klesaji-tri-ctvrtiny-spolecnosti-za-ni-rocne-utrati-do-200-000-kc/"/>
    <hyperlink ref="J817" r:id="rId816" display="https://my.idc.com/getdoc.jsp?containerId=prEUR251983724"/>
    <hyperlink ref="J818" r:id="rId817" display="https://my.idc.com/getdoc.jsp?containerId=prEUR253305325"/>
    <hyperlink ref="J819" r:id="rId818" display="https://dream.kotra.or.kr/kotranews/cms/news/actionKotraBoardDetail.do?SITE_NO=3&amp;MENU_ID=180&amp;CONTENTS_NO=1&amp;bbsGbn=243&amp;bbsSn=243&amp;pNttSn=231198"/>
    <hyperlink ref="J820" r:id="rId819" display="https://dream.kotra.or.kr/kotranews/cms/news/actionKotraBoardDetail.do?SITE_NO=3&amp;MENU_ID=180&amp;CONTENTS_NO=1&amp;bbsGbn=243&amp;bbsSn=243&amp;pNttSn=231198"/>
    <hyperlink ref="J821" r:id="rId820" display="https://dream.kotra.or.kr/kotranews/cms/news/actionKotraBoardDetail.do?SITE_NO=3&amp;MENU_ID=180&amp;CONTENTS_NO=1&amp;bbsGbn=243&amp;bbsSn=243&amp;pNttSn=231198"/>
    <hyperlink ref="J822" r:id="rId821" display="https://www.lupa.cz/aktuality/kyberurad-opet-dostane-vice-penez-rad-by-jeste-vice-celi-tlaku-na-platy-a-zajisteni-cinnosti/"/>
    <hyperlink ref="J823" r:id="rId822" display="https://www.lupa.cz/aktuality/kyberurad-opet-dostane-vice-penez-rad-by-jeste-vice-celi-tlaku-na-platy-a-zajisteni-cinnosti/"/>
    <hyperlink ref="J824" r:id="rId823" display="https://mf.gov.cz/cs/ministerstvo/media/tiskove-zpravy/2025/vlada-schvalila-navrh-statniho-rozpoctu-na-rok-202-61433"/>
    <hyperlink ref="J825" r:id="rId824" display="https://mf.gov.cz/cs/ministerstvo/media/tiskove-zpravy/2024/snemovna-schvalila-statni-rozpocet-na-rok-2025-57982"/>
    <hyperlink ref="J826" r:id="rId825" display="https://mf.gov.cz/cs/ministerstvo/media/tiskove-zpravy/2024/snemovna-schvalila-statni-rozpocet-na-rok-2025-57982"/>
    <hyperlink ref="J827" r:id="rId826" display="https://mv.gov.cz/npo/soubor/vyzva-c-41-verze-2-k-predkladani-zadosti-o-financni-podporu-predem-definovanym-projektum-v-ramci-narodniho-planu-obnovy-cr.aspx"/>
    <hyperlink ref="J828" r:id="rId827" display="https://mv.gov.cz/npo/soubor/vyzva-c-46-verze-2-k-predkladani-zadosti-o-financni-podporu-v-ramci-narodniho-planu-obnovy-cr.aspx"/>
    <hyperlink ref="J829" r:id="rId828" display="https://nukib.gov.cz/download/publikace/zpravy_o_stavu/Zprava-o-cinnosti-NUKIB-2025.pdf"/>
    <hyperlink ref="J830" r:id="rId829" display="https://nukib.gov.cz/download/publikace/zpravy_o_stavu/Zprava-o-cinnosti-NUKIB-2025.pdf"/>
    <hyperlink ref="J831" r:id="rId830" display="https://nukib.gov.cz/download/publikace/zpravy_o_stavu/Zprava_o_stavu_kyberneticke_bezpecnosti_CR_za_rok_2022.pdf"/>
    <hyperlink ref="J832" r:id="rId831" display="https://nukib.gov.cz/download/publikace/zpravy_o_stavu/Zprava_o_stavu_kyberneticke_bezpecnosti_CR_za_rok_2023.pdf"/>
    <hyperlink ref="J833" r:id="rId832" display="https://www.europarl.europa.eu/RegData/etudes/BRIE/2025/772881/EPRS_BRI(2025)772881_EN.pdf"/>
    <hyperlink ref="J834" r:id="rId833" display="https://www.systemonline.cz/it-security/trh-bezpecnostnich-reseni-v-cr-neustale-roste.htm"/>
    <hyperlink ref="J835" r:id="rId834" display="https://www.systemonline.cz/it-security/trh-bezpecnostnich-reseni-v-cr-neustale-roste.htm"/>
    <hyperlink ref="J836" r:id="rId835" display="https://www.systemonline.cz/it-security/trh-bezpecnostnich-reseni-v-cr-neustale-roste.htm"/>
    <hyperlink ref="J837" r:id="rId836" display="https://www.systemonline.cz/it-security/trh-bezpecnostnich-reseni-v-cr-neustale-roste.htm"/>
    <hyperlink ref="J838" r:id="rId837" display="https://www.systemonline.cz/it-security/trh-bezpecnostnich-reseni-v-cr-neustale-roste.htm"/>
    <hyperlink ref="J839" r:id="rId838" display="https://www.systemonline.cz/it-security/trh-bezpecnostnich-reseni-v-cr-neustale-roste.htm"/>
    <hyperlink ref="J840" r:id="rId839" display="https://www.systemonline.cz/it-security/trh-bezpecnostnich-reseni-v-cr-neustale-roste.htm"/>
    <hyperlink ref="J841" r:id="rId840" display="https://www.systemonline.cz/it-security/trh-bezpecnostnich-reseni-v-cr-neustale-roste.htm"/>
    <hyperlink ref="J842" r:id="rId841" display="https://www.systemonline.cz/it-security/trh-bezpecnostnich-reseni-v-cr-neustale-roste.htm"/>
    <hyperlink ref="J843" r:id="rId842" display="https://www.systemonline.cz/it-security/trh-bezpecnostnich-reseni-v-cr-neustale-roste.htm"/>
    <hyperlink ref="J844" r:id="rId843" display="https://www.tc.cz/files_public/files/strat-sec-studie-trhu_2.pdf"/>
    <hyperlink ref="J845" r:id="rId844" display="https://www.tc.cz/files_public/files/strat-sec-studie-trhu_2.pdf"/>
    <hyperlink ref="J846" r:id="rId845" display="https://televizniweb.mediar.cz/2025/07/ceske-firmy-stale-podcenuji-kyberbezpecnost-rocne-za-ni-utrati-jen-do-100-000-kc/"/>
    <hyperlink ref="J847" r:id="rId846" display="https://televizniweb.mediar.cz/2025/07/ceske-firmy-stale-podcenuji-kyberbezpecnost-rocne-za-ni-utrati-jen-do-100-000-kc/"/>
    <hyperlink ref="J848" r:id="rId847" display="https://www.6wresearch.com/industry-report/romania-cybersecurity-market"/>
    <hyperlink ref="J849" r:id="rId848" display="https://www.6wresearch.com/industry-report/romania-managed-security-services-market-2020-2026"/>
    <hyperlink ref="J850" r:id="rId849" display="https://www.adrcentru.ro/pnrr-componenta7-digital/"/>
    <hyperlink ref="J851" r:id="rId850" display="https://www.adrcentru.ro/pnrr-componenta7-digital/"/>
    <hyperlink ref="J852" r:id="rId851" display="https://agerpres.ro/economic/2026/03/16/dinu-dnsc-piata-romaneasca-de-securitate-cibernetica-estimata-la-circa-200-de-milioane-de-euro-este---1537682"/>
    <hyperlink ref="J853" r:id="rId852" display="https://agerpres.ro/comunicate/2026/09/03/comunicat-de-presa---guvern--1590336"/>
    <hyperlink ref="J854" r:id="rId853" display="https://virtualboard.ro/produs/piata-de-cybersecurity-romania-2026/"/>
    <hyperlink ref="J855" r:id="rId854" display="https://curierulnational.ro/piata-de-securitate-cibernetica-din-romania-ar-putea-depasi-300-milioane-euro-pana-in-2030/"/>
    <hyperlink ref="J856" r:id="rId855" display="https://www.dnsc.ro/pagini/proiect-pnrr"/>
    <hyperlink ref="J857" r:id="rId856" display="https://jurnalul.ro/special-jurnalul/anchete/sri-salvatori-pnrr-achizitie-mamut-protectie-cibernetica-softuri-1026111.html"/>
    <hyperlink ref="J858" r:id="rId857" display="https://www.kenresearch.com/romania-cybersecurity-for-government-market"/>
    <hyperlink ref="J859" r:id="rId858" display="https://www.mordorintelligence.com/industry-reports/romania-cybersecurity-market/market-size"/>
    <hyperlink ref="J860" r:id="rId859" display="https://www.mordorintelligence.com/industry-reports/romania-cybersecurity-market/market-size"/>
    <hyperlink ref="J861" r:id="rId860" display="https://www.mordorintelligence.com/industry-reports/romania-cybersecurity-market/market-size"/>
    <hyperlink ref="J862" r:id="rId861" display="https://www.mordorintelligence.com/industry-reports/romania-cybersecurity-market/market-size"/>
    <hyperlink ref="J863" r:id="rId862" display="https://www.mordorintelligence.com/industry-reports/romania-cybersecurity-market"/>
    <hyperlink ref="J864" r:id="rId863" display="https://www.mordorintelligence.com/industry-reports/romania-cybersecurity-market"/>
    <hyperlink ref="J865" r:id="rId864" display="https://www.europarl.europa.eu/RegData/etudes/BRIE/2025/772881/EPRS_BRI(2025)772881_EN.pdf"/>
    <hyperlink ref="J866" r:id="rId865" display="https://startupcafe.ro/wp-content/uploads/2026/08/dnsc-raport-anual-2025.pdf"/>
    <hyperlink ref="J867" r:id="rId866" display="https://startupcafe.ro/wp-content/uploads/2026/08/dnsc-raport-anual-2025.pdf"/>
    <hyperlink ref="J868" r:id="rId867" display="https://www.teamfrance-export.fr/fiche-marche/tech-et-services/confiance-numerique-et-cybersecurite/RO"/>
    <hyperlink ref="J869" r:id="rId868" display="https://www.teamfrance-export.fr/fiche-marche/tech-et-services/confiance-numerique-et-cybersecurite/RO"/>
    <hyperlink ref="J870" r:id="rId869" display="https://www.6wresearch.com/industry-report/slovakia-cyber-security-market"/>
    <hyperlink ref="J871" r:id="rId870" display="https://www.6wresearch.com/industry-report/slovakia-penetration-testing-market"/>
    <hyperlink ref="J872" r:id="rId871" display="https://www.6wresearch.com/industry-report/slovakia-cyber-security-market"/>
    <hyperlink ref="J873" r:id="rId872" display="https://www.mfsr.sk/files/sk/financie/hodnota-za-peniaze/hodnotenia/informatizacia/hodnotenie_kybernastroj.pdf"/>
    <hyperlink ref="J874" r:id="rId873" display="https://www.mfsr.sk/files/sk/financie/hodnota-za-peniaze/hodnotenia/informatizacia/hodnotenie_kybernastroj.pdf"/>
    <hyperlink ref="J875" r:id="rId874" display="https://www.mfsr.sk/files/sk/financie/hodnota-za-peniaze/hodnotenia/informatizacia/hodnotenie_kyberneticka-bezpecnost-samosprave-do-6-000-obyvatelov.pdf"/>
    <hyperlink ref="J876" r:id="rId875" display="https://www.mfsr.sk/files/sk/financie/hodnota-za-peniaze/hodnotenia/informatizacia/hodnotenie_kyberneticka-bezpecnost-samosprave-do-6-000-obyvatelov.pdf"/>
    <hyperlink ref="J877" r:id="rId876" display="https://mirri.gov.sk/wp-content/uploads/2024/05/Indik_harmonogram_vyhlas_VaPV_v6.pdf"/>
    <hyperlink ref="J878" r:id="rId877" display="https://www.itapa.sk/data/att/060/10844.b0fc12.pdf"/>
    <hyperlink ref="J879" r:id="rId878" display="https://www.itapa.sk/data/att/060/10844.b0fc12.pdf"/>
    <hyperlink ref="J880" r:id="rId879" display="https://mirri.gov.sk/aktuality/digitalna-agenda/rezort-informatizacie-podporil-kyberneticku-bezpecnost-sumou-15-milionov-eur/"/>
    <hyperlink ref="J881" r:id="rId880" display="https://mirri.gov.sk/aktuality/digitalna-agenda/rezort-informatizacie-podporil-kyberneticku-bezpecnost-sumou-15-milionov-eur/"/>
    <hyperlink ref="J882" r:id="rId881" display="https://www.nbu.gov.sk/data/att/134.pdf"/>
    <hyperlink ref="J883" r:id="rId882" display="https://www.nbu.gov.sk/data/att/134.pdf"/>
    <hyperlink ref="J884" r:id="rId883" display="https://www.nbu.gov.sk/data/att/134.pdf"/>
    <hyperlink ref="J885" r:id="rId884" display="https://www.nbu.gov.sk/data/att/134.pdf"/>
    <hyperlink ref="J886" r:id="rId885" display="https://www.europarl.europa.eu/RegData/etudes/BRIE/2025/772881/EPRS_BRI(2025)772881_EN.pdf"/>
    <hyperlink ref="J887" r:id="rId886" display="https://www.trade.gov/country-commercial-guides/slovenia-information-and-communications-technology"/>
    <hyperlink ref="J888" r:id="rId887" display="https://www.gov.si/assets/ministrstva/MF/Proracun-direktorat/Drzavni-proracun/Zakljucni-racun/2022-ZR/Obrazlozitve-posebni-del/ZR2022-258-III_3_1544_UVIV.pdf"/>
    <hyperlink ref="J889" r:id="rId888" display="https://www.gov.si/assets/ministrstva/MF/Proracun-direktorat/Drzavni-proracun/Zakljucni-racun/2022-ZR/Obrazlozitve-posebni-del/ZR2022-258-III_3_1544_UVIV.pdf"/>
    <hyperlink ref="J890" r:id="rId889" display="https://www.uradni-list.si/files/RS_-2025-095-03358-OB~P002-0000.PDF"/>
    <hyperlink ref="J891" r:id="rId890" display="https://www.zdruzenjeobcin.si/wp-content/uploads/2025/04/VLADA-RS_PREDLOG-ZAKONA-O-INFORMACIJSKI-VARNOSTI_APRIL-2025.pdf"/>
    <hyperlink ref="J892" r:id="rId891" display="https://www.zdruzenjeobcin.si/wp-content/uploads/2025/04/VLADA-RS_PREDLOG-ZAKONA-O-INFORMACIJSKI-VARNOSTI_APRIL-2025.pdf"/>
    <hyperlink ref="J893" r:id="rId892" display="https://www.gov.si/novice/2025-09-18-vlada-uvrstila-vec-projektov-kibernetske-varnosti-v-veljavni-nacrt-razvojnih-programov-20252028/"/>
    <hyperlink ref="J894" r:id="rId893" display="https://www.gov.si/novice/2025-09-18-vlada-uvrstila-vec-projektov-kibernetske-varnosti-v-veljavni-nacrt-razvojnih-programov-20252028/"/>
    <hyperlink ref="J895" r:id="rId894" display="https://www.gov.si/novice/2025-09-18-vlada-uvrstila-vec-projektov-kibernetske-varnosti-v-veljavni-nacrt-razvojnih-programov-20252028/"/>
    <hyperlink ref="J896" r:id="rId895" display="https://www.gruppotim.it/content/dam/gt/centro-studi-tim/report-cybersecurity/cybersecurity%20made%20in%20italy_20230620.pdf"/>
    <hyperlink ref="J897" r:id="rId896" display="https://www.computing.es/mercado-ti/tendencias-en-espana-en-el-mercado-de-ti-para-2016/"/>
    <hyperlink ref="J898" r:id="rId897" display="https://www.dbk.es/es/detalle-nota/ciberseguridad-2023"/>
    <hyperlink ref="J899" r:id="rId898" display="https://www.dbk.es/es/detalle-nota/ciberseguridad-2023"/>
    <hyperlink ref="J900" r:id="rId899" display="https://www.dbk.es/es/detalle-nota/ciberseguridad-2023"/>
    <hyperlink ref="J901" r:id="rId900" display="https://www.dbk.es/es/detalle-nota/ciberseguridad-2025"/>
    <hyperlink ref="J902" r:id="rId901" display="https://www.dbk.es/es/detalle-nota/ciberseguridad-2025"/>
    <hyperlink ref="J903" r:id="rId902" display="https://www.dbk.es/es/detalle-nota/ciberseguridad-2025"/>
    <hyperlink ref="J904" r:id="rId903" display="https://www.dbk.es/es/detalle-nota/ciberseguridad-2025"/>
    <hyperlink ref="J905" r:id="rId904" display="https://www.dbk.es/es/detalle-nota/ciberseguridad-2025"/>
    <hyperlink ref="J906" r:id="rId905" display="https://www.dbk.es/es/detalle-nota/ciberseguridad-2025"/>
    <hyperlink ref="J907" r:id="rId906" display="https://www.deloitte.com/content/dam/assets-zone2/es/es/docs/services/risk-advisory/2023/Deloitte-ES-informe-CISOS-ciberseguridad.pdf"/>
    <hyperlink ref="J908" r:id="rId907" display="https://www.deloitte.com/content/dam/assets-zone2/es/es/docs/services/risk-advisory/2023/Deloitte-ES-informe-CISOS-ciberseguridad.pdf"/>
    <hyperlink ref="J909" r:id="rId908" display="https://www.deloitte.com/content/dam/assets-zone2/es/es/docs/services/risk-advisory/2023/Deloitte-ES-informe-CISOS-ciberseguridad.pdf"/>
    <hyperlink ref="J910" r:id="rId909" display="https://www.dsn.gob.es/es/actualidad/sala-de-prensa/plan-nacional-ciberseguridad-0"/>
    <hyperlink ref="J911" r:id="rId910" display="https://forbes.es/economia/664162/la-mediana-empresa-espanola-solo-destina-un-4-de-su-presupuesto-informatico-a-ciberseguridad-segun-cylum/"/>
    <hyperlink ref="J912" r:id="rId911" display="https://digital.gob.es/content/dam/portal-mtdfp/avance-digital/telecomunicacion-e-infraestructuras-digitales/areas_interes/%E2%80%8Bciberseguridad-y-despliegue-del-5g/Componente15.pdf"/>
    <hyperlink ref="J913" r:id="rId912" display="https://digital.gob.es/content/dam/portal-mtdfp/avance-digital/telecomunicacion-e-infraestructuras-digitales/areas_interes/%E2%80%8Bciberseguridad-y-despliegue-del-5g/Componente15.pdf"/>
    <hyperlink ref="J914" r:id="rId913" display="https://digital.gob.es/content/dam/portal-mtdfp/avance-digital/telecomunicacion-e-infraestructuras-digitales/areas_interes/%E2%80%8Bciberseguridad-y-despliegue-del-5g/Componente15.pdf"/>
    <hyperlink ref="J915" r:id="rId914" display="https://digital.gob.es/content/dam/portal-mtdfp/avance-digital/telecomunicacion-e-infraestructuras-digitales/areas_interes/%E2%80%8Bciberseguridad-y-despliegue-del-5g/Componente15.pdf"/>
    <hyperlink ref="J916" r:id="rId915" display="https://6740520.fs1.hubspotusercontent-na1.net/hubfs/6740520/ES_Files/IDC-Ciberseguridad-oct-2023-vf-maquetada-2.pdf"/>
    <hyperlink ref="J917" r:id="rId916" display="https://6740520.fs1.hubspotusercontent-na1.net/hubfs/6740520/ES_Files/IDC-Ciberseguridad-oct-2023-vf-maquetada-2.pdf"/>
    <hyperlink ref="J918" r:id="rId917" display="https://www.imarcgroup.com/spain-cybersecurity-market"/>
    <hyperlink ref="J919" r:id="rId918" display="https://www.imarcgroup.com/spain-cybersecurity-market"/>
    <hyperlink ref="J920" r:id="rId919" display="https://www.imarcgroup.com/europe-cybersecurity-market"/>
    <hyperlink ref="J921" r:id="rId920" display="https://www.incibe.es/sites/default/files/Emprendimiento/ESTUDIO%20ECOSISTEMA%20EMPRENDIMIENTO_0.pdf"/>
    <hyperlink ref="J922" r:id="rId921" display="https://www.incibe.es/sites/default/files/Emprendimiento/ESTUDIO%20ECOSISTEMA%20EMPRENDIMIENTO_0.pdf"/>
    <hyperlink ref="J923" r:id="rId922" display="https://www.incibe.es/incibe/sala-de-prensa/incibe-y-conetic-presentan-las-conclusiones-del-estudio-sobre-la-industria-de"/>
    <hyperlink ref="J924" r:id="rId923" display="https://www.incibe.es/incibe/sala-de-prensa/incibe-y-conetic-presentan-las-conclusiones-del-estudio-sobre-la-industria-de"/>
    <hyperlink ref="J925" r:id="rId924" display="https://www.incibe.es/incibe/sala-de-prensa/incibe-y-conetic-presentan-las-conclusiones-del-estudio-sobre-la-industria-de"/>
    <hyperlink ref="J926" r:id="rId925" display="https://www.mordorintelligence.com/fr/industry-reports/spain-cybersecurity-market/market-size"/>
    <hyperlink ref="J927" r:id="rId926" display="https://www.mordorintelligence.com/fr/industry-reports/spain-cybersecurity-market/market-size"/>
    <hyperlink ref="J928" r:id="rId927" display="https://www.mordorintelligence.com/industry-reports/spain-cybersecurity-market"/>
    <hyperlink ref="J929" r:id="rId928" display="https://www.mordorintelligence.com/industry-reports/spain-cybersecurity-market"/>
    <hyperlink ref="J930" r:id="rId929" display="https://www.mordorintelligence.com/industry-reports/spain-cybersecurity-market"/>
    <hyperlink ref="J931" r:id="rId930" display="https://www.mordorintelligence.com/industry-reports/spain-cybersecurity-market"/>
    <hyperlink ref="J932" r:id="rId931" display="https://www.europarl.europa.eu/RegData/etudes/BRIE/2025/772881/EPRS_BRI(2025)772881_EN.pdf"/>
    <hyperlink ref="J933" r:id="rId932" display="https://www.statista.com/forecasts/1499030/spain-cybersecurity-market-revenue"/>
    <hyperlink ref="J934" r:id="rId933" display="https://www.cbi.eu/market-information/outsourcing-itobpo/cybersecurity/market-potential"/>
    <hyperlink ref="J935" r:id="rId934" display="https://www.cisco.com/c/dam/global/sv_se/home/pdf/secure-digitalization-with-nis2-report-cisco-2023.pdf"/>
    <hyperlink ref="J936" r:id="rId935" display="https://www.cisco.com/c/dam/global/sv_se/home/pdf/secure-digitalization-with-nis2-report-cisco-2023.pdf"/>
    <hyperlink ref="J937" r:id="rId936" display="https://www.icex.es/content/dam/icex/centros/suecia/documentos/2025/estudio-mercado-ciberseguridad-suecia-2025-resumen.pdf"/>
    <hyperlink ref="J938" r:id="rId937" display="https://www.icex.es/content/dam/icex/centros/suecia/documentos/2025/estudio-mercado-ciberseguridad-suecia-2025-resumen.pdf"/>
    <hyperlink ref="J939" r:id="rId938" display="https://www.icex.es/content/dam/icex/centros/suecia/documentos/2025/estudio-mercado-ciberseguridad-suecia-2025-resumen.pdf"/>
    <hyperlink ref="J940" r:id="rId939" display="https://www.kommerskollegium.se/en/analyses-and-seminars/published/market-study/2025/the-swedish-market-for-cybersecurity/"/>
    <hyperlink ref="J941" r:id="rId940" display="https://www.kommerskollegium.se/en/analyses-and-seminars/published/market-study/2025/the-swedish-market-for-cybersecurity/"/>
    <hyperlink ref="J942" r:id="rId941" display="https://www.kommerskollegium.se/en/analyses-and-seminars/published/market-study/2025/the-swedish-market-for-cybersecurity/"/>
    <hyperlink ref="J943" r:id="rId942" display="https://www.mordorintelligence.com/industry-reports/nordics-cybersecurity-market"/>
    <hyperlink ref="J944" r:id="rId943" display="https://www.mordorintelligence.it/industry-reports/sweden-cybersecurity-market"/>
    <hyperlink ref="J945" r:id="rId944" display="https://www.mordorintelligence.it/industry-reports/sweden-cybersecurity-market"/>
    <hyperlink ref="J946" r:id="rId945" display="https://www.mordorintelligence.it/industry-reports/sweden-cybersecurity-market"/>
    <hyperlink ref="J947" r:id="rId946" display="https://www.mordorintelligence.com/industry-reports/sweden-cybersecurity-market"/>
    <hyperlink ref="J948" r:id="rId947" display="https://www.mordorintelligence.com/industry-reports/sweden-cybersecurity-market"/>
    <hyperlink ref="J949" r:id="rId948" display="https://www.mordorintelligence.com/industry-reports/sweden-cybersecurity-market"/>
    <hyperlink ref="J950" r:id="rId949" display="https://nordlo.com/wp-content/uploads/2024/04/nordlocybersakerhetsrapport-2024.pdf"/>
    <hyperlink ref="J951" r:id="rId950" display="https://nordlo.com/wp-content/uploads/2024/04/nordlocybersakerhetsrapport-2024.pdf"/>
    <hyperlink ref="J952" r:id="rId951" display="https://nordlo.com/wp-content/uploads/2024/04/nordlocybersakerhetsrapport-2024.pdf"/>
    <hyperlink ref="J953" r:id="rId952" display="https://nordlo.com/wp-content/uploads/2024/01/cybersakerhetsrapport.pdf"/>
    <hyperlink ref="J954" r:id="rId953" display="https://hub.radargrp.com/content/svensk-cybersakerhet-2025-behov-prioriteringar-och-forutsattningar-i-en-orolig-omvarld"/>
    <hyperlink ref="J955" r:id="rId954" display="https://www.regeringen.se/contentassets/9e2c6501b5814c71b03ae759eb32d80f/finansplan--utdrag-ur-budgetpropositionen-for-2026.pdf"/>
    <hyperlink ref="J956" r:id="rId955" display="https://www.regeringen.se/contentassets/9e2c6501b5814c71b03ae759eb32d80f/finansplan--utdrag-ur-budgetpropositionen-for-2026.pdf"/>
    <hyperlink ref="J957" r:id="rId956" display="https://www.regeringen.se/contentassets/9e2c6501b5814c71b03ae759eb32d80f/finansplan--utdrag-ur-budgetpropositionen-for-2026.pdf"/>
    <hyperlink ref="J958" r:id="rId957" display="https://www.regeringen.se/pressmeddelanden/2024/09/historisk-satsning-pa-cybersakerhet/"/>
    <hyperlink ref="J959" r:id="rId958" display="https://www.regeringen.se/pressmeddelanden/2025/09/nationell-satsning-pa-cybersakerhet/"/>
    <hyperlink ref="J960" r:id="rId959" display="https://www.regeringen.se/pressmeddelanden/2025/09/nationell-satsning-pa-cybersakerhet/"/>
    <hyperlink ref="J961" r:id="rId960" display="https://www.regeringen.se/pressmeddelanden/2025/09/nationell-satsning-pa-cybersakerhet/"/>
    <hyperlink ref="J962" r:id="rId961" display="https://www.regeringen.se/globalassets/regeringen/dokument/forsvarsdepartementet/presentationsbilder-fran-presstraff/2024/presstraff-23-september-2024/presentationsbilder-fran-presstraff-den-23-september-2024.pdf"/>
    <hyperlink ref="J963" r:id="rId962" display="https://www.6wresearch.com/industry-report/hungary-cyber-security-market"/>
    <hyperlink ref="J964" r:id="rId963" display="https://www.6wresearch.com/industry-report/hungary-security-as-a-service-market"/>
    <hyperlink ref="J965" r:id="rId964" display="https://www.6wresearch.com/industry-report/hungary-cyber-security-market"/>
    <hyperlink ref="J966" r:id="rId965" display="https://my.idc.com/getdoc.jsp?containerId=prEUR251983724"/>
    <hyperlink ref="J967" r:id="rId966" display="https://my.idc.com/getdoc.jsp?containerId=prEUR253305325"/>
    <hyperlink ref="J968" r:id="rId967" display="https://www.trade.gov/country-commercial-guides/hungary-digital-economy"/>
    <hyperlink ref="J969" r:id="rId968" display="https://www.trade.gov/country-commercial-guides/hungary-digital-economy"/>
    <hyperlink ref="J970" r:id="rId969" display="https://markwideresearch.com/hungary-cybersecurity-market"/>
    <hyperlink ref="J971" r:id="rId970" display="https://markwideresearch.com/hungary-cybersecurity-market"/>
    <hyperlink ref="J972" r:id="rId971" display="https://www.mordorintelligence.com/industry-reports/hungary-cybersecurity-market"/>
    <hyperlink ref="J973" r:id="rId972" display="https://www.mordorintelligence.com/industry-reports/hungary-cybersecurity-market"/>
    <hyperlink ref="J974" r:id="rId973" display="https://www.mordorintelligence.com/industry-reports/hungary-cybersecurity-market"/>
    <hyperlink ref="J975" r:id="rId974" display="https://www.mordorintelligence.com/industry-reports/hungary-cybersecurity-market"/>
    <hyperlink ref="J976" r:id="rId975" display="https://net.jogtar.hu/jogszabaly?docid=a2400069.tv"/>
    <hyperlink ref="J977" r:id="rId976" display="https://www.verifiedmarketresearch.com/product/hungary-cybersecurity-market/"/>
    <hyperlink ref="J978" r:id="rId977" display="https://www.verifiedmarketresearch.com/product/hungary-cybersecurity-market/"/>
    <hyperlink ref="J979" r:id="rId978" display="https://www.cbi.eu/market-information/outsourcing-itobpo/cybersecurity/market-potential"/>
    <hyperlink ref="J980" r:id="rId979" display="https://assets.publishing.service.gov.uk/government/uploads/system/uploads/attachment_data/file/1055565/Cyber_Sectoral_Analysis_2022_Report_V2.1.pdf"/>
    <hyperlink ref="J981" r:id="rId980" display="https://assets.publishing.service.gov.uk/government/uploads/system/uploads/attachment_data/file/1055565/Cyber_Sectoral_Analysis_2022_Report_V2.1.pdf"/>
    <hyperlink ref="J982" r:id="rId981" display="https://assets.publishing.service.gov.uk/media/5a803781ed915d74e33f9237/Cyber_Security_Breaches_Survey_2016_main_report_FINAL.pdf"/>
    <hyperlink ref="J983" r:id="rId982" display="https://assets.publishing.service.gov.uk/media/5a803781ed915d74e33f9237/Cyber_Security_Breaches_Survey_2016_main_report_FINAL.pdf"/>
    <hyperlink ref="J984" r:id="rId983" display="https://assets.publishing.service.gov.uk/media/5a803781ed915d74e33f9237/Cyber_Security_Breaches_Survey_2016_main_report_FINAL.pdf"/>
    <hyperlink ref="J985" r:id="rId984" display="https://assets.publishing.service.gov.uk/media/5a803781ed915d74e33f9237/Cyber_Security_Breaches_Survey_2016_main_report_FINAL.pdf"/>
    <hyperlink ref="J986" r:id="rId985" display="https://assets.publishing.service.gov.uk/media/5a803781ed915d74e33f9237/Cyber_Security_Breaches_Survey_2016_main_report_FINAL.pdf"/>
    <hyperlink ref="J987" r:id="rId986" display="https://assets.publishing.service.gov.uk/media/5a803781ed915d74e33f9237/Cyber_Security_Breaches_Survey_2016_main_report_FINAL.pdf"/>
    <hyperlink ref="J988" r:id="rId987" display="https://assets.publishing.service.gov.uk/media/5a803781ed915d74e33f9237/Cyber_Security_Breaches_Survey_2016_main_report_FINAL.pdf"/>
    <hyperlink ref="J989" r:id="rId988" display="https://assets.publishing.service.gov.uk/media/5a803781ed915d74e33f9237/Cyber_Security_Breaches_Survey_2016_main_report_FINAL.pdf"/>
    <hyperlink ref="J990" r:id="rId989" display="https://assets.publishing.service.gov.uk/media/5a7598a540f0b67b3d5c7bae/Cyber_Security_Breaches_Survey_2017_main_report_PUBLIC.pdf"/>
    <hyperlink ref="J991" r:id="rId990" display="https://assets.publishing.service.gov.uk/media/5a7598a540f0b67b3d5c7bae/Cyber_Security_Breaches_Survey_2017_main_report_PUBLIC.pdf"/>
    <hyperlink ref="J992" r:id="rId991" display="https://assets.publishing.service.gov.uk/media/5a7598a540f0b67b3d5c7bae/Cyber_Security_Breaches_Survey_2017_main_report_PUBLIC.pdf"/>
    <hyperlink ref="J993" r:id="rId992" display="https://assets.publishing.service.gov.uk/media/5a7598a540f0b67b3d5c7bae/Cyber_Security_Breaches_Survey_2017_main_report_PUBLIC.pdf"/>
    <hyperlink ref="J994" r:id="rId993" display="https://assets.publishing.service.gov.uk/media/5a7598a540f0b67b3d5c7bae/Cyber_Security_Breaches_Survey_2017_main_report_PUBLIC.pdf"/>
    <hyperlink ref="J995" r:id="rId994" display="https://assets.publishing.service.gov.uk/media/5a7598a540f0b67b3d5c7bae/Cyber_Security_Breaches_Survey_2017_main_report_PUBLIC.pdf"/>
    <hyperlink ref="J996" r:id="rId995" display="https://assets.publishing.service.gov.uk/media/5a7598a540f0b67b3d5c7bae/Cyber_Security_Breaches_Survey_2017_main_report_PUBLIC.pdf"/>
    <hyperlink ref="J997" r:id="rId996" display="https://assets.publishing.service.gov.uk/media/5a7598a540f0b67b3d5c7bae/Cyber_Security_Breaches_Survey_2017_main_report_PUBLIC.pdf"/>
    <hyperlink ref="J998" r:id="rId997" display="https://assets.publishing.service.gov.uk/media/5adf222ce5274a0d8209473e/Cyber_Security_Breaches_Survey_2018_-_Main_Report.pdf"/>
    <hyperlink ref="J999" r:id="rId998" display="https://assets.publishing.service.gov.uk/media/5adf222ce5274a0d8209473e/Cyber_Security_Breaches_Survey_2018_-_Main_Report.pdf"/>
    <hyperlink ref="J1000" r:id="rId999" display="https://assets.publishing.service.gov.uk/media/5adf222ce5274a0d8209473e/Cyber_Security_Breaches_Survey_2018_-_Main_Report.pdf"/>
    <hyperlink ref="J1001" r:id="rId1000" display="https://assets.publishing.service.gov.uk/media/5adf222ce5274a0d8209473e/Cyber_Security_Breaches_Survey_2018_-_Main_Report.pdf"/>
    <hyperlink ref="J1002" r:id="rId1001" display="https://assets.publishing.service.gov.uk/media/5adf222ce5274a0d8209473e/Cyber_Security_Breaches_Survey_2018_-_Main_Report.pdf"/>
    <hyperlink ref="J1003" r:id="rId1002" display="https://assets.publishing.service.gov.uk/media/5adf222ce5274a0d8209473e/Cyber_Security_Breaches_Survey_2018_-_Main_Report.pdf"/>
    <hyperlink ref="J1004" r:id="rId1003" display="https://assets.publishing.service.gov.uk/media/5adf222ce5274a0d8209473e/Cyber_Security_Breaches_Survey_2018_-_Main_Report.pdf"/>
    <hyperlink ref="J1005" r:id="rId1004" display="https://assets.publishing.service.gov.uk/media/5adf222ce5274a0d8209473e/Cyber_Security_Breaches_Survey_2018_-_Main_Report.pdf"/>
    <hyperlink ref="J1006" r:id="rId1005" display="https://assets.publishing.service.gov.uk/media/5ff5bb478fa8f53b772750cf/Cyber_Security_Breaches_Survey_2019_-_Main_Report_-_revised_V2.pdf"/>
    <hyperlink ref="J1007" r:id="rId1006" display="https://assets.publishing.service.gov.uk/media/5ff5bb478fa8f53b772750cf/Cyber_Security_Breaches_Survey_2019_-_Main_Report_-_revised_V2.pdf"/>
    <hyperlink ref="J1008" r:id="rId1007" display="https://assets.publishing.service.gov.uk/media/5ff5bb478fa8f53b772750cf/Cyber_Security_Breaches_Survey_2019_-_Main_Report_-_revised_V2.pdf"/>
    <hyperlink ref="J1009" r:id="rId1008" display="https://assets.publishing.service.gov.uk/media/5ff5bb478fa8f53b772750cf/Cyber_Security_Breaches_Survey_2019_-_Main_Report_-_revised_V2.pdf"/>
    <hyperlink ref="J1010" r:id="rId1009" display="https://assets.publishing.service.gov.uk/media/5ff5bb478fa8f53b772750cf/Cyber_Security_Breaches_Survey_2019_-_Main_Report_-_revised_V2.pdf"/>
    <hyperlink ref="J1011" r:id="rId1010" display="https://assets.publishing.service.gov.uk/media/5ff5bb478fa8f53b772750cf/Cyber_Security_Breaches_Survey_2019_-_Main_Report_-_revised_V2.pdf"/>
    <hyperlink ref="J1012" r:id="rId1011" display="https://assets.publishing.service.gov.uk/media/5ff5bb478fa8f53b772750cf/Cyber_Security_Breaches_Survey_2019_-_Main_Report_-_revised_V2.pdf"/>
    <hyperlink ref="J1013" r:id="rId1012" display="https://assets.publishing.service.gov.uk/media/5ff5bb478fa8f53b772750cf/Cyber_Security_Breaches_Survey_2019_-_Main_Report_-_revised_V2.pdf"/>
    <hyperlink ref="J1014" r:id="rId1013" display="https://assets.publishing.service.gov.uk/media/601a893ee90e07128d62cd72/UK_Cyber_Sectoral_Analysis__2020__Report_V2.pdf"/>
    <hyperlink ref="J1015" r:id="rId1014" display="https://assets.publishing.service.gov.uk/media/601a893ee90e07128d62cd72/UK_Cyber_Sectoral_Analysis__2020__Report_V2.pdf"/>
    <hyperlink ref="J1016" r:id="rId1015" display="https://assets.publishing.service.gov.uk/government/uploads/system/uploads/attachment_data/file/962413/UK_Cyber_Security_Sectoral_Analysis__2021_.pdf"/>
    <hyperlink ref="J1017" r:id="rId1016" display="https://assets.publishing.service.gov.uk/media/602d5011e90e0709e3127477/UK_Cyber_Security_Sectoral_Analysis__2021_.pdf"/>
    <hyperlink ref="J1018" r:id="rId1017" display="https://assets.publishing.service.gov.uk/media/5bd1a221ed915d78c4c8a2ab/UK_Cyber_Sector_Report_-__June_2018.pdf"/>
    <hyperlink ref="J1019" r:id="rId1018" display="https://assets.publishing.service.gov.uk/media/5bd1a221ed915d78c4c8a2ab/UK_Cyber_Sector_Report_-__June_2018.pdf"/>
    <hyperlink ref="J1020" r:id="rId1019" display="https://www.gov.uk/government/news/new-cyber-action-plan-to-tackle-threats-and-strengthen-public-services"/>
    <hyperlink ref="J1021" r:id="rId1020" display="https://www.gov.uk/government/publications/cyber-security-sectoral-analysis-2023/uk-cyber-security-sectoral-analysis-2023"/>
    <hyperlink ref="J1022" r:id="rId1021" display="https://www.gov.uk/government/publications/cyber-security-sectoral-analysis-2023/uk-cyber-security-sectoral-analysis-2023"/>
    <hyperlink ref="J1023" r:id="rId1022" display="https://www.gov.uk/government/publications/cyber-security-sectoral-analysis-2024/cyber-security-sectoral-analysis-2024"/>
    <hyperlink ref="J1024" r:id="rId1023" display="https://www.gov.uk/government/publications/cyber-security-sectoral-analysis-2024/cyber-security-sectoral-analysis-2024"/>
    <hyperlink ref="J1025" r:id="rId1024" display="https://www.gov.uk/government/publications/cyber-security-sectoral-analysis-2025/cyber-security-sectoral-analysis-2025"/>
    <hyperlink ref="J1026" r:id="rId1025" display="https://www.gov.uk/government/publications/cyber-security-sectoral-analysis-2025/cyber-security-sectoral-analysis-2025"/>
    <hyperlink ref="J1027" r:id="rId1026" display="https://www.gov.uk/government/publications/cyber-security-sectoral-analysis-2025/cyber-security-sectoral-analysis-2025"/>
    <hyperlink ref="J1028" r:id="rId1027" display="https://www.gov.uk/government/publications/cyber-security-sectoral-analysis-2026/cyber-security-sectoral-analysis-2026"/>
    <hyperlink ref="J1029" r:id="rId1028" display="https://www.gov.uk/government/publications/cyber-security-sectoral-analysis-2026/cyber-security-sectoral-analysis-2026"/>
    <hyperlink ref="J1030" r:id="rId1029" display="https://www.gov.uk/government/publications/cyber-security-sectoral-analysis-2026/cyber-security-sectoral-analysis-2026"/>
    <hyperlink ref="J1031" r:id="rId1030" display="https://www.gov.uk/government/publications/cyber-security-sectoral-analysis-2026/cyber-security-sectoral-analysis-2026"/>
    <hyperlink ref="J1032" r:id="rId1031" display="https://www.gov.uk/government/publications/cyber-security-sectoral-analysis-2026/cyber-security-sectoral-analysis-2026"/>
    <hyperlink ref="J1033" r:id="rId1032" display="https://www.gov.uk/government/publications/cyber-security-sectoral-analysis-2026/cyber-security-sectoral-analysis-2026"/>
    <hyperlink ref="J1034" r:id="rId1033" display="https://www.gov.uk/government/publications/cyber-security-sectoral-analysis-2026/cyber-security-sectoral-analysis-2026"/>
    <hyperlink ref="J1035" r:id="rId1034" display="https://www.fortunebusinessinsights.com/industry-reports/cyber-security-market-101165"/>
    <hyperlink ref="J1036" r:id="rId1035" display="https://www.grandviewresearch.com/horizon/outlook/cyber-security-services-market/uk"/>
    <hyperlink ref="J1037" r:id="rId1036" display="https://www.grandviewresearch.com/horizon/outlook/cyber-security-services-market/uk"/>
    <hyperlink ref="J1038" r:id="rId1037" display="https://www.grandviewresearch.com/horizon/outlook/cyber-security-market/uk"/>
    <hyperlink ref="J1039" r:id="rId1038" display="https://www.grandviewresearch.com/horizon/outlook/cyber-security-market/uk"/>
    <hyperlink ref="J1040" r:id="rId1039" display="https://www.gov.uk/government/publications/national-cyber-strategy-2022/national-cyber-security-strategy-2022"/>
    <hyperlink ref="J1041" r:id="rId1040" display="https://www.gov.uk/government/publications/national-cyber-strategy-2022/national-cyber-security-strategy-2022"/>
    <hyperlink ref="J1042" r:id="rId1041" display="https://assets.publishing.service.gov.uk/media/5a81914de5274a2e8ab54ae9/national_cyber_security_strategy_2016.pdf"/>
    <hyperlink ref="J1043" r:id="rId1042" display="https://www.imarcgroup.com/uk-cybersecurity-market"/>
    <hyperlink ref="J1044" r:id="rId1043" display="https://www.imarcgroup.com/uk-cybersecurity-market"/>
    <hyperlink ref="J1045" r:id="rId1044" display="https://www.imarcgroup.com/uk-cybersecurity-market"/>
    <hyperlink ref="J1046" r:id="rId1045" display="https://www.kenresearch.com/uk-cybersecurity-in-government-services-market"/>
    <hyperlink ref="J1047" r:id="rId1046" display="https://www.kenresearch.com/uk-cybersecurity-market"/>
    <hyperlink ref="J1048" r:id="rId1047" display="https://www.mordorintelligence.com/industry-reports/uk-cybersecurity-market"/>
    <hyperlink ref="J1049" r:id="rId1048" display="https://www.mordorintelligence.com/industry-reports/uk-cybersecurity-market"/>
    <hyperlink ref="J1050" r:id="rId1049" display="https://www.mordorintelligence.com/industry-reports/uk-cybersecurity-market"/>
    <hyperlink ref="J1051" r:id="rId1050" display="https://www.mordorintelligence.com/industry-reports/uk-cybersecurity-market"/>
    <hyperlink ref="J1052" r:id="rId1051" display="https://www.mordorintelligence.com/industry-reports/uk-cybersecurity-market"/>
    <hyperlink ref="J1053" r:id="rId1052" display="https://www.mordorintelligence.com/industry-reports/uk-cybersecurity-market"/>
    <hyperlink ref="J1054" r:id="rId1053" display="https://www.nao.org.uk/wp-content/uploads/2025/01/government-cyber-resilience.pdf"/>
    <hyperlink ref="J1055" r:id="rId1054" display="https://www.nao.org.uk/wp-content/uploads/2019/03/Progress-of-the-2016-2021-National-Cyber-Security-Programme.pdf"/>
    <hyperlink ref="J1056" r:id="rId1055" display="https://www.nao.org.uk/wp-content/uploads/2019/03/Progress-of-the-2016-2021-National-Cyber-Security-Programme.pdf"/>
    <hyperlink ref="J1057" r:id="rId1056" display="https://www.pwc.co.uk/press-room/press-releases/research-commentary/2024/law-firm-performance-surpasses-expectations-with-continued-growt.html"/>
    <hyperlink ref="J1058" r:id="rId1057" display="https://www.pwc.co.uk/press-room/press-releases/research-commentary/2024/law-firm-performance-surpasses-expectations-with-continued-growt.html"/>
    <hyperlink ref="J1059" r:id="rId1058" display="https://www.pwc.co.uk/press-room/press-releases/research-commentary/2024/law-firm-performance-surpasses-expectations-with-continued-growt.html"/>
    <hyperlink ref="J1060" r:id="rId1059" display="https://www.pwc.co.uk/industries/law-firms/law-firms-survey-2025.pdf"/>
    <hyperlink ref="J1061" r:id="rId1060" display="https://www.pwc.co.uk/industries/law-firms/law-firms-survey-2025.pdf"/>
    <hyperlink ref="J1062" r:id="rId1061" display="https://www.statista.com/forecasts/1499043/revenue-cybersecurity-cybersecurity-market-united-kingdom"/>
    <hyperlink ref="J1063" r:id="rId1062" display="https://www.statista.com/study/124902/cybersecurity-report/"/>
    <hyperlink ref="J1064" r:id="rId1063" display="https://www.6wresearch.com/industry-report/europe-cyber-security-market"/>
    <hyperlink ref="J1065" r:id="rId1064" display="https://www.6wresearch.com/industry-report/europe-cyber-security-market"/>
    <hyperlink ref="J1066" r:id="rId1065" display="https://www.bdo.nl/getmedia/46087d8a-7d9a-4831-8e1c-fe8482cb676a/Global-and-European-Cybersecurity-Industry.pdf"/>
    <hyperlink ref="J1067" r:id="rId1066" display="https://www.bdo.nl/getmedia/46087d8a-7d9a-4831-8e1c-fe8482cb676a/Global-and-European-Cybersecurity-Industry.pdf"/>
    <hyperlink ref="J1068" r:id="rId1067" display="https://www.bdo.nl/getmedia/46087d8a-7d9a-4831-8e1c-fe8482cb676a/Global-and-European-Cybersecurity-Industry.pdf"/>
    <hyperlink ref="J1069" r:id="rId1068" display="https://www.bdo.nl/getmedia/46087d8a-7d9a-4831-8e1c-fe8482cb676a/Global-and-European-Cybersecurity-Industry.pdf"/>
    <hyperlink ref="J1070" r:id="rId1069" display="https://www.bdo.nl/getmedia/46087d8a-7d9a-4831-8e1c-fe8482cb676a/Global-and-European-Cybersecurity-Industry.pdf"/>
    <hyperlink ref="J1071" r:id="rId1070" display="https://www.bdo.nl/getmedia/46087d8a-7d9a-4831-8e1c-fe8482cb676a/Global-and-European-Cybersecurity-Industry.pdf"/>
    <hyperlink ref="J1072" r:id="rId1071" display="https://www.bdo.nl/getmedia/46087d8a-7d9a-4831-8e1c-fe8482cb676a/Global-and-European-Cybersecurity-Industry.pdf"/>
    <hyperlink ref="J1073" r:id="rId1072" display="https://www.bdo.nl/getmedia/46087d8a-7d9a-4831-8e1c-fe8482cb676a/Global-and-European-Cybersecurity-Industry.pdf"/>
    <hyperlink ref="J1074" r:id="rId1073" display="https://www.bdo.nl/getmedia/46087d8a-7d9a-4831-8e1c-fe8482cb676a/Global-and-European-Cybersecurity-Industry.pdf"/>
    <hyperlink ref="J1075" r:id="rId1074" display="https://www.bdo.nl/getmedia/46087d8a-7d9a-4831-8e1c-fe8482cb676a/Global-and-European-Cybersecurity-Industry.pdf"/>
    <hyperlink ref="J1076" r:id="rId1075" display="https://www.bitkom.org/Presse/Presseinformation/Cybersicherheit-Deutscher-Markt-ueber-10-Milliarden-Marke"/>
    <hyperlink ref="J1077" r:id="rId1076" display="https://www.bitkom.org/print/pdf/node/25332"/>
    <hyperlink ref="J1078" r:id="rId1077" display="https://www.bitkom.org/print/pdf/node/25332"/>
    <hyperlink ref="J1079" r:id="rId1078" display="https://www.cbi.eu/market-information/outsourcing-itobpo/cybersecurity/market-potential"/>
    <hyperlink ref="J1080" r:id="rId1079" display="https://www.cbi.eu/market-information/outsourcing-itobpo/cybersecurity/market-potential"/>
    <hyperlink ref="J1081" r:id="rId1080" display="https://www.cognitivemarketresearch.com/cybersecurity-market-report"/>
    <hyperlink ref="J1082" r:id="rId1081" display="https://www.cognitivemarketresearch.com/cybersecurity-market-report"/>
    <hyperlink ref="J1083" r:id="rId1082" display="https://www.cognitivemarketresearch.com/cybersecurity-market-report"/>
    <hyperlink ref="J1084" r:id="rId1083" display="https://www.cognitivemarketresearch.com/cybersecurity-software-market-report"/>
    <hyperlink ref="J1085" r:id="rId1084" display="https://www.cognitivemarketresearch.com/cybersecurity-software-market-report"/>
    <hyperlink ref="J1086" r:id="rId1085" display="https://www.cognitivemarketresearch.com/cybersecurity-software-market-report"/>
    <hyperlink ref="J1087" r:id="rId1086" display="https://op.europa.eu/o/opportal-service/download-handler?identifier=fa9b11af-6d4a-11f1-ae88-01aa75ed71a1&amp;format=PDF&amp;language=en&amp;productionSystem=cellar"/>
    <hyperlink ref="J1088" r:id="rId1087" display="https://op.europa.eu/o/opportal-service/download-handler?identifier=fa9b11af-6d4a-11f1-ae88-01aa75ed71a1&amp;format=PDF&amp;language=en&amp;productionSystem=cellar"/>
    <hyperlink ref="J1089" r:id="rId1088" display="https://dimensionmarketresearch.com/report/europe-cybersecurity-market/"/>
    <hyperlink ref="J1090" r:id="rId1089" display="https://dimensionmarketresearch.com/report/europe-cybersecurity-market/"/>
    <hyperlink ref="J1091" r:id="rId1090" display="https://ecs-org.eu/ecso-uploads/2022/10/59e615c9dd8f1.pdf"/>
    <hyperlink ref="J1092" r:id="rId1091" display="https://ecs-org.eu/ecso-uploads/2022/10/61dbf641ebada.pdf"/>
    <hyperlink ref="J1093" r:id="rId1092" display="https://www.enisa.europa.eu/sites/default/files/all_files/2017-07-13%20ENISA%20contrib%20to%20EU%20CSS%20review%20V%20B%20final.pdf"/>
    <hyperlink ref="J1094" r:id="rId1093" display="https://www.enisa.europa.eu/sites/default/files/all_files/2017-07-13%20ENISA%20contrib%20to%20EU%20CSS%20review%20V%20B%20final.pdf"/>
    <hyperlink ref="J1095" r:id="rId1094" display="https://www.enisa.europa.eu/sites/default/files/publications/CSPA%20-%20NIS%20Investments%20-%202023.pdf"/>
    <hyperlink ref="J1096" r:id="rId1095" display="https://www.enisa.europa.eu/sites/default/files/publications/CSPA%20-%20NIS%20Investments%20-%202023.pdf"/>
    <hyperlink ref="J1097" r:id="rId1096" display="https://www.enisa.europa.eu/sites/default/files/publications/CSPA%20-%20NIS%20Investments%20-%202023.pdf"/>
    <hyperlink ref="J1098" r:id="rId1097" display="https://www.fortunebusinessinsights.com/industry-reports/cyber-security-market-101165?key5sk1=f54b506722f3f6b72e6b2c2e1aaac2cc1e2a057d&amp;af=7639"/>
    <hyperlink ref="J1099" r:id="rId1098" display="https://www.fortunebusinessinsights.com/industry-reports/cyber-security-market-101165"/>
    <hyperlink ref="J1100" r:id="rId1099" display="https://www.fortunebusinessinsights.com/industry-reports/cyber-security-market-101165"/>
    <hyperlink ref="J1101" r:id="rId1100" display="https://www.frost.com/files/7214/9324/1278/Fortinet_Award_Write_Up.pdf"/>
    <hyperlink ref="J1102" r:id="rId1101" display="https://www.gartner.com/en/articles/information-security"/>
    <hyperlink ref="J1103" r:id="rId1102" display="https://www.gartner.com/en/articles/information-security"/>
    <hyperlink ref="J1104" r:id="rId1103" display="https://www.gartner.com/en/newsroom/press-releases/2024-11-07-gartner-forecasts--it-sending-in-europe-to-grow-9-percent-in-2025"/>
    <hyperlink ref="J1105" r:id="rId1104" display="https://www.grandviewresearch.com/industry-analysis/europe-cyber-security-market-report"/>
    <hyperlink ref="J1106" r:id="rId1105" display="https://www.grandviewresearch.com/industry-analysis/europe-cyber-security-market-report"/>
    <hyperlink ref="J1107" r:id="rId1106" display="https://www.grandviewresearch.com/industry-analysis/europe-cyber-security-market-report"/>
    <hyperlink ref="J1108" r:id="rId1107" display="https://www.grandviewresearch.com/industry-analysis/europe-cyber-security-market-report"/>
    <hyperlink ref="J1109" r:id="rId1108" display="https://www.grandviewresearch.com/horizon/outlook/cyber-security-market/europe"/>
    <hyperlink ref="J1110" r:id="rId1109" display="https://www.grandviewresearch.com/horizon/outlook/cyber-security-market/europe"/>
    <hyperlink ref="J1111" r:id="rId1110" display="https://www.grandviewresearch.com/horizon/outlook/cyber-security-market/europe"/>
    <hyperlink ref="J1112" r:id="rId1111" display="https://www.idc.com/resource-center/blog/resource-region/3_223/page/28/"/>
    <hyperlink ref="J1113" r:id="rId1112" display="https://www.idc.com/resource-center/blog/resource-region/3_223/page/28/"/>
    <hyperlink ref="J1114" r:id="rId1113" display="https://www.zdnet.com/article/cybersecurity-this-is-how-firms-are-spending-their-budget-this-year/"/>
    <hyperlink ref="J1115" r:id="rId1114" display="https://www.zdnet.com/article/cybersecurity-this-is-how-firms-are-spending-their-budget-this-year/"/>
    <hyperlink ref="J1116" r:id="rId1115" display="https://www.zdnet.com/article/cybersecurity-this-is-how-firms-are-spending-their-budget-this-year/"/>
    <hyperlink ref="J1117" r:id="rId1116" display="https://www.zdnet.com/article/cybersecurity-this-is-how-firms-are-spending-their-budget-this-year/"/>
    <hyperlink ref="J1118" r:id="rId1117" display="https://www.zdnet.com/article/cybersecurity-this-is-how-firms-are-spending-their-budget-this-year/"/>
    <hyperlink ref="J1119" r:id="rId1118" display="https://www.zdnet.com/article/cybersecurity-this-is-how-firms-are-spending-their-budget-this-year/"/>
    <hyperlink ref="J1120" r:id="rId1119" display="https://www.zdnet.com/article/cybersecurity-this-is-how-firms-are-spending-their-budget-this-year/"/>
    <hyperlink ref="J1121" r:id="rId1120" display="https://www.thefastmode.com/technology-and-solution-trends/27038-european-it-security-spending-to-continue-to-rise-at-sustained-pace-says-idc"/>
    <hyperlink ref="J1122" r:id="rId1121" display="https://www.thefastmode.com/technology-and-solution-trends/27038-european-it-security-spending-to-continue-to-rise-at-sustained-pace-says-idc"/>
    <hyperlink ref="J1123" r:id="rId1122" display="https://www.thefastmode.com/technology-and-solution-trends/27038-european-it-security-spending-to-continue-to-rise-at-sustained-pace-says-idc"/>
    <hyperlink ref="J1124" r:id="rId1123" display="https://www.thefastmode.com/technology-and-solution-trends/27038-european-it-security-spending-to-continue-to-rise-at-sustained-pace-says-idc"/>
    <hyperlink ref="J1125" r:id="rId1124" display="https://www.thefastmode.com/technology-and-solution-trends/27038-european-it-security-spending-to-continue-to-rise-at-sustained-pace-says-idc"/>
    <hyperlink ref="J1126" r:id="rId1125" display="https://my.idc.com/getdoc.jsp?containerId=prEUR251983724"/>
    <hyperlink ref="J1127" r:id="rId1126" display="https://my.idc.com/getdoc.jsp?containerId=prEUR251983724"/>
    <hyperlink ref="J1128" r:id="rId1127" display="https://my.idc.com/getdoc.jsp?containerId=prEUR251983724"/>
    <hyperlink ref="J1129" r:id="rId1128" display="https://my.idc.com/getdoc.jsp?containerId=prEUR251983724"/>
    <hyperlink ref="J1130" r:id="rId1129" display="https://my.idc.com/getdoc.jsp?containerId=prEUR251983724"/>
    <hyperlink ref="J1131" r:id="rId1130" display="https://my.idc.com/getdoc.jsp?containerId=prEUR253305325"/>
    <hyperlink ref="J1132" r:id="rId1131" display="https://my.idc.com/getdoc.jsp?containerId=prEUR253305325"/>
    <hyperlink ref="J1133" r:id="rId1132" display="https://my.idc.com/getdoc.jsp?containerId=prEUR253305325"/>
    <hyperlink ref="J1134" r:id="rId1133" display="https://my.idc.com/getdoc.jsp?containerId=prEUR253305325"/>
    <hyperlink ref="J1135" r:id="rId1134" display="https://my.idc.com/getdoc.jsp?containerId=prEUR253305325"/>
    <hyperlink ref="J1136" r:id="rId1135" display="https://my.idc.com/eu/events/71329-idc-security-forum?g_clang=ENG"/>
    <hyperlink ref="J1137" r:id="rId1136" display="https://my.idc.com/eu/events/71329-idc-security-forum?g_clang=ENG"/>
    <hyperlink ref="J1138" r:id="rId1137" display="https://event.idc.com/event/it-security-summit-uk/"/>
    <hyperlink ref="J1139" r:id="rId1138" display="https://event.idc.com/event/it-security-summit-uk/"/>
    <hyperlink ref="J1140" r:id="rId1139" display="https://www.imarcgroup.com/europe-cybersecurity-market"/>
    <hyperlink ref="J1141" r:id="rId1140" display="https://www.imarcgroup.com/europe-cybersecurity-market"/>
    <hyperlink ref="J1142" r:id="rId1141" display="https://www.imarcgroup.com/europe-cybersecurity-market"/>
    <hyperlink ref="J1143" r:id="rId1142" display="https://www.imarcgroup.com/europe-cybersecurity-market"/>
    <hyperlink ref="J1144" r:id="rId1143" display="https://www.imarcgroup.com/europe-cybersecurity-market"/>
    <hyperlink ref="J1145" r:id="rId1144" display="https://www.imarcgroup.com/europe-cybersecurity-market"/>
    <hyperlink ref="J1146" r:id="rId1145" display="https://www.imarcgroup.com/europe-cybersecurity-market"/>
    <hyperlink ref="J1147" r:id="rId1146" display="https://www.imarcgroup.com/europe-cybersecurity-market"/>
    <hyperlink ref="J1148" r:id="rId1147" display="https://www.kenresearch.com/industry-reports/europe-cyber-security-industry"/>
    <hyperlink ref="J1149" r:id="rId1148" display="https://www.marketdataforecast.com/market-reports/europe-cyber-security-market"/>
    <hyperlink ref="J1150" r:id="rId1149" display="https://www.marketdataforecast.com/market-reports/europe-cyber-security-market"/>
    <hyperlink ref="J1151" r:id="rId1150" display="https://www.marketdataforecast.com/market-reports/europe-cyber-security-market"/>
    <hyperlink ref="J1152" r:id="rId1151" display="https://www.marketdataforecast.com/market-reports/europe-cyber-security-market"/>
    <hyperlink ref="J1153" r:id="rId1152" display="https://www.marketsandmarkets.com/Market-Reports/europe-cybersecurity-market-156644743.html"/>
    <hyperlink ref="J1154" r:id="rId1153" display="https://www.marketsandmarkets.com/Market-Reports/europe-cybersecurity-market-156644743.html"/>
    <hyperlink ref="J1155" r:id="rId1154" display="https://www.marketsandmarkets.com/Market-Reports/europe-cybersecurity-market-156644743.html"/>
    <hyperlink ref="J1156" r:id="rId1155" display="https://www.marketsandmarkets.com/Market-Reports/geography/cyber-security-market/europe"/>
    <hyperlink ref="J1157" r:id="rId1156" display="https://www.marketsandmarkets.com/Market-Reports/geography/cyber-security-market/europe"/>
    <hyperlink ref="J1158" r:id="rId1157" display="https://www.mordorintelligence.com/industry-reports/europe-cybersecurity-market"/>
    <hyperlink ref="J1159" r:id="rId1158" display="https://www.mordorintelligence.com/industry-reports/europe-cybersecurity-market"/>
    <hyperlink ref="J1160" r:id="rId1159" display="https://www.mordorintelligence.com/industry-reports/europe-cybersecurity-market"/>
    <hyperlink ref="J1161" r:id="rId1160" display="https://www.mordorintelligence.com/industry-reports/europe-cybersecurity-market"/>
    <hyperlink ref="J1162" r:id="rId1161" display="https://www.mordorintelligence.com/industry-reports/europe-cybersecurity-market"/>
    <hyperlink ref="J1163" r:id="rId1162" display="https://www.mordorintelligence.com/industry-reports/europe-cybersecurity-market"/>
    <hyperlink ref="J1164" r:id="rId1163" display="https://www.mordorintelligence.com/industry-reports/europe-security-services-market"/>
    <hyperlink ref="J1165" r:id="rId1164" display="https://www.mordorintelligence.com/industry-reports/europe-security-services-market"/>
    <hyperlink ref="J1166" r:id="rId1165" display="https://www.mordorintelligence.com/industry-reports/europe-security-services-market"/>
    <hyperlink ref="J1167" r:id="rId1166" display="https://sitsi.pacanalyst.com/le-marche-europeen-de-la-cybersecurite-une-croissance-sans-limite/"/>
    <hyperlink ref="J1168" r:id="rId1167" display="https://sitsi.pacanalyst.com/le-marche-europeen-de-la-cybersecurite-une-croissance-sans-limite/"/>
    <hyperlink ref="J1169" r:id="rId1168" display="https://sitsi.pacanalyst.com/le-marche-europeen-de-la-cybersecurite-une-croissance-sans-limite/"/>
    <hyperlink ref="J1170" r:id="rId1169" display="https://sitsi.pacanalyst.com/le-marche-europeen-de-la-cybersecurite-une-croissance-sans-limite/"/>
    <hyperlink ref="J1171" r:id="rId1170" display="https://www.europarl.europa.eu/RegData/etudes/BRIE/2017/603231/EPRS_BRI(2017)603231_EN.pdf"/>
    <hyperlink ref="J1172" r:id="rId1171" display="https://www.europarl.europa.eu/RegData/etudes/BRIE/2017/603231/EPRS_BRI(2017)603231_EN.pdf"/>
    <hyperlink ref="J1173" r:id="rId1172" display="https://www.europarl.europa.eu/RegData/etudes/STUD/2017/603948/EPRS_STU(2017)603948_EN.pdf"/>
    <hyperlink ref="J1174" r:id="rId1173" display="https://www.europarl.europa.eu/RegData/etudes/STUD/2017/614531/EPRS_STU(2017)614531_EN.pdf"/>
    <hyperlink ref="J1175" r:id="rId1174" display="https://www.europarl.europa.eu/RegData/etudes/STUD/2025/778576/ECTI_STU(2025)778576_EN.pdf"/>
    <hyperlink ref="J1176" r:id="rId1175" display="https://www.researchandmarkets.com/reports/6241221/europe-cybersecurity-market-size-share-and-trends"/>
    <hyperlink ref="J1177" r:id="rId1176" display="https://www.researchandmarkets.com/reports/5978459/europe-cyber-security-market-outlook"/>
    <hyperlink ref="J1178" r:id="rId1177" display="https://www.statista.com/topics/12973/eu-cyber-resilience-act/"/>
    <hyperlink ref="J1179" r:id="rId1178" display="https://www.statista.com/forecasts/1498506/europe-cybersecurity-market-revenue"/>
    <hyperlink ref="J1180" r:id="rId1179" display="https://www.technavio.com/report/europe-cyber-security-market-industry-analysis"/>
    <hyperlink ref="J1181" r:id="rId1180" display="https://www.technavio.com/report/europe-cyber-security-market-industry-analysis"/>
    <hyperlink ref="J1182" r:id="rId1181" display="https://www.voice-ev.org/wp-content/uploads/2022/02/VOICE-Metrics-Trendstudie-IT-Agenda-2022-DE-v1-1.pdf"/>
    <hyperlink ref="J1183" r:id="rId1182" display="https://www.voice-ev.org/wp-content/uploads/2022/02/VOICE-Metrics-Trendstudie-IT-Agenda-2022-DE-v1-1.pdf"/>
    <hyperlink ref="J1184" r:id="rId1183" display="https://securex.pl/en/news/the-security-market-is-still-growing/"/>
    <hyperlink ref="J1185" r:id="rId1184" display="https://www.europarl.europa.eu/RegData/etudes/STUD/2017/614531/EPRS_STU(2017)614531_EN.pdf"/>
    <hyperlink ref="J1186" r:id="rId1185" display="https://www.europarl.europa.eu/RegData/etudes/STUD/2017/614531/EPRS_STU(2017)614531_EN.pdf"/>
    <hyperlink ref="J1187" r:id="rId1186" display="https://www.europarl.europa.eu/RegData/etudes/STUD/2017/614531/EPRS_STU(2017)614531_EN.pdf"/>
    <hyperlink ref="J1188" r:id="rId1187" display="https://image.marketing.deloitte.de/lib/fe31117075640474771d75/m/1/b1ee40e7-86b3-4de0-9900-dd20c86f2195.pdf"/>
    <hyperlink ref="J1189" r:id="rId1188" display="https://image.marketing.deloitte.de/lib/fe31117075640474771d75/m/1/b1ee40e7-86b3-4de0-9900-dd20c86f2195.pdf"/>
    <hyperlink ref="J1190" r:id="rId1189" display="https://www.idc.com/resource-center/blog/resource-region/3_223/page/24/"/>
    <hyperlink ref="J1191" r:id="rId1190" display="https://gokensai.com/blog/dach-cybersecurity-market-overview-2026/"/>
    <hyperlink ref="J1192" r:id="rId1191" display="https://markwideresearch.com/nordics-cybersecurity-market"/>
    <hyperlink ref="J1193" r:id="rId1192" display="https://www.mordorintelligence.com/industry-reports/nordics-cybersecurity-market/market-size"/>
    <hyperlink ref="J1194" r:id="rId1193" display="https://www.mordorintelligence.com/industry-reports/nordics-cybersecurity-market/market-size"/>
    <hyperlink ref="J1195" r:id="rId1194" display="https://www.mordorintelligence.com/industry-reports/nordics-cybersecurity-market"/>
    <hyperlink ref="J1196" r:id="rId1195" display="https://www.mordorintelligence.com/industry-reports/nordics-cybersecurity-market"/>
    <hyperlink ref="J1197" r:id="rId1196" display="https://www.mordorintelligence.com/industry-reports/nordics-cybersecurity-market"/>
    <hyperlink ref="J1198" r:id="rId1197" display="https://www.mordorintelligence.com/industry-reports/nordics-cybersecurity-market"/>
    <hyperlink ref="J1199" r:id="rId1198" display="https://www.mordorintelligence.com/industry-reports/nordics-cybersecurity-market"/>
    <hyperlink ref="J1200" r:id="rId1199" display="https://www.morganreedinsights.com/nordic-cybersecurity-market/"/>
    <hyperlink ref="J1201" r:id="rId1200" display="https://www.verifiedmarketresearch.com/product/nordics-cybersecurity-market/"/>
    <hyperlink ref="J1202" r:id="rId1201" display="https://www.verifiedmarketresearch.com/product/nordics-cybersecurity-market/"/>
    <hyperlink ref="J1203" r:id="rId1202" display="https://www.mordorintelligence.com/industry-reports/benelux-cybersecurity-market/market-size"/>
    <hyperlink ref="J1204" r:id="rId1203" display="https://www.mordorintelligence.com/industry-reports/benelux-cybersecurity-market/market-size"/>
    <hyperlink ref="J1205" r:id="rId1204" display="https://www.mordorintelligence.com/industry-reports/benelux-cybersecurity-market"/>
    <hyperlink ref="J1206" r:id="rId1205" display="https://www.mordorintelligence.com/industry-reports/benelux-cybersecurity-market"/>
    <hyperlink ref="J1207" r:id="rId1206" display="https://www.mordorintelligence.com/industry-reports/benelux-cybersecurity-market"/>
    <hyperlink ref="J1208" r:id="rId1207" display="https://www.mordorintelligence.com/industry-reports/benelux-cybersecurity-market"/>
    <hyperlink ref="J1209" r:id="rId1208" display="https://www.mordorintelligence.com/industry-reports/benelux-cybersecurity-market"/>
    <hyperlink ref="J1210" r:id="rId1209" display="https://www.mordorintelligence.com/industry-reports/benelux-cybersecurity-market"/>
    <hyperlink ref="J1211" r:id="rId1210" display="https://securex.pl/en/news/the-security-market-is-still-growing/"/>
    <hyperlink ref="J1212" r:id="rId1211" display="https://canalys.com/newsroom/cybersecurity-market-Q2-2023"/>
    <hyperlink ref="J1213" r:id="rId1212" display="https://www.canalys.com/newsroom/cybersecurity-market-share-Q3-2022"/>
    <hyperlink ref="J1214" r:id="rId1213" display="https://canalys.com/newsroom/cybersecurity-market-2022"/>
    <hyperlink ref="J1215" r:id="rId1214" display="https://www.frost.com/files/7214/9324/1278/Fortinet_Award_Write_Up.pdf"/>
    <hyperlink ref="J1216" r:id="rId1215" display="https://www.withsecure.com/wp-content/uploads/2026/06/MSP_Buyers_Guide_2026.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1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6"/>
    <col collapsed="false" customWidth="true" hidden="false" outlineLevel="0" max="3" min="3" style="0" width="44"/>
    <col collapsed="false" customWidth="true" hidden="false" outlineLevel="0" max="5" min="4" style="0" width="12"/>
    <col collapsed="false" customWidth="true" hidden="false" outlineLevel="0" max="7" min="6" style="0" width="40"/>
    <col collapsed="false" customWidth="true" hidden="false" outlineLevel="0" max="8" min="8" style="0" width="30"/>
    <col collapsed="false" customWidth="true" hidden="false" outlineLevel="0" max="9" min="9" style="0" width="18"/>
    <col collapsed="false" customWidth="true" hidden="false" outlineLevel="0" max="10" min="10" style="0" width="22"/>
    <col collapsed="false" customWidth="true" hidden="false" outlineLevel="0" max="11" min="11" style="0" width="70"/>
    <col collapsed="false" customWidth="true" hidden="false" outlineLevel="0" max="12" min="12" style="0" width="40"/>
    <col collapsed="false" customWidth="true" hidden="false" outlineLevel="0" max="13" min="13" style="0" width="34"/>
    <col collapsed="false" customWidth="true" hidden="false" outlineLevel="0" max="14" min="14" style="0" width="40"/>
    <col collapsed="false" customWidth="true" hidden="false" outlineLevel="0" max="15" min="15" style="0" width="20"/>
    <col collapsed="false" customWidth="true" hidden="false" outlineLevel="0" max="16" min="16" style="0" width="10"/>
    <col collapsed="false" customWidth="true" hidden="false" outlineLevel="0" max="17" min="17" style="0" width="24"/>
    <col collapsed="false" customWidth="true" hidden="false" outlineLevel="0" max="18" min="18" style="0" width="10"/>
  </cols>
  <sheetData>
    <row r="1" customFormat="false" ht="31.5" hidden="false" customHeight="true" outlineLevel="0" collapsed="false">
      <c r="A1" s="10" t="s">
        <v>9</v>
      </c>
      <c r="B1" s="10" t="s">
        <v>66</v>
      </c>
      <c r="C1" s="10" t="s">
        <v>6567</v>
      </c>
      <c r="D1" s="10" t="s">
        <v>6568</v>
      </c>
      <c r="E1" s="10" t="s">
        <v>69</v>
      </c>
      <c r="F1" s="10" t="s">
        <v>6569</v>
      </c>
      <c r="G1" s="10" t="s">
        <v>6570</v>
      </c>
      <c r="H1" s="10" t="s">
        <v>6571</v>
      </c>
      <c r="I1" s="10" t="s">
        <v>14</v>
      </c>
      <c r="J1" s="10" t="s">
        <v>18</v>
      </c>
      <c r="K1" s="10" t="s">
        <v>6572</v>
      </c>
      <c r="L1" s="10" t="s">
        <v>6573</v>
      </c>
      <c r="M1" s="10" t="s">
        <v>6574</v>
      </c>
      <c r="N1" s="10" t="s">
        <v>6575</v>
      </c>
      <c r="O1" s="10" t="s">
        <v>6576</v>
      </c>
      <c r="P1" s="10" t="s">
        <v>24</v>
      </c>
      <c r="Q1" s="10" t="s">
        <v>86</v>
      </c>
      <c r="R1" s="10" t="s">
        <v>6577</v>
      </c>
    </row>
    <row r="2" customFormat="false" ht="23.85" hidden="false" customHeight="false" outlineLevel="0" collapsed="false">
      <c r="A2" s="12" t="s">
        <v>4406</v>
      </c>
      <c r="B2" s="12" t="s">
        <v>2127</v>
      </c>
      <c r="C2" s="12" t="s">
        <v>6578</v>
      </c>
      <c r="D2" s="12" t="s">
        <v>847</v>
      </c>
      <c r="E2" s="12" t="s">
        <v>847</v>
      </c>
      <c r="F2" s="13" t="s">
        <v>6579</v>
      </c>
      <c r="G2" s="12"/>
      <c r="H2" s="12" t="s">
        <v>4407</v>
      </c>
      <c r="I2" s="12" t="s">
        <v>110</v>
      </c>
      <c r="J2" s="12" t="s">
        <v>112</v>
      </c>
      <c r="K2" s="18" t="s">
        <v>6580</v>
      </c>
      <c r="L2" s="18" t="s">
        <v>112</v>
      </c>
      <c r="M2" s="18" t="s">
        <v>112</v>
      </c>
      <c r="N2" s="18" t="s">
        <v>282</v>
      </c>
      <c r="O2" s="12" t="s">
        <v>282</v>
      </c>
      <c r="P2" s="12" t="s">
        <v>284</v>
      </c>
      <c r="Q2" s="12" t="s">
        <v>838</v>
      </c>
      <c r="R2" s="19" t="n">
        <f aca="false">COUNTIF(Dati!$B$2:$B$1216,A2)</f>
        <v>3</v>
      </c>
    </row>
    <row r="3" customFormat="false" ht="23.85" hidden="false" customHeight="false" outlineLevel="0" collapsed="false">
      <c r="A3" s="12" t="s">
        <v>2124</v>
      </c>
      <c r="B3" s="12" t="s">
        <v>2127</v>
      </c>
      <c r="C3" s="12" t="s">
        <v>6581</v>
      </c>
      <c r="D3" s="12" t="s">
        <v>6582</v>
      </c>
      <c r="E3" s="12" t="s">
        <v>847</v>
      </c>
      <c r="F3" s="13" t="s">
        <v>2129</v>
      </c>
      <c r="G3" s="12"/>
      <c r="H3" s="12" t="s">
        <v>2125</v>
      </c>
      <c r="I3" s="12" t="s">
        <v>110</v>
      </c>
      <c r="J3" s="12" t="s">
        <v>112</v>
      </c>
      <c r="K3" s="18" t="s">
        <v>6583</v>
      </c>
      <c r="L3" s="18" t="s">
        <v>112</v>
      </c>
      <c r="M3" s="18" t="s">
        <v>112</v>
      </c>
      <c r="N3" s="18" t="s">
        <v>282</v>
      </c>
      <c r="O3" s="12" t="s">
        <v>282</v>
      </c>
      <c r="P3" s="12" t="s">
        <v>284</v>
      </c>
      <c r="Q3" s="12" t="s">
        <v>838</v>
      </c>
      <c r="R3" s="19" t="n">
        <f aca="false">COUNTIF(Dati!$B$2:$B$1216,A3)</f>
        <v>2</v>
      </c>
    </row>
    <row r="4" customFormat="false" ht="57.45" hidden="false" customHeight="false" outlineLevel="0" collapsed="false">
      <c r="A4" s="12" t="s">
        <v>5752</v>
      </c>
      <c r="B4" s="12" t="s">
        <v>2127</v>
      </c>
      <c r="C4" s="12" t="s">
        <v>5754</v>
      </c>
      <c r="D4" s="12" t="s">
        <v>847</v>
      </c>
      <c r="E4" s="12" t="s">
        <v>847</v>
      </c>
      <c r="F4" s="13" t="s">
        <v>5755</v>
      </c>
      <c r="G4" s="13" t="s">
        <v>6584</v>
      </c>
      <c r="H4" s="12" t="s">
        <v>6585</v>
      </c>
      <c r="I4" s="12" t="s">
        <v>110</v>
      </c>
      <c r="J4" s="12" t="s">
        <v>201</v>
      </c>
      <c r="K4" s="18" t="s">
        <v>6586</v>
      </c>
      <c r="L4" s="18" t="s">
        <v>6587</v>
      </c>
      <c r="M4" s="18" t="s">
        <v>282</v>
      </c>
      <c r="N4" s="18" t="s">
        <v>282</v>
      </c>
      <c r="O4" s="12" t="s">
        <v>6588</v>
      </c>
      <c r="P4" s="12" t="s">
        <v>498</v>
      </c>
      <c r="Q4" s="12" t="s">
        <v>838</v>
      </c>
      <c r="R4" s="19" t="n">
        <f aca="false">COUNTIF(Dati!$B$2:$B$1216,A4)</f>
        <v>2</v>
      </c>
    </row>
    <row r="5" customFormat="false" ht="23.85" hidden="false" customHeight="false" outlineLevel="0" collapsed="false">
      <c r="A5" s="12" t="s">
        <v>5316</v>
      </c>
      <c r="B5" s="12" t="s">
        <v>2127</v>
      </c>
      <c r="C5" s="12" t="s">
        <v>6589</v>
      </c>
      <c r="D5" s="12" t="s">
        <v>847</v>
      </c>
      <c r="E5" s="12" t="s">
        <v>847</v>
      </c>
      <c r="F5" s="13" t="s">
        <v>5320</v>
      </c>
      <c r="G5" s="12"/>
      <c r="H5" s="12" t="s">
        <v>5317</v>
      </c>
      <c r="I5" s="12" t="s">
        <v>110</v>
      </c>
      <c r="J5" s="12" t="s">
        <v>112</v>
      </c>
      <c r="K5" s="18" t="s">
        <v>6590</v>
      </c>
      <c r="L5" s="18" t="s">
        <v>112</v>
      </c>
      <c r="M5" s="18" t="s">
        <v>112</v>
      </c>
      <c r="N5" s="18" t="s">
        <v>282</v>
      </c>
      <c r="O5" s="12" t="s">
        <v>282</v>
      </c>
      <c r="P5" s="12" t="s">
        <v>284</v>
      </c>
      <c r="Q5" s="12" t="s">
        <v>838</v>
      </c>
      <c r="R5" s="19" t="n">
        <f aca="false">COUNTIF(Dati!$B$2:$B$1216,A5)</f>
        <v>3</v>
      </c>
    </row>
    <row r="6" customFormat="false" ht="23.85" hidden="false" customHeight="false" outlineLevel="0" collapsed="false">
      <c r="A6" s="12" t="s">
        <v>3907</v>
      </c>
      <c r="B6" s="12" t="s">
        <v>2127</v>
      </c>
      <c r="C6" s="12" t="s">
        <v>3910</v>
      </c>
      <c r="D6" s="12" t="s">
        <v>847</v>
      </c>
      <c r="E6" s="12" t="s">
        <v>847</v>
      </c>
      <c r="F6" s="13" t="s">
        <v>3911</v>
      </c>
      <c r="G6" s="12"/>
      <c r="H6" s="12" t="s">
        <v>3908</v>
      </c>
      <c r="I6" s="12" t="s">
        <v>110</v>
      </c>
      <c r="J6" s="12" t="s">
        <v>112</v>
      </c>
      <c r="K6" s="18" t="s">
        <v>6591</v>
      </c>
      <c r="L6" s="18" t="s">
        <v>112</v>
      </c>
      <c r="M6" s="18" t="s">
        <v>112</v>
      </c>
      <c r="N6" s="18" t="s">
        <v>282</v>
      </c>
      <c r="O6" s="12" t="s">
        <v>282</v>
      </c>
      <c r="P6" s="12" t="s">
        <v>284</v>
      </c>
      <c r="Q6" s="12" t="s">
        <v>838</v>
      </c>
      <c r="R6" s="19" t="n">
        <f aca="false">COUNTIF(Dati!$B$2:$B$1216,A6)</f>
        <v>2</v>
      </c>
    </row>
    <row r="7" customFormat="false" ht="23.85" hidden="false" customHeight="false" outlineLevel="0" collapsed="false">
      <c r="A7" s="12" t="s">
        <v>4614</v>
      </c>
      <c r="B7" s="12" t="s">
        <v>2127</v>
      </c>
      <c r="C7" s="12" t="s">
        <v>6592</v>
      </c>
      <c r="D7" s="12" t="s">
        <v>847</v>
      </c>
      <c r="E7" s="12" t="s">
        <v>847</v>
      </c>
      <c r="F7" s="13" t="s">
        <v>4618</v>
      </c>
      <c r="G7" s="12"/>
      <c r="H7" s="12" t="s">
        <v>4615</v>
      </c>
      <c r="I7" s="12" t="s">
        <v>110</v>
      </c>
      <c r="J7" s="12" t="s">
        <v>112</v>
      </c>
      <c r="K7" s="18" t="s">
        <v>6593</v>
      </c>
      <c r="L7" s="18" t="s">
        <v>112</v>
      </c>
      <c r="M7" s="18" t="s">
        <v>112</v>
      </c>
      <c r="N7" s="18" t="s">
        <v>282</v>
      </c>
      <c r="O7" s="12" t="s">
        <v>282</v>
      </c>
      <c r="P7" s="12" t="s">
        <v>284</v>
      </c>
      <c r="Q7" s="12" t="s">
        <v>838</v>
      </c>
      <c r="R7" s="19" t="n">
        <f aca="false">COUNTIF(Dati!$B$2:$B$1216,A7)</f>
        <v>2</v>
      </c>
    </row>
    <row r="8" customFormat="false" ht="15" hidden="false" customHeight="false" outlineLevel="0" collapsed="false">
      <c r="A8" s="12" t="s">
        <v>4776</v>
      </c>
      <c r="B8" s="12" t="s">
        <v>2127</v>
      </c>
      <c r="C8" s="12" t="s">
        <v>6594</v>
      </c>
      <c r="D8" s="12" t="s">
        <v>847</v>
      </c>
      <c r="E8" s="12" t="s">
        <v>847</v>
      </c>
      <c r="F8" s="13" t="s">
        <v>4780</v>
      </c>
      <c r="G8" s="12"/>
      <c r="H8" s="12" t="s">
        <v>4777</v>
      </c>
      <c r="I8" s="12" t="s">
        <v>110</v>
      </c>
      <c r="J8" s="12" t="s">
        <v>112</v>
      </c>
      <c r="K8" s="18" t="s">
        <v>6595</v>
      </c>
      <c r="L8" s="18" t="s">
        <v>112</v>
      </c>
      <c r="M8" s="18" t="s">
        <v>112</v>
      </c>
      <c r="N8" s="18" t="s">
        <v>282</v>
      </c>
      <c r="O8" s="12" t="s">
        <v>282</v>
      </c>
      <c r="P8" s="12" t="s">
        <v>284</v>
      </c>
      <c r="Q8" s="12" t="s">
        <v>838</v>
      </c>
      <c r="R8" s="19" t="n">
        <f aca="false">COUNTIF(Dati!$B$2:$B$1216,A8)</f>
        <v>3</v>
      </c>
    </row>
    <row r="9" customFormat="false" ht="57.45" hidden="false" customHeight="false" outlineLevel="0" collapsed="false">
      <c r="A9" s="12" t="s">
        <v>6596</v>
      </c>
      <c r="B9" s="12" t="s">
        <v>2127</v>
      </c>
      <c r="C9" s="12" t="s">
        <v>6597</v>
      </c>
      <c r="D9" s="12" t="s">
        <v>847</v>
      </c>
      <c r="E9" s="12" t="s">
        <v>847</v>
      </c>
      <c r="F9" s="13" t="s">
        <v>6584</v>
      </c>
      <c r="G9" s="13" t="s">
        <v>6598</v>
      </c>
      <c r="H9" s="12" t="s">
        <v>6599</v>
      </c>
      <c r="I9" s="12" t="s">
        <v>110</v>
      </c>
      <c r="J9" s="12" t="s">
        <v>201</v>
      </c>
      <c r="K9" s="18" t="s">
        <v>6586</v>
      </c>
      <c r="L9" s="18" t="s">
        <v>6587</v>
      </c>
      <c r="M9" s="18" t="s">
        <v>282</v>
      </c>
      <c r="N9" s="18" t="s">
        <v>282</v>
      </c>
      <c r="O9" s="12" t="s">
        <v>6588</v>
      </c>
      <c r="P9" s="12" t="s">
        <v>498</v>
      </c>
      <c r="Q9" s="12" t="s">
        <v>838</v>
      </c>
      <c r="R9" s="19" t="n">
        <f aca="false">COUNTIF(Dati!$B$2:$B$1216,A9)</f>
        <v>0</v>
      </c>
    </row>
    <row r="10" customFormat="false" ht="15" hidden="false" customHeight="false" outlineLevel="0" collapsed="false">
      <c r="A10" s="12" t="s">
        <v>2849</v>
      </c>
      <c r="B10" s="12" t="s">
        <v>2852</v>
      </c>
      <c r="C10" s="12" t="s">
        <v>2853</v>
      </c>
      <c r="D10" s="12" t="s">
        <v>808</v>
      </c>
      <c r="E10" s="12" t="s">
        <v>808</v>
      </c>
      <c r="F10" s="13" t="s">
        <v>2854</v>
      </c>
      <c r="G10" s="12"/>
      <c r="H10" s="12" t="s">
        <v>2850</v>
      </c>
      <c r="I10" s="12" t="s">
        <v>394</v>
      </c>
      <c r="J10" s="12" t="s">
        <v>112</v>
      </c>
      <c r="K10" s="18" t="s">
        <v>2858</v>
      </c>
      <c r="L10" s="18" t="s">
        <v>112</v>
      </c>
      <c r="M10" s="18" t="s">
        <v>112</v>
      </c>
      <c r="N10" s="18" t="s">
        <v>282</v>
      </c>
      <c r="O10" s="12" t="s">
        <v>282</v>
      </c>
      <c r="P10" s="12" t="s">
        <v>115</v>
      </c>
      <c r="Q10" s="12" t="s">
        <v>116</v>
      </c>
      <c r="R10" s="19" t="n">
        <f aca="false">COUNTIF(Dati!$B$2:$B$1216,A10)</f>
        <v>1</v>
      </c>
    </row>
    <row r="11" customFormat="false" ht="15" hidden="false" customHeight="false" outlineLevel="0" collapsed="false">
      <c r="A11" s="12" t="s">
        <v>2861</v>
      </c>
      <c r="B11" s="12" t="s">
        <v>2852</v>
      </c>
      <c r="C11" s="12" t="s">
        <v>2862</v>
      </c>
      <c r="D11" s="12" t="s">
        <v>808</v>
      </c>
      <c r="E11" s="12" t="s">
        <v>2863</v>
      </c>
      <c r="F11" s="13" t="s">
        <v>2864</v>
      </c>
      <c r="G11" s="12"/>
      <c r="H11" s="12" t="s">
        <v>2850</v>
      </c>
      <c r="I11" s="12" t="s">
        <v>394</v>
      </c>
      <c r="J11" s="12" t="s">
        <v>112</v>
      </c>
      <c r="K11" s="18" t="s">
        <v>2858</v>
      </c>
      <c r="L11" s="18" t="s">
        <v>112</v>
      </c>
      <c r="M11" s="18" t="s">
        <v>112</v>
      </c>
      <c r="N11" s="18" t="s">
        <v>282</v>
      </c>
      <c r="O11" s="12" t="s">
        <v>282</v>
      </c>
      <c r="P11" s="12" t="s">
        <v>115</v>
      </c>
      <c r="Q11" s="12" t="s">
        <v>116</v>
      </c>
      <c r="R11" s="19" t="n">
        <f aca="false">COUNTIF(Dati!$B$2:$B$1216,A11)</f>
        <v>1</v>
      </c>
    </row>
    <row r="12" customFormat="false" ht="68.65" hidden="false" customHeight="false" outlineLevel="0" collapsed="false">
      <c r="A12" s="12" t="s">
        <v>1662</v>
      </c>
      <c r="B12" s="12" t="s">
        <v>6600</v>
      </c>
      <c r="C12" s="12" t="s">
        <v>6601</v>
      </c>
      <c r="D12" s="12" t="s">
        <v>6602</v>
      </c>
      <c r="E12" s="12" t="s">
        <v>1667</v>
      </c>
      <c r="F12" s="13" t="s">
        <v>1668</v>
      </c>
      <c r="G12" s="13" t="s">
        <v>1768</v>
      </c>
      <c r="H12" s="12" t="s">
        <v>6603</v>
      </c>
      <c r="I12" s="12" t="s">
        <v>679</v>
      </c>
      <c r="J12" s="12" t="s">
        <v>166</v>
      </c>
      <c r="K12" s="18" t="s">
        <v>6604</v>
      </c>
      <c r="L12" s="18" t="s">
        <v>6605</v>
      </c>
      <c r="M12" s="18" t="s">
        <v>6606</v>
      </c>
      <c r="N12" s="18" t="s">
        <v>6607</v>
      </c>
      <c r="O12" s="12" t="s">
        <v>6608</v>
      </c>
      <c r="P12" s="12" t="s">
        <v>115</v>
      </c>
      <c r="Q12" s="12" t="s">
        <v>116</v>
      </c>
      <c r="R12" s="19" t="n">
        <f aca="false">COUNTIF(Dati!$B$2:$B$1216,A12)</f>
        <v>3</v>
      </c>
    </row>
    <row r="13" customFormat="false" ht="68.65" hidden="false" customHeight="false" outlineLevel="0" collapsed="false">
      <c r="A13" s="12" t="s">
        <v>1687</v>
      </c>
      <c r="B13" s="12" t="s">
        <v>6600</v>
      </c>
      <c r="C13" s="12" t="s">
        <v>6601</v>
      </c>
      <c r="D13" s="12" t="s">
        <v>6609</v>
      </c>
      <c r="E13" s="12" t="s">
        <v>1689</v>
      </c>
      <c r="F13" s="13" t="s">
        <v>1690</v>
      </c>
      <c r="G13" s="13" t="s">
        <v>1768</v>
      </c>
      <c r="H13" s="12" t="s">
        <v>6603</v>
      </c>
      <c r="I13" s="12" t="s">
        <v>679</v>
      </c>
      <c r="J13" s="12" t="s">
        <v>166</v>
      </c>
      <c r="K13" s="18" t="s">
        <v>6604</v>
      </c>
      <c r="L13" s="18" t="s">
        <v>6605</v>
      </c>
      <c r="M13" s="18" t="s">
        <v>6606</v>
      </c>
      <c r="N13" s="18" t="s">
        <v>6607</v>
      </c>
      <c r="O13" s="12" t="s">
        <v>6608</v>
      </c>
      <c r="P13" s="12" t="s">
        <v>115</v>
      </c>
      <c r="Q13" s="12" t="s">
        <v>116</v>
      </c>
      <c r="R13" s="19" t="n">
        <f aca="false">COUNTIF(Dati!$B$2:$B$1216,A13)</f>
        <v>3</v>
      </c>
    </row>
    <row r="14" customFormat="false" ht="68.65" hidden="false" customHeight="false" outlineLevel="0" collapsed="false">
      <c r="A14" s="12" t="s">
        <v>1702</v>
      </c>
      <c r="B14" s="12" t="s">
        <v>6600</v>
      </c>
      <c r="C14" s="12" t="s">
        <v>6601</v>
      </c>
      <c r="D14" s="12" t="s">
        <v>6610</v>
      </c>
      <c r="E14" s="12" t="s">
        <v>1239</v>
      </c>
      <c r="F14" s="13" t="s">
        <v>1704</v>
      </c>
      <c r="G14" s="13" t="s">
        <v>1768</v>
      </c>
      <c r="H14" s="12" t="s">
        <v>6603</v>
      </c>
      <c r="I14" s="12" t="s">
        <v>679</v>
      </c>
      <c r="J14" s="12" t="s">
        <v>166</v>
      </c>
      <c r="K14" s="18" t="s">
        <v>6604</v>
      </c>
      <c r="L14" s="18" t="s">
        <v>6605</v>
      </c>
      <c r="M14" s="18" t="s">
        <v>6606</v>
      </c>
      <c r="N14" s="18" t="s">
        <v>6607</v>
      </c>
      <c r="O14" s="12" t="s">
        <v>6608</v>
      </c>
      <c r="P14" s="12" t="s">
        <v>115</v>
      </c>
      <c r="Q14" s="12" t="s">
        <v>116</v>
      </c>
      <c r="R14" s="19" t="n">
        <f aca="false">COUNTIF(Dati!$B$2:$B$1216,A14)</f>
        <v>3</v>
      </c>
    </row>
    <row r="15" customFormat="false" ht="68.65" hidden="false" customHeight="false" outlineLevel="0" collapsed="false">
      <c r="A15" s="12" t="s">
        <v>1714</v>
      </c>
      <c r="B15" s="12" t="s">
        <v>6600</v>
      </c>
      <c r="C15" s="12" t="s">
        <v>6601</v>
      </c>
      <c r="D15" s="12" t="s">
        <v>6611</v>
      </c>
      <c r="E15" s="12" t="s">
        <v>1716</v>
      </c>
      <c r="F15" s="13" t="s">
        <v>1717</v>
      </c>
      <c r="G15" s="13" t="s">
        <v>1768</v>
      </c>
      <c r="H15" s="12" t="s">
        <v>6603</v>
      </c>
      <c r="I15" s="12" t="s">
        <v>679</v>
      </c>
      <c r="J15" s="12" t="s">
        <v>166</v>
      </c>
      <c r="K15" s="18" t="s">
        <v>6604</v>
      </c>
      <c r="L15" s="18" t="s">
        <v>6605</v>
      </c>
      <c r="M15" s="18" t="s">
        <v>6606</v>
      </c>
      <c r="N15" s="18" t="s">
        <v>6607</v>
      </c>
      <c r="O15" s="12" t="s">
        <v>6608</v>
      </c>
      <c r="P15" s="12" t="s">
        <v>115</v>
      </c>
      <c r="Q15" s="12" t="s">
        <v>116</v>
      </c>
      <c r="R15" s="19" t="n">
        <f aca="false">COUNTIF(Dati!$B$2:$B$1216,A15)</f>
        <v>4</v>
      </c>
    </row>
    <row r="16" customFormat="false" ht="68.65" hidden="false" customHeight="false" outlineLevel="0" collapsed="false">
      <c r="A16" s="12" t="s">
        <v>1731</v>
      </c>
      <c r="B16" s="12" t="s">
        <v>6600</v>
      </c>
      <c r="C16" s="12" t="s">
        <v>6601</v>
      </c>
      <c r="D16" s="12" t="s">
        <v>6612</v>
      </c>
      <c r="E16" s="12" t="s">
        <v>1131</v>
      </c>
      <c r="F16" s="13" t="s">
        <v>1733</v>
      </c>
      <c r="G16" s="13" t="s">
        <v>1768</v>
      </c>
      <c r="H16" s="12" t="s">
        <v>6603</v>
      </c>
      <c r="I16" s="12" t="s">
        <v>679</v>
      </c>
      <c r="J16" s="12" t="s">
        <v>166</v>
      </c>
      <c r="K16" s="18" t="s">
        <v>6604</v>
      </c>
      <c r="L16" s="18" t="s">
        <v>6605</v>
      </c>
      <c r="M16" s="18" t="s">
        <v>6606</v>
      </c>
      <c r="N16" s="18" t="s">
        <v>6607</v>
      </c>
      <c r="O16" s="12" t="s">
        <v>6608</v>
      </c>
      <c r="P16" s="12" t="s">
        <v>115</v>
      </c>
      <c r="Q16" s="12" t="s">
        <v>116</v>
      </c>
      <c r="R16" s="19" t="n">
        <f aca="false">COUNTIF(Dati!$B$2:$B$1216,A16)</f>
        <v>4</v>
      </c>
    </row>
    <row r="17" customFormat="false" ht="68.65" hidden="false" customHeight="false" outlineLevel="0" collapsed="false">
      <c r="A17" s="12" t="s">
        <v>1748</v>
      </c>
      <c r="B17" s="12" t="s">
        <v>6600</v>
      </c>
      <c r="C17" s="12" t="s">
        <v>6601</v>
      </c>
      <c r="D17" s="12" t="s">
        <v>6613</v>
      </c>
      <c r="E17" s="12" t="s">
        <v>1750</v>
      </c>
      <c r="F17" s="13" t="s">
        <v>1751</v>
      </c>
      <c r="G17" s="13" t="s">
        <v>1768</v>
      </c>
      <c r="H17" s="12" t="s">
        <v>6603</v>
      </c>
      <c r="I17" s="12" t="s">
        <v>679</v>
      </c>
      <c r="J17" s="12" t="s">
        <v>166</v>
      </c>
      <c r="K17" s="18" t="s">
        <v>6604</v>
      </c>
      <c r="L17" s="18" t="s">
        <v>6605</v>
      </c>
      <c r="M17" s="18" t="s">
        <v>6606</v>
      </c>
      <c r="N17" s="18" t="s">
        <v>6607</v>
      </c>
      <c r="O17" s="12" t="s">
        <v>6608</v>
      </c>
      <c r="P17" s="12" t="s">
        <v>115</v>
      </c>
      <c r="Q17" s="12" t="s">
        <v>116</v>
      </c>
      <c r="R17" s="19" t="n">
        <f aca="false">COUNTIF(Dati!$B$2:$B$1216,A17)</f>
        <v>5</v>
      </c>
    </row>
    <row r="18" customFormat="false" ht="68.65" hidden="false" customHeight="false" outlineLevel="0" collapsed="false">
      <c r="A18" s="12" t="s">
        <v>1766</v>
      </c>
      <c r="B18" s="12" t="s">
        <v>6600</v>
      </c>
      <c r="C18" s="12" t="s">
        <v>6601</v>
      </c>
      <c r="D18" s="12" t="s">
        <v>6614</v>
      </c>
      <c r="E18" s="12" t="s">
        <v>376</v>
      </c>
      <c r="F18" s="13" t="s">
        <v>1768</v>
      </c>
      <c r="G18" s="13" t="s">
        <v>1768</v>
      </c>
      <c r="H18" s="12" t="s">
        <v>6603</v>
      </c>
      <c r="I18" s="12" t="s">
        <v>679</v>
      </c>
      <c r="J18" s="12" t="s">
        <v>166</v>
      </c>
      <c r="K18" s="18" t="s">
        <v>6604</v>
      </c>
      <c r="L18" s="18" t="s">
        <v>6605</v>
      </c>
      <c r="M18" s="18" t="s">
        <v>6606</v>
      </c>
      <c r="N18" s="18" t="s">
        <v>6607</v>
      </c>
      <c r="O18" s="12" t="s">
        <v>6608</v>
      </c>
      <c r="P18" s="12" t="s">
        <v>115</v>
      </c>
      <c r="Q18" s="12" t="s">
        <v>116</v>
      </c>
      <c r="R18" s="19" t="n">
        <f aca="false">COUNTIF(Dati!$B$2:$B$1216,A18)</f>
        <v>3</v>
      </c>
    </row>
    <row r="19" customFormat="false" ht="68.65" hidden="false" customHeight="false" outlineLevel="0" collapsed="false">
      <c r="A19" s="12" t="s">
        <v>1780</v>
      </c>
      <c r="B19" s="12" t="s">
        <v>6600</v>
      </c>
      <c r="C19" s="12" t="s">
        <v>6601</v>
      </c>
      <c r="D19" s="12" t="s">
        <v>6615</v>
      </c>
      <c r="E19" s="12" t="s">
        <v>762</v>
      </c>
      <c r="F19" s="13" t="s">
        <v>1782</v>
      </c>
      <c r="G19" s="13" t="s">
        <v>1768</v>
      </c>
      <c r="H19" s="12" t="s">
        <v>6603</v>
      </c>
      <c r="I19" s="12" t="s">
        <v>679</v>
      </c>
      <c r="J19" s="12" t="s">
        <v>166</v>
      </c>
      <c r="K19" s="18" t="s">
        <v>6604</v>
      </c>
      <c r="L19" s="18" t="s">
        <v>6605</v>
      </c>
      <c r="M19" s="18" t="s">
        <v>6606</v>
      </c>
      <c r="N19" s="18" t="s">
        <v>6607</v>
      </c>
      <c r="O19" s="12" t="s">
        <v>6608</v>
      </c>
      <c r="P19" s="12" t="s">
        <v>115</v>
      </c>
      <c r="Q19" s="12" t="s">
        <v>116</v>
      </c>
      <c r="R19" s="19" t="n">
        <f aca="false">COUNTIF(Dati!$B$2:$B$1216,A19)</f>
        <v>3</v>
      </c>
    </row>
    <row r="20" customFormat="false" ht="15" hidden="false" customHeight="false" outlineLevel="0" collapsed="false">
      <c r="A20" s="12" t="s">
        <v>2869</v>
      </c>
      <c r="B20" s="12" t="s">
        <v>2852</v>
      </c>
      <c r="C20" s="12" t="s">
        <v>2870</v>
      </c>
      <c r="D20" s="12" t="s">
        <v>808</v>
      </c>
      <c r="E20" s="12" t="s">
        <v>808</v>
      </c>
      <c r="F20" s="13" t="s">
        <v>2876</v>
      </c>
      <c r="G20" s="12"/>
      <c r="H20" s="12" t="s">
        <v>2850</v>
      </c>
      <c r="I20" s="12" t="s">
        <v>394</v>
      </c>
      <c r="J20" s="12" t="s">
        <v>112</v>
      </c>
      <c r="K20" s="18" t="s">
        <v>2858</v>
      </c>
      <c r="L20" s="18" t="s">
        <v>112</v>
      </c>
      <c r="M20" s="18" t="s">
        <v>112</v>
      </c>
      <c r="N20" s="18" t="s">
        <v>282</v>
      </c>
      <c r="O20" s="12" t="s">
        <v>282</v>
      </c>
      <c r="P20" s="12" t="s">
        <v>115</v>
      </c>
      <c r="Q20" s="12" t="s">
        <v>116</v>
      </c>
      <c r="R20" s="19" t="n">
        <f aca="false">COUNTIF(Dati!$B$2:$B$1216,A20)</f>
        <v>2</v>
      </c>
    </row>
    <row r="21" customFormat="false" ht="15" hidden="false" customHeight="false" outlineLevel="0" collapsed="false">
      <c r="A21" s="12" t="s">
        <v>2881</v>
      </c>
      <c r="B21" s="12" t="s">
        <v>2852</v>
      </c>
      <c r="C21" s="12" t="s">
        <v>2882</v>
      </c>
      <c r="D21" s="12" t="s">
        <v>808</v>
      </c>
      <c r="E21" s="12" t="s">
        <v>808</v>
      </c>
      <c r="F21" s="13" t="s">
        <v>2883</v>
      </c>
      <c r="G21" s="12"/>
      <c r="H21" s="12" t="s">
        <v>2850</v>
      </c>
      <c r="I21" s="12" t="s">
        <v>394</v>
      </c>
      <c r="J21" s="12" t="s">
        <v>112</v>
      </c>
      <c r="K21" s="18" t="s">
        <v>2858</v>
      </c>
      <c r="L21" s="18" t="s">
        <v>112</v>
      </c>
      <c r="M21" s="18" t="s">
        <v>112</v>
      </c>
      <c r="N21" s="18" t="s">
        <v>282</v>
      </c>
      <c r="O21" s="12" t="s">
        <v>282</v>
      </c>
      <c r="P21" s="12" t="s">
        <v>115</v>
      </c>
      <c r="Q21" s="12" t="s">
        <v>116</v>
      </c>
      <c r="R21" s="19" t="n">
        <f aca="false">COUNTIF(Dati!$B$2:$B$1216,A21)</f>
        <v>1</v>
      </c>
    </row>
    <row r="22" customFormat="false" ht="15" hidden="false" customHeight="false" outlineLevel="0" collapsed="false">
      <c r="A22" s="12" t="s">
        <v>2888</v>
      </c>
      <c r="B22" s="12" t="s">
        <v>2852</v>
      </c>
      <c r="C22" s="12" t="s">
        <v>2889</v>
      </c>
      <c r="D22" s="12" t="s">
        <v>2970</v>
      </c>
      <c r="E22" s="12" t="s">
        <v>2890</v>
      </c>
      <c r="F22" s="13" t="s">
        <v>2891</v>
      </c>
      <c r="G22" s="12"/>
      <c r="H22" s="12" t="s">
        <v>2850</v>
      </c>
      <c r="I22" s="12" t="s">
        <v>394</v>
      </c>
      <c r="J22" s="12" t="s">
        <v>112</v>
      </c>
      <c r="K22" s="18" t="s">
        <v>2858</v>
      </c>
      <c r="L22" s="18" t="s">
        <v>112</v>
      </c>
      <c r="M22" s="18" t="s">
        <v>112</v>
      </c>
      <c r="N22" s="18" t="s">
        <v>282</v>
      </c>
      <c r="O22" s="12" t="s">
        <v>282</v>
      </c>
      <c r="P22" s="12" t="s">
        <v>115</v>
      </c>
      <c r="Q22" s="12" t="s">
        <v>116</v>
      </c>
      <c r="R22" s="19" t="n">
        <f aca="false">COUNTIF(Dati!$B$2:$B$1216,A22)</f>
        <v>1</v>
      </c>
    </row>
    <row r="23" customFormat="false" ht="23.85" hidden="false" customHeight="false" outlineLevel="0" collapsed="false">
      <c r="A23" s="12" t="s">
        <v>947</v>
      </c>
      <c r="B23" s="12" t="s">
        <v>6616</v>
      </c>
      <c r="C23" s="12" t="s">
        <v>951</v>
      </c>
      <c r="D23" s="12" t="s">
        <v>952</v>
      </c>
      <c r="E23" s="12" t="s">
        <v>952</v>
      </c>
      <c r="F23" s="13" t="s">
        <v>953</v>
      </c>
      <c r="G23" s="12"/>
      <c r="H23" s="12" t="s">
        <v>948</v>
      </c>
      <c r="I23" s="12" t="s">
        <v>679</v>
      </c>
      <c r="J23" s="12" t="s">
        <v>166</v>
      </c>
      <c r="K23" s="18" t="s">
        <v>6617</v>
      </c>
      <c r="L23" s="18" t="s">
        <v>112</v>
      </c>
      <c r="M23" s="18" t="s">
        <v>112</v>
      </c>
      <c r="N23" s="18" t="s">
        <v>282</v>
      </c>
      <c r="O23" s="12" t="s">
        <v>282</v>
      </c>
      <c r="P23" s="12" t="s">
        <v>115</v>
      </c>
      <c r="Q23" s="12" t="s">
        <v>116</v>
      </c>
      <c r="R23" s="19" t="n">
        <f aca="false">COUNTIF(Dati!$B$2:$B$1216,A23)</f>
        <v>1</v>
      </c>
    </row>
    <row r="24" customFormat="false" ht="35.05" hidden="false" customHeight="false" outlineLevel="0" collapsed="false">
      <c r="A24" s="12" t="s">
        <v>963</v>
      </c>
      <c r="B24" s="12" t="s">
        <v>6618</v>
      </c>
      <c r="C24" s="12" t="s">
        <v>6619</v>
      </c>
      <c r="D24" s="12" t="s">
        <v>2970</v>
      </c>
      <c r="E24" s="12" t="s">
        <v>965</v>
      </c>
      <c r="F24" s="13" t="s">
        <v>966</v>
      </c>
      <c r="G24" s="12"/>
      <c r="H24" s="12" t="s">
        <v>948</v>
      </c>
      <c r="I24" s="12" t="s">
        <v>679</v>
      </c>
      <c r="J24" s="12" t="s">
        <v>166</v>
      </c>
      <c r="K24" s="18" t="s">
        <v>6620</v>
      </c>
      <c r="L24" s="18" t="s">
        <v>112</v>
      </c>
      <c r="M24" s="18" t="s">
        <v>6621</v>
      </c>
      <c r="N24" s="18" t="s">
        <v>6622</v>
      </c>
      <c r="O24" s="12" t="s">
        <v>6608</v>
      </c>
      <c r="P24" s="12" t="s">
        <v>115</v>
      </c>
      <c r="Q24" s="12" t="s">
        <v>116</v>
      </c>
      <c r="R24" s="19" t="n">
        <f aca="false">COUNTIF(Dati!$B$2:$B$1216,A24)</f>
        <v>2</v>
      </c>
    </row>
    <row r="25" customFormat="false" ht="35.05" hidden="false" customHeight="false" outlineLevel="0" collapsed="false">
      <c r="A25" s="12" t="s">
        <v>976</v>
      </c>
      <c r="B25" s="12" t="s">
        <v>6616</v>
      </c>
      <c r="C25" s="12" t="s">
        <v>6623</v>
      </c>
      <c r="D25" s="12" t="s">
        <v>181</v>
      </c>
      <c r="E25" s="12" t="s">
        <v>978</v>
      </c>
      <c r="F25" s="13" t="s">
        <v>979</v>
      </c>
      <c r="G25" s="12"/>
      <c r="H25" s="12" t="s">
        <v>948</v>
      </c>
      <c r="I25" s="12" t="s">
        <v>679</v>
      </c>
      <c r="J25" s="12" t="s">
        <v>166</v>
      </c>
      <c r="K25" s="18" t="s">
        <v>6624</v>
      </c>
      <c r="L25" s="18" t="s">
        <v>112</v>
      </c>
      <c r="M25" s="18" t="s">
        <v>6625</v>
      </c>
      <c r="N25" s="18" t="s">
        <v>6622</v>
      </c>
      <c r="O25" s="12" t="s">
        <v>6608</v>
      </c>
      <c r="P25" s="12" t="s">
        <v>115</v>
      </c>
      <c r="Q25" s="12" t="s">
        <v>116</v>
      </c>
      <c r="R25" s="19" t="n">
        <f aca="false">COUNTIF(Dati!$B$2:$B$1216,A25)</f>
        <v>3</v>
      </c>
    </row>
    <row r="26" customFormat="false" ht="23.85" hidden="false" customHeight="false" outlineLevel="0" collapsed="false">
      <c r="A26" s="12" t="s">
        <v>994</v>
      </c>
      <c r="B26" s="12" t="s">
        <v>6616</v>
      </c>
      <c r="C26" s="12" t="s">
        <v>995</v>
      </c>
      <c r="D26" s="12" t="s">
        <v>996</v>
      </c>
      <c r="E26" s="12" t="s">
        <v>996</v>
      </c>
      <c r="F26" s="13" t="s">
        <v>997</v>
      </c>
      <c r="G26" s="12"/>
      <c r="H26" s="12" t="s">
        <v>948</v>
      </c>
      <c r="I26" s="12" t="s">
        <v>110</v>
      </c>
      <c r="J26" s="12" t="s">
        <v>281</v>
      </c>
      <c r="K26" s="18" t="s">
        <v>6626</v>
      </c>
      <c r="L26" s="18" t="s">
        <v>112</v>
      </c>
      <c r="M26" s="18" t="s">
        <v>112</v>
      </c>
      <c r="N26" s="18" t="s">
        <v>282</v>
      </c>
      <c r="O26" s="12" t="s">
        <v>282</v>
      </c>
      <c r="P26" s="12" t="s">
        <v>498</v>
      </c>
      <c r="Q26" s="12" t="s">
        <v>116</v>
      </c>
      <c r="R26" s="19" t="n">
        <f aca="false">COUNTIF(Dati!$B$2:$B$1216,A26)</f>
        <v>2</v>
      </c>
    </row>
    <row r="27" customFormat="false" ht="23.85" hidden="false" customHeight="false" outlineLevel="0" collapsed="false">
      <c r="A27" s="12" t="s">
        <v>4671</v>
      </c>
      <c r="B27" s="12" t="s">
        <v>6627</v>
      </c>
      <c r="C27" s="12" t="s">
        <v>4673</v>
      </c>
      <c r="D27" s="12" t="s">
        <v>847</v>
      </c>
      <c r="E27" s="12" t="s">
        <v>4674</v>
      </c>
      <c r="F27" s="13" t="s">
        <v>4675</v>
      </c>
      <c r="G27" s="12"/>
      <c r="H27" s="12" t="s">
        <v>4615</v>
      </c>
      <c r="I27" s="12" t="s">
        <v>110</v>
      </c>
      <c r="J27" s="12" t="s">
        <v>112</v>
      </c>
      <c r="K27" s="18" t="s">
        <v>6628</v>
      </c>
      <c r="L27" s="18" t="s">
        <v>112</v>
      </c>
      <c r="M27" s="18" t="s">
        <v>112</v>
      </c>
      <c r="N27" s="18" t="s">
        <v>282</v>
      </c>
      <c r="O27" s="12" t="s">
        <v>282</v>
      </c>
      <c r="P27" s="12" t="s">
        <v>284</v>
      </c>
      <c r="Q27" s="12" t="s">
        <v>838</v>
      </c>
      <c r="R27" s="19" t="n">
        <f aca="false">COUNTIF(Dati!$B$2:$B$1216,A27)</f>
        <v>2</v>
      </c>
    </row>
    <row r="28" customFormat="false" ht="15" hidden="false" customHeight="false" outlineLevel="0" collapsed="false">
      <c r="A28" s="12" t="s">
        <v>1555</v>
      </c>
      <c r="B28" s="12" t="s">
        <v>1558</v>
      </c>
      <c r="C28" s="12" t="s">
        <v>1559</v>
      </c>
      <c r="D28" s="12" t="s">
        <v>6629</v>
      </c>
      <c r="E28" s="12" t="s">
        <v>1560</v>
      </c>
      <c r="F28" s="13" t="s">
        <v>1561</v>
      </c>
      <c r="G28" s="12"/>
      <c r="H28" s="12" t="s">
        <v>1556</v>
      </c>
      <c r="I28" s="12" t="s">
        <v>679</v>
      </c>
      <c r="J28" s="12" t="s">
        <v>112</v>
      </c>
      <c r="K28" s="18" t="s">
        <v>282</v>
      </c>
      <c r="L28" s="18" t="s">
        <v>112</v>
      </c>
      <c r="M28" s="18" t="s">
        <v>112</v>
      </c>
      <c r="N28" s="18" t="s">
        <v>282</v>
      </c>
      <c r="O28" s="12" t="s">
        <v>6608</v>
      </c>
      <c r="P28" s="12" t="s">
        <v>284</v>
      </c>
      <c r="Q28" s="12" t="s">
        <v>116</v>
      </c>
      <c r="R28" s="19" t="n">
        <f aca="false">COUNTIF(Dati!$B$2:$B$1216,A28)</f>
        <v>1</v>
      </c>
    </row>
    <row r="29" customFormat="false" ht="79.85" hidden="false" customHeight="false" outlineLevel="0" collapsed="false">
      <c r="A29" s="12" t="s">
        <v>2896</v>
      </c>
      <c r="B29" s="12" t="s">
        <v>2897</v>
      </c>
      <c r="C29" s="12" t="s">
        <v>2898</v>
      </c>
      <c r="D29" s="12" t="s">
        <v>2899</v>
      </c>
      <c r="E29" s="12" t="s">
        <v>2899</v>
      </c>
      <c r="F29" s="13" t="s">
        <v>2900</v>
      </c>
      <c r="G29" s="12"/>
      <c r="H29" s="12" t="s">
        <v>2850</v>
      </c>
      <c r="I29" s="12" t="s">
        <v>679</v>
      </c>
      <c r="J29" s="12" t="s">
        <v>112</v>
      </c>
      <c r="K29" s="18" t="s">
        <v>6630</v>
      </c>
      <c r="L29" s="18" t="s">
        <v>6631</v>
      </c>
      <c r="M29" s="18" t="s">
        <v>6632</v>
      </c>
      <c r="N29" s="18" t="s">
        <v>6633</v>
      </c>
      <c r="O29" s="12" t="s">
        <v>6634</v>
      </c>
      <c r="P29" s="12" t="s">
        <v>498</v>
      </c>
      <c r="Q29" s="12" t="s">
        <v>116</v>
      </c>
      <c r="R29" s="19" t="n">
        <f aca="false">COUNTIF(Dati!$B$2:$B$1216,A29)</f>
        <v>3</v>
      </c>
    </row>
    <row r="30" customFormat="false" ht="79.85" hidden="false" customHeight="false" outlineLevel="0" collapsed="false">
      <c r="A30" s="12" t="s">
        <v>2918</v>
      </c>
      <c r="B30" s="12" t="s">
        <v>2897</v>
      </c>
      <c r="C30" s="12" t="s">
        <v>2919</v>
      </c>
      <c r="D30" s="12" t="s">
        <v>1667</v>
      </c>
      <c r="E30" s="12" t="s">
        <v>1667</v>
      </c>
      <c r="F30" s="13" t="s">
        <v>2920</v>
      </c>
      <c r="G30" s="12"/>
      <c r="H30" s="12" t="s">
        <v>2850</v>
      </c>
      <c r="I30" s="12" t="s">
        <v>679</v>
      </c>
      <c r="J30" s="12" t="s">
        <v>112</v>
      </c>
      <c r="K30" s="18" t="s">
        <v>6630</v>
      </c>
      <c r="L30" s="18" t="s">
        <v>6631</v>
      </c>
      <c r="M30" s="18" t="s">
        <v>6632</v>
      </c>
      <c r="N30" s="18" t="s">
        <v>6633</v>
      </c>
      <c r="O30" s="12" t="s">
        <v>6634</v>
      </c>
      <c r="P30" s="12" t="s">
        <v>498</v>
      </c>
      <c r="Q30" s="12" t="s">
        <v>116</v>
      </c>
      <c r="R30" s="19" t="n">
        <f aca="false">COUNTIF(Dati!$B$2:$B$1216,A30)</f>
        <v>3</v>
      </c>
    </row>
    <row r="31" customFormat="false" ht="79.85" hidden="false" customHeight="false" outlineLevel="0" collapsed="false">
      <c r="A31" s="12" t="s">
        <v>2937</v>
      </c>
      <c r="B31" s="12" t="s">
        <v>2897</v>
      </c>
      <c r="C31" s="12" t="s">
        <v>2938</v>
      </c>
      <c r="D31" s="12" t="s">
        <v>773</v>
      </c>
      <c r="E31" s="12" t="s">
        <v>773</v>
      </c>
      <c r="F31" s="13" t="s">
        <v>2939</v>
      </c>
      <c r="G31" s="12"/>
      <c r="H31" s="12" t="s">
        <v>2850</v>
      </c>
      <c r="I31" s="12" t="s">
        <v>679</v>
      </c>
      <c r="J31" s="12" t="s">
        <v>112</v>
      </c>
      <c r="K31" s="18" t="s">
        <v>6630</v>
      </c>
      <c r="L31" s="18" t="s">
        <v>6631</v>
      </c>
      <c r="M31" s="18" t="s">
        <v>6632</v>
      </c>
      <c r="N31" s="18" t="s">
        <v>6633</v>
      </c>
      <c r="O31" s="12" t="s">
        <v>6634</v>
      </c>
      <c r="P31" s="12" t="s">
        <v>498</v>
      </c>
      <c r="Q31" s="12" t="s">
        <v>116</v>
      </c>
      <c r="R31" s="19" t="n">
        <f aca="false">COUNTIF(Dati!$B$2:$B$1216,A31)</f>
        <v>5</v>
      </c>
    </row>
    <row r="32" customFormat="false" ht="79.85" hidden="false" customHeight="false" outlineLevel="0" collapsed="false">
      <c r="A32" s="12" t="s">
        <v>2960</v>
      </c>
      <c r="B32" s="12" t="s">
        <v>2897</v>
      </c>
      <c r="C32" s="12" t="s">
        <v>2961</v>
      </c>
      <c r="D32" s="12" t="s">
        <v>1239</v>
      </c>
      <c r="E32" s="12" t="s">
        <v>2962</v>
      </c>
      <c r="F32" s="13" t="s">
        <v>2963</v>
      </c>
      <c r="G32" s="12"/>
      <c r="H32" s="12" t="s">
        <v>2850</v>
      </c>
      <c r="I32" s="12" t="s">
        <v>679</v>
      </c>
      <c r="J32" s="12" t="s">
        <v>112</v>
      </c>
      <c r="K32" s="18" t="s">
        <v>6630</v>
      </c>
      <c r="L32" s="18" t="s">
        <v>6631</v>
      </c>
      <c r="M32" s="18" t="s">
        <v>6632</v>
      </c>
      <c r="N32" s="18" t="s">
        <v>6633</v>
      </c>
      <c r="O32" s="12" t="s">
        <v>6634</v>
      </c>
      <c r="P32" s="12" t="s">
        <v>498</v>
      </c>
      <c r="Q32" s="12" t="s">
        <v>116</v>
      </c>
      <c r="R32" s="19" t="n">
        <f aca="false">COUNTIF(Dati!$B$2:$B$1216,A32)</f>
        <v>1</v>
      </c>
    </row>
    <row r="33" customFormat="false" ht="79.85" hidden="false" customHeight="false" outlineLevel="0" collapsed="false">
      <c r="A33" s="12" t="s">
        <v>2968</v>
      </c>
      <c r="B33" s="12" t="s">
        <v>2897</v>
      </c>
      <c r="C33" s="12" t="s">
        <v>2969</v>
      </c>
      <c r="D33" s="12" t="s">
        <v>2970</v>
      </c>
      <c r="E33" s="12" t="s">
        <v>2970</v>
      </c>
      <c r="F33" s="13" t="s">
        <v>2971</v>
      </c>
      <c r="G33" s="12"/>
      <c r="H33" s="12" t="s">
        <v>2850</v>
      </c>
      <c r="I33" s="12" t="s">
        <v>679</v>
      </c>
      <c r="J33" s="12" t="s">
        <v>112</v>
      </c>
      <c r="K33" s="18" t="s">
        <v>6630</v>
      </c>
      <c r="L33" s="18" t="s">
        <v>6631</v>
      </c>
      <c r="M33" s="18" t="s">
        <v>6632</v>
      </c>
      <c r="N33" s="18" t="s">
        <v>6633</v>
      </c>
      <c r="O33" s="12" t="s">
        <v>6634</v>
      </c>
      <c r="P33" s="12" t="s">
        <v>498</v>
      </c>
      <c r="Q33" s="12" t="s">
        <v>116</v>
      </c>
      <c r="R33" s="19" t="n">
        <f aca="false">COUNTIF(Dati!$B$2:$B$1216,A33)</f>
        <v>3</v>
      </c>
    </row>
    <row r="34" customFormat="false" ht="79.85" hidden="false" customHeight="false" outlineLevel="0" collapsed="false">
      <c r="A34" s="12" t="s">
        <v>2985</v>
      </c>
      <c r="B34" s="12" t="s">
        <v>2897</v>
      </c>
      <c r="C34" s="12" t="s">
        <v>2986</v>
      </c>
      <c r="D34" s="12" t="s">
        <v>583</v>
      </c>
      <c r="E34" s="12" t="s">
        <v>583</v>
      </c>
      <c r="F34" s="13" t="s">
        <v>2987</v>
      </c>
      <c r="G34" s="12"/>
      <c r="H34" s="12" t="s">
        <v>2850</v>
      </c>
      <c r="I34" s="12" t="s">
        <v>679</v>
      </c>
      <c r="J34" s="12" t="s">
        <v>112</v>
      </c>
      <c r="K34" s="18" t="s">
        <v>6630</v>
      </c>
      <c r="L34" s="18" t="s">
        <v>6631</v>
      </c>
      <c r="M34" s="18" t="s">
        <v>6632</v>
      </c>
      <c r="N34" s="18" t="s">
        <v>6633</v>
      </c>
      <c r="O34" s="12" t="s">
        <v>6634</v>
      </c>
      <c r="P34" s="12" t="s">
        <v>498</v>
      </c>
      <c r="Q34" s="12" t="s">
        <v>116</v>
      </c>
      <c r="R34" s="19" t="n">
        <f aca="false">COUNTIF(Dati!$B$2:$B$1216,A34)</f>
        <v>12</v>
      </c>
    </row>
    <row r="35" customFormat="false" ht="79.85" hidden="false" customHeight="false" outlineLevel="0" collapsed="false">
      <c r="A35" s="12" t="s">
        <v>3024</v>
      </c>
      <c r="B35" s="12" t="s">
        <v>2897</v>
      </c>
      <c r="C35" s="12" t="s">
        <v>3025</v>
      </c>
      <c r="D35" s="12" t="s">
        <v>808</v>
      </c>
      <c r="E35" s="12" t="s">
        <v>3026</v>
      </c>
      <c r="F35" s="13" t="s">
        <v>3027</v>
      </c>
      <c r="G35" s="12"/>
      <c r="H35" s="12" t="s">
        <v>2850</v>
      </c>
      <c r="I35" s="12" t="s">
        <v>679</v>
      </c>
      <c r="J35" s="12" t="s">
        <v>112</v>
      </c>
      <c r="K35" s="18" t="s">
        <v>6630</v>
      </c>
      <c r="L35" s="18" t="s">
        <v>6631</v>
      </c>
      <c r="M35" s="18" t="s">
        <v>6632</v>
      </c>
      <c r="N35" s="18" t="s">
        <v>6633</v>
      </c>
      <c r="O35" s="12" t="s">
        <v>6634</v>
      </c>
      <c r="P35" s="12" t="s">
        <v>498</v>
      </c>
      <c r="Q35" s="12" t="s">
        <v>116</v>
      </c>
      <c r="R35" s="19" t="n">
        <f aca="false">COUNTIF(Dati!$B$2:$B$1216,A35)</f>
        <v>17</v>
      </c>
    </row>
    <row r="36" customFormat="false" ht="79.85" hidden="false" customHeight="false" outlineLevel="0" collapsed="false">
      <c r="A36" s="12" t="s">
        <v>3085</v>
      </c>
      <c r="B36" s="12" t="s">
        <v>2897</v>
      </c>
      <c r="C36" s="12" t="s">
        <v>3086</v>
      </c>
      <c r="D36" s="12" t="s">
        <v>181</v>
      </c>
      <c r="E36" s="12" t="s">
        <v>3087</v>
      </c>
      <c r="F36" s="13" t="s">
        <v>3088</v>
      </c>
      <c r="G36" s="12"/>
      <c r="H36" s="12" t="s">
        <v>2850</v>
      </c>
      <c r="I36" s="12" t="s">
        <v>679</v>
      </c>
      <c r="J36" s="12" t="s">
        <v>112</v>
      </c>
      <c r="K36" s="18" t="s">
        <v>6630</v>
      </c>
      <c r="L36" s="18" t="s">
        <v>6631</v>
      </c>
      <c r="M36" s="18" t="s">
        <v>6632</v>
      </c>
      <c r="N36" s="18" t="s">
        <v>6633</v>
      </c>
      <c r="O36" s="12" t="s">
        <v>6634</v>
      </c>
      <c r="P36" s="12" t="s">
        <v>498</v>
      </c>
      <c r="Q36" s="12" t="s">
        <v>116</v>
      </c>
      <c r="R36" s="19" t="n">
        <f aca="false">COUNTIF(Dati!$B$2:$B$1216,A36)</f>
        <v>9</v>
      </c>
    </row>
    <row r="37" customFormat="false" ht="79.85" hidden="false" customHeight="false" outlineLevel="0" collapsed="false">
      <c r="A37" s="12" t="s">
        <v>3115</v>
      </c>
      <c r="B37" s="12" t="s">
        <v>2897</v>
      </c>
      <c r="C37" s="12" t="s">
        <v>3116</v>
      </c>
      <c r="D37" s="12" t="s">
        <v>847</v>
      </c>
      <c r="E37" s="12" t="s">
        <v>3117</v>
      </c>
      <c r="F37" s="13" t="s">
        <v>3118</v>
      </c>
      <c r="G37" s="12"/>
      <c r="H37" s="12" t="s">
        <v>2850</v>
      </c>
      <c r="I37" s="12" t="s">
        <v>679</v>
      </c>
      <c r="J37" s="12" t="s">
        <v>112</v>
      </c>
      <c r="K37" s="18" t="s">
        <v>6630</v>
      </c>
      <c r="L37" s="18" t="s">
        <v>6631</v>
      </c>
      <c r="M37" s="18" t="s">
        <v>6632</v>
      </c>
      <c r="N37" s="18" t="s">
        <v>6633</v>
      </c>
      <c r="O37" s="12" t="s">
        <v>6634</v>
      </c>
      <c r="P37" s="12" t="s">
        <v>498</v>
      </c>
      <c r="Q37" s="12" t="s">
        <v>116</v>
      </c>
      <c r="R37" s="19" t="n">
        <f aca="false">COUNTIF(Dati!$B$2:$B$1216,A37)</f>
        <v>3</v>
      </c>
    </row>
    <row r="38" customFormat="false" ht="79.85" hidden="false" customHeight="false" outlineLevel="0" collapsed="false">
      <c r="A38" s="12" t="s">
        <v>3136</v>
      </c>
      <c r="B38" s="12" t="s">
        <v>2897</v>
      </c>
      <c r="C38" s="12" t="s">
        <v>3137</v>
      </c>
      <c r="D38" s="12" t="s">
        <v>181</v>
      </c>
      <c r="E38" s="12" t="s">
        <v>181</v>
      </c>
      <c r="F38" s="13" t="s">
        <v>3138</v>
      </c>
      <c r="G38" s="12"/>
      <c r="H38" s="12" t="s">
        <v>2850</v>
      </c>
      <c r="I38" s="12" t="s">
        <v>679</v>
      </c>
      <c r="J38" s="12" t="s">
        <v>112</v>
      </c>
      <c r="K38" s="18" t="s">
        <v>6630</v>
      </c>
      <c r="L38" s="18" t="s">
        <v>6631</v>
      </c>
      <c r="M38" s="18" t="s">
        <v>6632</v>
      </c>
      <c r="N38" s="18" t="s">
        <v>6633</v>
      </c>
      <c r="O38" s="12" t="s">
        <v>6634</v>
      </c>
      <c r="P38" s="12" t="s">
        <v>498</v>
      </c>
      <c r="Q38" s="12" t="s">
        <v>116</v>
      </c>
      <c r="R38" s="19" t="n">
        <f aca="false">COUNTIF(Dati!$B$2:$B$1216,A38)</f>
        <v>4</v>
      </c>
    </row>
    <row r="39" customFormat="false" ht="35.05" hidden="false" customHeight="false" outlineLevel="0" collapsed="false">
      <c r="A39" s="12" t="s">
        <v>4600</v>
      </c>
      <c r="B39" s="12" t="s">
        <v>6635</v>
      </c>
      <c r="C39" s="12" t="s">
        <v>6636</v>
      </c>
      <c r="D39" s="12" t="s">
        <v>181</v>
      </c>
      <c r="E39" s="12" t="s">
        <v>4603</v>
      </c>
      <c r="F39" s="13" t="s">
        <v>4604</v>
      </c>
      <c r="G39" s="12"/>
      <c r="H39" s="12" t="s">
        <v>4407</v>
      </c>
      <c r="I39" s="12" t="s">
        <v>394</v>
      </c>
      <c r="J39" s="12" t="s">
        <v>112</v>
      </c>
      <c r="K39" s="18" t="s">
        <v>6637</v>
      </c>
      <c r="L39" s="18" t="s">
        <v>6638</v>
      </c>
      <c r="M39" s="18" t="s">
        <v>112</v>
      </c>
      <c r="N39" s="18" t="s">
        <v>282</v>
      </c>
      <c r="O39" s="12" t="s">
        <v>282</v>
      </c>
      <c r="P39" s="12" t="s">
        <v>115</v>
      </c>
      <c r="Q39" s="12" t="s">
        <v>499</v>
      </c>
      <c r="R39" s="19" t="n">
        <f aca="false">COUNTIF(Dati!$B$2:$B$1216,A39)</f>
        <v>2</v>
      </c>
    </row>
    <row r="40" customFormat="false" ht="35.05" hidden="false" customHeight="false" outlineLevel="0" collapsed="false">
      <c r="A40" s="12" t="s">
        <v>4429</v>
      </c>
      <c r="B40" s="12" t="s">
        <v>6635</v>
      </c>
      <c r="C40" s="12" t="s">
        <v>6636</v>
      </c>
      <c r="D40" s="12" t="s">
        <v>847</v>
      </c>
      <c r="E40" s="12" t="s">
        <v>1424</v>
      </c>
      <c r="F40" s="13" t="s">
        <v>4432</v>
      </c>
      <c r="G40" s="12"/>
      <c r="H40" s="12" t="s">
        <v>4407</v>
      </c>
      <c r="I40" s="12" t="s">
        <v>394</v>
      </c>
      <c r="J40" s="12" t="s">
        <v>112</v>
      </c>
      <c r="K40" s="18" t="s">
        <v>6637</v>
      </c>
      <c r="L40" s="18" t="s">
        <v>6639</v>
      </c>
      <c r="M40" s="18" t="s">
        <v>112</v>
      </c>
      <c r="N40" s="18" t="s">
        <v>282</v>
      </c>
      <c r="O40" s="12" t="s">
        <v>282</v>
      </c>
      <c r="P40" s="12" t="s">
        <v>115</v>
      </c>
      <c r="Q40" s="12" t="s">
        <v>499</v>
      </c>
      <c r="R40" s="19" t="n">
        <f aca="false">COUNTIF(Dati!$B$2:$B$1216,A40)</f>
        <v>2</v>
      </c>
    </row>
    <row r="41" customFormat="false" ht="15" hidden="false" customHeight="false" outlineLevel="0" collapsed="false">
      <c r="A41" s="12" t="s">
        <v>3158</v>
      </c>
      <c r="B41" s="12" t="s">
        <v>3159</v>
      </c>
      <c r="C41" s="12" t="s">
        <v>3160</v>
      </c>
      <c r="D41" s="12" t="s">
        <v>181</v>
      </c>
      <c r="E41" s="12" t="s">
        <v>3161</v>
      </c>
      <c r="F41" s="13" t="s">
        <v>3162</v>
      </c>
      <c r="G41" s="12"/>
      <c r="H41" s="12" t="s">
        <v>2850</v>
      </c>
      <c r="I41" s="12" t="s">
        <v>394</v>
      </c>
      <c r="J41" s="12" t="s">
        <v>281</v>
      </c>
      <c r="K41" s="18" t="s">
        <v>3169</v>
      </c>
      <c r="L41" s="18" t="s">
        <v>112</v>
      </c>
      <c r="M41" s="18" t="s">
        <v>112</v>
      </c>
      <c r="N41" s="18" t="s">
        <v>282</v>
      </c>
      <c r="O41" s="12" t="s">
        <v>282</v>
      </c>
      <c r="P41" s="12" t="s">
        <v>498</v>
      </c>
      <c r="Q41" s="12" t="s">
        <v>499</v>
      </c>
      <c r="R41" s="19" t="n">
        <f aca="false">COUNTIF(Dati!$B$2:$B$1216,A41)</f>
        <v>1</v>
      </c>
    </row>
    <row r="42" customFormat="false" ht="46.25" hidden="false" customHeight="false" outlineLevel="0" collapsed="false">
      <c r="A42" s="12" t="s">
        <v>3172</v>
      </c>
      <c r="B42" s="12" t="s">
        <v>3159</v>
      </c>
      <c r="C42" s="12" t="s">
        <v>3173</v>
      </c>
      <c r="D42" s="12" t="s">
        <v>748</v>
      </c>
      <c r="E42" s="12" t="s">
        <v>3174</v>
      </c>
      <c r="F42" s="13" t="s">
        <v>3175</v>
      </c>
      <c r="G42" s="13" t="s">
        <v>6640</v>
      </c>
      <c r="H42" s="12" t="s">
        <v>2850</v>
      </c>
      <c r="I42" s="12" t="s">
        <v>394</v>
      </c>
      <c r="J42" s="12" t="s">
        <v>2399</v>
      </c>
      <c r="K42" s="18" t="s">
        <v>3179</v>
      </c>
      <c r="L42" s="18" t="s">
        <v>6641</v>
      </c>
      <c r="M42" s="18" t="s">
        <v>6642</v>
      </c>
      <c r="N42" s="18" t="s">
        <v>6643</v>
      </c>
      <c r="O42" s="12" t="s">
        <v>282</v>
      </c>
      <c r="P42" s="12" t="s">
        <v>407</v>
      </c>
      <c r="Q42" s="12" t="s">
        <v>116</v>
      </c>
      <c r="R42" s="19" t="n">
        <f aca="false">COUNTIF(Dati!$B$2:$B$1216,A42)</f>
        <v>4</v>
      </c>
    </row>
    <row r="43" customFormat="false" ht="57.45" hidden="false" customHeight="false" outlineLevel="0" collapsed="false">
      <c r="A43" s="12" t="s">
        <v>5765</v>
      </c>
      <c r="B43" s="12" t="s">
        <v>6644</v>
      </c>
      <c r="C43" s="12" t="s">
        <v>5767</v>
      </c>
      <c r="D43" s="12" t="s">
        <v>6645</v>
      </c>
      <c r="E43" s="12" t="s">
        <v>1012</v>
      </c>
      <c r="F43" s="13" t="s">
        <v>1013</v>
      </c>
      <c r="G43" s="12"/>
      <c r="H43" s="12" t="s">
        <v>6646</v>
      </c>
      <c r="I43" s="12" t="s">
        <v>110</v>
      </c>
      <c r="J43" s="12" t="s">
        <v>112</v>
      </c>
      <c r="K43" s="18" t="s">
        <v>6647</v>
      </c>
      <c r="L43" s="18" t="s">
        <v>6587</v>
      </c>
      <c r="M43" s="18" t="s">
        <v>282</v>
      </c>
      <c r="N43" s="18" t="s">
        <v>6648</v>
      </c>
      <c r="O43" s="12" t="s">
        <v>6649</v>
      </c>
      <c r="P43" s="12" t="s">
        <v>284</v>
      </c>
      <c r="Q43" s="12" t="s">
        <v>116</v>
      </c>
      <c r="R43" s="19" t="n">
        <f aca="false">COUNTIF(Dati!$B$2:$B$1216,A43)</f>
        <v>10</v>
      </c>
    </row>
    <row r="44" customFormat="false" ht="46.25" hidden="false" customHeight="false" outlineLevel="0" collapsed="false">
      <c r="A44" s="12" t="s">
        <v>1009</v>
      </c>
      <c r="B44" s="12" t="s">
        <v>6650</v>
      </c>
      <c r="C44" s="12" t="s">
        <v>5767</v>
      </c>
      <c r="D44" s="12" t="s">
        <v>6651</v>
      </c>
      <c r="E44" s="12" t="s">
        <v>1012</v>
      </c>
      <c r="F44" s="13" t="s">
        <v>1013</v>
      </c>
      <c r="G44" s="12"/>
      <c r="H44" s="12" t="s">
        <v>6652</v>
      </c>
      <c r="I44" s="12" t="s">
        <v>110</v>
      </c>
      <c r="J44" s="12" t="s">
        <v>112</v>
      </c>
      <c r="K44" s="18" t="s">
        <v>6653</v>
      </c>
      <c r="L44" s="18" t="s">
        <v>112</v>
      </c>
      <c r="M44" s="18" t="s">
        <v>112</v>
      </c>
      <c r="N44" s="18" t="s">
        <v>6654</v>
      </c>
      <c r="O44" s="12" t="s">
        <v>282</v>
      </c>
      <c r="P44" s="12" t="s">
        <v>284</v>
      </c>
      <c r="Q44" s="12" t="s">
        <v>116</v>
      </c>
      <c r="R44" s="19" t="n">
        <f aca="false">COUNTIF(Dati!$B$2:$B$1216,A44)</f>
        <v>21</v>
      </c>
    </row>
    <row r="45" customFormat="false" ht="46.25" hidden="false" customHeight="false" outlineLevel="0" collapsed="false">
      <c r="A45" s="12" t="s">
        <v>2158</v>
      </c>
      <c r="B45" s="12" t="s">
        <v>6655</v>
      </c>
      <c r="C45" s="12" t="s">
        <v>6656</v>
      </c>
      <c r="D45" s="12" t="s">
        <v>6657</v>
      </c>
      <c r="E45" s="12" t="s">
        <v>2161</v>
      </c>
      <c r="F45" s="13" t="s">
        <v>2162</v>
      </c>
      <c r="G45" s="12"/>
      <c r="H45" s="12" t="s">
        <v>2125</v>
      </c>
      <c r="I45" s="12" t="s">
        <v>679</v>
      </c>
      <c r="J45" s="12" t="s">
        <v>112</v>
      </c>
      <c r="K45" s="18" t="s">
        <v>6658</v>
      </c>
      <c r="L45" s="18" t="s">
        <v>112</v>
      </c>
      <c r="M45" s="18" t="s">
        <v>112</v>
      </c>
      <c r="N45" s="18" t="s">
        <v>6659</v>
      </c>
      <c r="O45" s="12" t="s">
        <v>282</v>
      </c>
      <c r="P45" s="12" t="s">
        <v>498</v>
      </c>
      <c r="Q45" s="12" t="s">
        <v>116</v>
      </c>
      <c r="R45" s="19" t="n">
        <f aca="false">COUNTIF(Dati!$B$2:$B$1216,A45)</f>
        <v>2</v>
      </c>
    </row>
    <row r="46" customFormat="false" ht="46.25" hidden="false" customHeight="false" outlineLevel="0" collapsed="false">
      <c r="A46" s="12" t="s">
        <v>2175</v>
      </c>
      <c r="B46" s="12" t="s">
        <v>6655</v>
      </c>
      <c r="C46" s="12" t="s">
        <v>6660</v>
      </c>
      <c r="D46" s="12" t="s">
        <v>6661</v>
      </c>
      <c r="E46" s="12" t="s">
        <v>2177</v>
      </c>
      <c r="F46" s="13" t="s">
        <v>2178</v>
      </c>
      <c r="G46" s="12"/>
      <c r="H46" s="12" t="s">
        <v>2125</v>
      </c>
      <c r="I46" s="12" t="s">
        <v>679</v>
      </c>
      <c r="J46" s="12" t="s">
        <v>112</v>
      </c>
      <c r="K46" s="18" t="s">
        <v>6658</v>
      </c>
      <c r="L46" s="18" t="s">
        <v>112</v>
      </c>
      <c r="M46" s="18" t="s">
        <v>112</v>
      </c>
      <c r="N46" s="18" t="s">
        <v>6662</v>
      </c>
      <c r="O46" s="12" t="s">
        <v>282</v>
      </c>
      <c r="P46" s="12" t="s">
        <v>498</v>
      </c>
      <c r="Q46" s="12" t="s">
        <v>116</v>
      </c>
      <c r="R46" s="19" t="n">
        <f aca="false">COUNTIF(Dati!$B$2:$B$1216,A46)</f>
        <v>1</v>
      </c>
    </row>
    <row r="47" customFormat="false" ht="35.05" hidden="false" customHeight="false" outlineLevel="0" collapsed="false">
      <c r="A47" s="12" t="s">
        <v>2184</v>
      </c>
      <c r="B47" s="12" t="s">
        <v>6655</v>
      </c>
      <c r="C47" s="12" t="s">
        <v>6663</v>
      </c>
      <c r="D47" s="12" t="s">
        <v>6664</v>
      </c>
      <c r="E47" s="12" t="s">
        <v>2186</v>
      </c>
      <c r="F47" s="13" t="s">
        <v>2187</v>
      </c>
      <c r="G47" s="12"/>
      <c r="H47" s="12" t="s">
        <v>2125</v>
      </c>
      <c r="I47" s="12" t="s">
        <v>679</v>
      </c>
      <c r="J47" s="12" t="s">
        <v>281</v>
      </c>
      <c r="K47" s="18" t="s">
        <v>6665</v>
      </c>
      <c r="L47" s="18" t="s">
        <v>112</v>
      </c>
      <c r="M47" s="18" t="s">
        <v>112</v>
      </c>
      <c r="N47" s="18" t="s">
        <v>6666</v>
      </c>
      <c r="O47" s="12" t="s">
        <v>282</v>
      </c>
      <c r="P47" s="12" t="s">
        <v>284</v>
      </c>
      <c r="Q47" s="12" t="s">
        <v>116</v>
      </c>
      <c r="R47" s="19" t="n">
        <f aca="false">COUNTIF(Dati!$B$2:$B$1216,A47)</f>
        <v>5</v>
      </c>
    </row>
    <row r="48" customFormat="false" ht="35.05" hidden="false" customHeight="false" outlineLevel="0" collapsed="false">
      <c r="A48" s="12" t="s">
        <v>2214</v>
      </c>
      <c r="B48" s="12" t="s">
        <v>6655</v>
      </c>
      <c r="C48" s="12" t="s">
        <v>6667</v>
      </c>
      <c r="D48" s="12" t="s">
        <v>6668</v>
      </c>
      <c r="E48" s="12" t="s">
        <v>2216</v>
      </c>
      <c r="F48" s="13" t="s">
        <v>2217</v>
      </c>
      <c r="G48" s="12"/>
      <c r="H48" s="12" t="s">
        <v>2125</v>
      </c>
      <c r="I48" s="12" t="s">
        <v>679</v>
      </c>
      <c r="J48" s="12" t="s">
        <v>281</v>
      </c>
      <c r="K48" s="18" t="s">
        <v>6665</v>
      </c>
      <c r="L48" s="18" t="s">
        <v>112</v>
      </c>
      <c r="M48" s="18" t="s">
        <v>112</v>
      </c>
      <c r="N48" s="18" t="s">
        <v>6666</v>
      </c>
      <c r="O48" s="12" t="s">
        <v>282</v>
      </c>
      <c r="P48" s="12" t="s">
        <v>284</v>
      </c>
      <c r="Q48" s="12" t="s">
        <v>116</v>
      </c>
      <c r="R48" s="19" t="n">
        <f aca="false">COUNTIF(Dati!$B$2:$B$1216,A48)</f>
        <v>5</v>
      </c>
    </row>
    <row r="49" customFormat="false" ht="35.05" hidden="false" customHeight="false" outlineLevel="0" collapsed="false">
      <c r="A49" s="12" t="s">
        <v>2231</v>
      </c>
      <c r="B49" s="12" t="s">
        <v>6655</v>
      </c>
      <c r="C49" s="12" t="s">
        <v>6669</v>
      </c>
      <c r="D49" s="12" t="s">
        <v>6670</v>
      </c>
      <c r="E49" s="12" t="s">
        <v>2233</v>
      </c>
      <c r="F49" s="13" t="s">
        <v>2234</v>
      </c>
      <c r="G49" s="12"/>
      <c r="H49" s="12" t="s">
        <v>2125</v>
      </c>
      <c r="I49" s="12" t="s">
        <v>679</v>
      </c>
      <c r="J49" s="12" t="s">
        <v>281</v>
      </c>
      <c r="K49" s="18" t="s">
        <v>6665</v>
      </c>
      <c r="L49" s="18" t="s">
        <v>112</v>
      </c>
      <c r="M49" s="18" t="s">
        <v>112</v>
      </c>
      <c r="N49" s="18" t="s">
        <v>6666</v>
      </c>
      <c r="O49" s="12" t="s">
        <v>282</v>
      </c>
      <c r="P49" s="12" t="s">
        <v>284</v>
      </c>
      <c r="Q49" s="12" t="s">
        <v>116</v>
      </c>
      <c r="R49" s="19" t="n">
        <f aca="false">COUNTIF(Dati!$B$2:$B$1216,A49)</f>
        <v>7</v>
      </c>
    </row>
    <row r="50" customFormat="false" ht="35.05" hidden="false" customHeight="false" outlineLevel="0" collapsed="false">
      <c r="A50" s="12" t="s">
        <v>2262</v>
      </c>
      <c r="B50" s="12" t="s">
        <v>6655</v>
      </c>
      <c r="C50" s="12" t="s">
        <v>6671</v>
      </c>
      <c r="D50" s="12" t="s">
        <v>6672</v>
      </c>
      <c r="E50" s="12" t="s">
        <v>2264</v>
      </c>
      <c r="F50" s="13" t="s">
        <v>2265</v>
      </c>
      <c r="G50" s="12"/>
      <c r="H50" s="12" t="s">
        <v>2125</v>
      </c>
      <c r="I50" s="12" t="s">
        <v>679</v>
      </c>
      <c r="J50" s="12" t="s">
        <v>281</v>
      </c>
      <c r="K50" s="18" t="s">
        <v>6665</v>
      </c>
      <c r="L50" s="18" t="s">
        <v>112</v>
      </c>
      <c r="M50" s="18" t="s">
        <v>112</v>
      </c>
      <c r="N50" s="18" t="s">
        <v>6666</v>
      </c>
      <c r="O50" s="12" t="s">
        <v>282</v>
      </c>
      <c r="P50" s="12" t="s">
        <v>284</v>
      </c>
      <c r="Q50" s="12" t="s">
        <v>116</v>
      </c>
      <c r="R50" s="19" t="n">
        <f aca="false">COUNTIF(Dati!$B$2:$B$1216,A50)</f>
        <v>5</v>
      </c>
    </row>
    <row r="51" customFormat="false" ht="35.05" hidden="false" customHeight="false" outlineLevel="0" collapsed="false">
      <c r="A51" s="12" t="s">
        <v>2286</v>
      </c>
      <c r="B51" s="12" t="s">
        <v>6655</v>
      </c>
      <c r="C51" s="12" t="s">
        <v>6673</v>
      </c>
      <c r="D51" s="12" t="s">
        <v>6674</v>
      </c>
      <c r="E51" s="12" t="s">
        <v>2288</v>
      </c>
      <c r="F51" s="13" t="s">
        <v>2289</v>
      </c>
      <c r="G51" s="12"/>
      <c r="H51" s="12" t="s">
        <v>2125</v>
      </c>
      <c r="I51" s="12" t="s">
        <v>679</v>
      </c>
      <c r="J51" s="12" t="s">
        <v>281</v>
      </c>
      <c r="K51" s="18" t="s">
        <v>6665</v>
      </c>
      <c r="L51" s="18" t="s">
        <v>112</v>
      </c>
      <c r="M51" s="18" t="s">
        <v>112</v>
      </c>
      <c r="N51" s="18" t="s">
        <v>6666</v>
      </c>
      <c r="O51" s="12" t="s">
        <v>282</v>
      </c>
      <c r="P51" s="12" t="s">
        <v>284</v>
      </c>
      <c r="Q51" s="12" t="s">
        <v>116</v>
      </c>
      <c r="R51" s="19" t="n">
        <f aca="false">COUNTIF(Dati!$B$2:$B$1216,A51)</f>
        <v>5</v>
      </c>
    </row>
    <row r="52" customFormat="false" ht="46.25" hidden="false" customHeight="false" outlineLevel="0" collapsed="false">
      <c r="A52" s="12" t="s">
        <v>2309</v>
      </c>
      <c r="B52" s="12" t="s">
        <v>2159</v>
      </c>
      <c r="C52" s="12" t="s">
        <v>6675</v>
      </c>
      <c r="D52" s="12" t="s">
        <v>6676</v>
      </c>
      <c r="E52" s="12" t="s">
        <v>2370</v>
      </c>
      <c r="F52" s="13" t="s">
        <v>2371</v>
      </c>
      <c r="G52" s="12"/>
      <c r="H52" s="12" t="s">
        <v>6677</v>
      </c>
      <c r="I52" s="12" t="s">
        <v>679</v>
      </c>
      <c r="J52" s="12" t="s">
        <v>281</v>
      </c>
      <c r="K52" s="18" t="s">
        <v>6678</v>
      </c>
      <c r="L52" s="18" t="s">
        <v>6587</v>
      </c>
      <c r="M52" s="18" t="s">
        <v>6679</v>
      </c>
      <c r="N52" s="18" t="s">
        <v>6680</v>
      </c>
      <c r="O52" s="12" t="s">
        <v>6649</v>
      </c>
      <c r="P52" s="12" t="s">
        <v>498</v>
      </c>
      <c r="Q52" s="12" t="s">
        <v>116</v>
      </c>
      <c r="R52" s="19" t="n">
        <f aca="false">COUNTIF(Dati!$B$2:$B$1216,A52)</f>
        <v>5</v>
      </c>
    </row>
    <row r="53" customFormat="false" ht="35.05" hidden="false" customHeight="false" outlineLevel="0" collapsed="false">
      <c r="A53" s="12" t="s">
        <v>2326</v>
      </c>
      <c r="B53" s="12" t="s">
        <v>2159</v>
      </c>
      <c r="C53" s="12" t="s">
        <v>6681</v>
      </c>
      <c r="D53" s="12" t="s">
        <v>181</v>
      </c>
      <c r="E53" s="12" t="s">
        <v>181</v>
      </c>
      <c r="F53" s="13" t="s">
        <v>5808</v>
      </c>
      <c r="G53" s="13" t="s">
        <v>2329</v>
      </c>
      <c r="H53" s="12" t="s">
        <v>6682</v>
      </c>
      <c r="I53" s="12" t="s">
        <v>110</v>
      </c>
      <c r="J53" s="12" t="s">
        <v>281</v>
      </c>
      <c r="K53" s="18" t="s">
        <v>6683</v>
      </c>
      <c r="L53" s="18" t="s">
        <v>6587</v>
      </c>
      <c r="M53" s="18" t="s">
        <v>6679</v>
      </c>
      <c r="N53" s="18" t="s">
        <v>6684</v>
      </c>
      <c r="O53" s="12" t="s">
        <v>6649</v>
      </c>
      <c r="P53" s="12" t="s">
        <v>498</v>
      </c>
      <c r="Q53" s="12" t="s">
        <v>116</v>
      </c>
      <c r="R53" s="19" t="n">
        <f aca="false">COUNTIF(Dati!$B$2:$B$1216,A53)</f>
        <v>18</v>
      </c>
    </row>
    <row r="54" customFormat="false" ht="46.25" hidden="false" customHeight="false" outlineLevel="0" collapsed="false">
      <c r="A54" s="12" t="s">
        <v>2368</v>
      </c>
      <c r="B54" s="12" t="s">
        <v>6655</v>
      </c>
      <c r="C54" s="12" t="s">
        <v>6685</v>
      </c>
      <c r="D54" s="12" t="s">
        <v>6686</v>
      </c>
      <c r="E54" s="12" t="s">
        <v>2370</v>
      </c>
      <c r="F54" s="13" t="s">
        <v>2371</v>
      </c>
      <c r="G54" s="12"/>
      <c r="H54" s="12" t="s">
        <v>6687</v>
      </c>
      <c r="I54" s="12" t="s">
        <v>679</v>
      </c>
      <c r="J54" s="12" t="s">
        <v>281</v>
      </c>
      <c r="K54" s="18" t="s">
        <v>6688</v>
      </c>
      <c r="L54" s="18" t="s">
        <v>112</v>
      </c>
      <c r="M54" s="18" t="s">
        <v>112</v>
      </c>
      <c r="N54" s="18" t="s">
        <v>6689</v>
      </c>
      <c r="O54" s="12" t="s">
        <v>282</v>
      </c>
      <c r="P54" s="12" t="s">
        <v>284</v>
      </c>
      <c r="Q54" s="12" t="s">
        <v>116</v>
      </c>
      <c r="R54" s="19" t="n">
        <f aca="false">COUNTIF(Dati!$B$2:$B$1216,A54)</f>
        <v>5</v>
      </c>
    </row>
    <row r="55" customFormat="false" ht="46.25" hidden="false" customHeight="false" outlineLevel="0" collapsed="false">
      <c r="A55" s="12" t="s">
        <v>2393</v>
      </c>
      <c r="B55" s="12" t="s">
        <v>2394</v>
      </c>
      <c r="C55" s="12" t="s">
        <v>6690</v>
      </c>
      <c r="D55" s="12" t="s">
        <v>181</v>
      </c>
      <c r="E55" s="12" t="s">
        <v>181</v>
      </c>
      <c r="F55" s="13" t="s">
        <v>2396</v>
      </c>
      <c r="G55" s="12"/>
      <c r="H55" s="12" t="s">
        <v>2125</v>
      </c>
      <c r="I55" s="12" t="s">
        <v>394</v>
      </c>
      <c r="J55" s="12" t="s">
        <v>2399</v>
      </c>
      <c r="K55" s="18" t="s">
        <v>6691</v>
      </c>
      <c r="L55" s="18" t="s">
        <v>6692</v>
      </c>
      <c r="M55" s="18" t="s">
        <v>6693</v>
      </c>
      <c r="N55" s="18" t="s">
        <v>6694</v>
      </c>
      <c r="O55" s="12" t="s">
        <v>6695</v>
      </c>
      <c r="P55" s="12" t="s">
        <v>115</v>
      </c>
      <c r="Q55" s="12" t="s">
        <v>116</v>
      </c>
      <c r="R55" s="19" t="n">
        <f aca="false">COUNTIF(Dati!$B$2:$B$1216,A55)</f>
        <v>1</v>
      </c>
    </row>
    <row r="56" customFormat="false" ht="46.25" hidden="false" customHeight="false" outlineLevel="0" collapsed="false">
      <c r="A56" s="12" t="s">
        <v>2403</v>
      </c>
      <c r="B56" s="12" t="s">
        <v>2394</v>
      </c>
      <c r="C56" s="12" t="s">
        <v>6696</v>
      </c>
      <c r="D56" s="12" t="s">
        <v>847</v>
      </c>
      <c r="E56" s="12" t="s">
        <v>1657</v>
      </c>
      <c r="F56" s="13" t="s">
        <v>2405</v>
      </c>
      <c r="G56" s="13" t="s">
        <v>6697</v>
      </c>
      <c r="H56" s="12" t="s">
        <v>2125</v>
      </c>
      <c r="I56" s="12" t="s">
        <v>394</v>
      </c>
      <c r="J56" s="12" t="s">
        <v>2399</v>
      </c>
      <c r="K56" s="18" t="s">
        <v>6691</v>
      </c>
      <c r="L56" s="18" t="s">
        <v>6698</v>
      </c>
      <c r="M56" s="18" t="s">
        <v>6693</v>
      </c>
      <c r="N56" s="18" t="s">
        <v>6699</v>
      </c>
      <c r="O56" s="12" t="s">
        <v>6695</v>
      </c>
      <c r="P56" s="12" t="s">
        <v>115</v>
      </c>
      <c r="Q56" s="12" t="s">
        <v>116</v>
      </c>
      <c r="R56" s="19" t="n">
        <f aca="false">COUNTIF(Dati!$B$2:$B$1216,A56)</f>
        <v>5</v>
      </c>
    </row>
    <row r="57" customFormat="false" ht="35.05" hidden="false" customHeight="false" outlineLevel="0" collapsed="false">
      <c r="A57" s="12" t="s">
        <v>1114</v>
      </c>
      <c r="B57" s="12" t="s">
        <v>1115</v>
      </c>
      <c r="C57" s="12" t="s">
        <v>6700</v>
      </c>
      <c r="D57" s="12" t="s">
        <v>181</v>
      </c>
      <c r="E57" s="12" t="s">
        <v>181</v>
      </c>
      <c r="F57" s="13" t="s">
        <v>1117</v>
      </c>
      <c r="G57" s="12"/>
      <c r="H57" s="12" t="s">
        <v>948</v>
      </c>
      <c r="I57" s="12" t="s">
        <v>394</v>
      </c>
      <c r="J57" s="12" t="s">
        <v>201</v>
      </c>
      <c r="K57" s="18" t="s">
        <v>6701</v>
      </c>
      <c r="L57" s="18" t="s">
        <v>112</v>
      </c>
      <c r="M57" s="18" t="s">
        <v>6702</v>
      </c>
      <c r="N57" s="18" t="s">
        <v>6703</v>
      </c>
      <c r="O57" s="12" t="s">
        <v>6608</v>
      </c>
      <c r="P57" s="12" t="s">
        <v>115</v>
      </c>
      <c r="Q57" s="12" t="s">
        <v>116</v>
      </c>
      <c r="R57" s="19" t="n">
        <f aca="false">COUNTIF(Dati!$B$2:$B$1216,A57)</f>
        <v>5</v>
      </c>
    </row>
    <row r="58" customFormat="false" ht="57.45" hidden="false" customHeight="false" outlineLevel="0" collapsed="false">
      <c r="A58" s="12" t="s">
        <v>1128</v>
      </c>
      <c r="B58" s="12" t="s">
        <v>1115</v>
      </c>
      <c r="C58" s="12" t="s">
        <v>6704</v>
      </c>
      <c r="D58" s="12" t="s">
        <v>583</v>
      </c>
      <c r="E58" s="12" t="s">
        <v>1131</v>
      </c>
      <c r="F58" s="13" t="s">
        <v>1132</v>
      </c>
      <c r="G58" s="13" t="s">
        <v>1117</v>
      </c>
      <c r="H58" s="12" t="s">
        <v>948</v>
      </c>
      <c r="I58" s="12" t="s">
        <v>394</v>
      </c>
      <c r="J58" s="12" t="s">
        <v>166</v>
      </c>
      <c r="K58" s="18" t="s">
        <v>6705</v>
      </c>
      <c r="L58" s="18" t="s">
        <v>6706</v>
      </c>
      <c r="M58" s="18" t="s">
        <v>6702</v>
      </c>
      <c r="N58" s="18" t="s">
        <v>6707</v>
      </c>
      <c r="O58" s="12" t="s">
        <v>6608</v>
      </c>
      <c r="P58" s="12" t="s">
        <v>407</v>
      </c>
      <c r="Q58" s="12" t="s">
        <v>116</v>
      </c>
      <c r="R58" s="19" t="n">
        <f aca="false">COUNTIF(Dati!$B$2:$B$1216,A58)</f>
        <v>1</v>
      </c>
    </row>
    <row r="59" customFormat="false" ht="23.85" hidden="false" customHeight="false" outlineLevel="0" collapsed="false">
      <c r="A59" s="12" t="s">
        <v>2417</v>
      </c>
      <c r="B59" s="12" t="s">
        <v>2418</v>
      </c>
      <c r="C59" s="12" t="s">
        <v>2419</v>
      </c>
      <c r="D59" s="12" t="s">
        <v>6708</v>
      </c>
      <c r="E59" s="12" t="s">
        <v>847</v>
      </c>
      <c r="F59" s="13" t="s">
        <v>2420</v>
      </c>
      <c r="G59" s="12"/>
      <c r="H59" s="12" t="s">
        <v>2125</v>
      </c>
      <c r="I59" s="12" t="s">
        <v>394</v>
      </c>
      <c r="J59" s="12" t="s">
        <v>112</v>
      </c>
      <c r="K59" s="18" t="s">
        <v>6709</v>
      </c>
      <c r="L59" s="18" t="s">
        <v>112</v>
      </c>
      <c r="M59" s="18" t="s">
        <v>112</v>
      </c>
      <c r="N59" s="18" t="s">
        <v>6710</v>
      </c>
      <c r="O59" s="12" t="s">
        <v>6608</v>
      </c>
      <c r="P59" s="12" t="s">
        <v>115</v>
      </c>
      <c r="Q59" s="12" t="s">
        <v>116</v>
      </c>
      <c r="R59" s="19" t="n">
        <f aca="false">COUNTIF(Dati!$B$2:$B$1216,A59)</f>
        <v>1</v>
      </c>
    </row>
    <row r="60" customFormat="false" ht="23.85" hidden="false" customHeight="false" outlineLevel="0" collapsed="false">
      <c r="A60" s="12" t="s">
        <v>2440</v>
      </c>
      <c r="B60" s="12" t="s">
        <v>2441</v>
      </c>
      <c r="C60" s="12" t="s">
        <v>6711</v>
      </c>
      <c r="D60" s="12" t="s">
        <v>6712</v>
      </c>
      <c r="E60" s="12" t="s">
        <v>2443</v>
      </c>
      <c r="F60" s="13" t="s">
        <v>2444</v>
      </c>
      <c r="G60" s="12"/>
      <c r="H60" s="12" t="s">
        <v>2125</v>
      </c>
      <c r="I60" s="12" t="s">
        <v>394</v>
      </c>
      <c r="J60" s="12" t="s">
        <v>112</v>
      </c>
      <c r="K60" s="18" t="s">
        <v>6713</v>
      </c>
      <c r="L60" s="18" t="s">
        <v>112</v>
      </c>
      <c r="M60" s="18" t="s">
        <v>112</v>
      </c>
      <c r="N60" s="18" t="s">
        <v>6714</v>
      </c>
      <c r="O60" s="12" t="s">
        <v>6608</v>
      </c>
      <c r="P60" s="12" t="s">
        <v>115</v>
      </c>
      <c r="Q60" s="12" t="s">
        <v>116</v>
      </c>
      <c r="R60" s="19" t="n">
        <f aca="false">COUNTIF(Dati!$B$2:$B$1216,A60)</f>
        <v>2</v>
      </c>
    </row>
    <row r="61" customFormat="false" ht="23.85" hidden="false" customHeight="false" outlineLevel="0" collapsed="false">
      <c r="A61" s="12" t="s">
        <v>2453</v>
      </c>
      <c r="B61" s="12" t="s">
        <v>2441</v>
      </c>
      <c r="C61" s="12" t="s">
        <v>6715</v>
      </c>
      <c r="D61" s="12" t="s">
        <v>6716</v>
      </c>
      <c r="E61" s="12" t="s">
        <v>2455</v>
      </c>
      <c r="F61" s="13" t="s">
        <v>2456</v>
      </c>
      <c r="G61" s="12"/>
      <c r="H61" s="12" t="s">
        <v>2125</v>
      </c>
      <c r="I61" s="12" t="s">
        <v>394</v>
      </c>
      <c r="J61" s="12" t="s">
        <v>112</v>
      </c>
      <c r="K61" s="18" t="s">
        <v>6717</v>
      </c>
      <c r="L61" s="18" t="s">
        <v>112</v>
      </c>
      <c r="M61" s="18" t="s">
        <v>112</v>
      </c>
      <c r="N61" s="18" t="s">
        <v>6714</v>
      </c>
      <c r="O61" s="12" t="s">
        <v>6608</v>
      </c>
      <c r="P61" s="12" t="s">
        <v>115</v>
      </c>
      <c r="Q61" s="12" t="s">
        <v>116</v>
      </c>
      <c r="R61" s="19" t="n">
        <f aca="false">COUNTIF(Dati!$B$2:$B$1216,A61)</f>
        <v>1</v>
      </c>
    </row>
    <row r="62" customFormat="false" ht="23.85" hidden="false" customHeight="false" outlineLevel="0" collapsed="false">
      <c r="A62" s="12" t="s">
        <v>2793</v>
      </c>
      <c r="B62" s="12" t="s">
        <v>2794</v>
      </c>
      <c r="C62" s="12" t="s">
        <v>2795</v>
      </c>
      <c r="D62" s="12" t="s">
        <v>6718</v>
      </c>
      <c r="E62" s="12" t="s">
        <v>808</v>
      </c>
      <c r="F62" s="13" t="s">
        <v>2796</v>
      </c>
      <c r="G62" s="12"/>
      <c r="H62" s="12" t="s">
        <v>2716</v>
      </c>
      <c r="I62" s="12" t="s">
        <v>394</v>
      </c>
      <c r="J62" s="12" t="s">
        <v>112</v>
      </c>
      <c r="K62" s="18" t="s">
        <v>2799</v>
      </c>
      <c r="L62" s="18" t="s">
        <v>112</v>
      </c>
      <c r="M62" s="18" t="s">
        <v>112</v>
      </c>
      <c r="N62" s="18" t="s">
        <v>282</v>
      </c>
      <c r="O62" s="12" t="s">
        <v>6608</v>
      </c>
      <c r="P62" s="12" t="s">
        <v>407</v>
      </c>
      <c r="Q62" s="12" t="s">
        <v>116</v>
      </c>
      <c r="R62" s="19" t="n">
        <f aca="false">COUNTIF(Dati!$B$2:$B$1216,A62)</f>
        <v>2</v>
      </c>
    </row>
    <row r="63" customFormat="false" ht="23.85" hidden="false" customHeight="false" outlineLevel="0" collapsed="false">
      <c r="A63" s="12" t="s">
        <v>2805</v>
      </c>
      <c r="B63" s="12" t="s">
        <v>2794</v>
      </c>
      <c r="C63" s="12" t="s">
        <v>2806</v>
      </c>
      <c r="D63" s="12" t="s">
        <v>6719</v>
      </c>
      <c r="E63" s="12" t="s">
        <v>847</v>
      </c>
      <c r="F63" s="13" t="s">
        <v>2807</v>
      </c>
      <c r="G63" s="12"/>
      <c r="H63" s="12" t="s">
        <v>2716</v>
      </c>
      <c r="I63" s="12" t="s">
        <v>394</v>
      </c>
      <c r="J63" s="12" t="s">
        <v>112</v>
      </c>
      <c r="K63" s="18" t="s">
        <v>2810</v>
      </c>
      <c r="L63" s="18" t="s">
        <v>112</v>
      </c>
      <c r="M63" s="18" t="s">
        <v>112</v>
      </c>
      <c r="N63" s="18" t="s">
        <v>282</v>
      </c>
      <c r="O63" s="12" t="s">
        <v>6608</v>
      </c>
      <c r="P63" s="12" t="s">
        <v>407</v>
      </c>
      <c r="Q63" s="12" t="s">
        <v>116</v>
      </c>
      <c r="R63" s="19" t="n">
        <f aca="false">COUNTIF(Dati!$B$2:$B$1216,A63)</f>
        <v>2</v>
      </c>
    </row>
    <row r="64" customFormat="false" ht="46.25" hidden="false" customHeight="false" outlineLevel="0" collapsed="false">
      <c r="A64" s="12" t="s">
        <v>6525</v>
      </c>
      <c r="B64" s="12" t="s">
        <v>6720</v>
      </c>
      <c r="C64" s="12" t="s">
        <v>6721</v>
      </c>
      <c r="D64" s="12" t="s">
        <v>583</v>
      </c>
      <c r="E64" s="12" t="s">
        <v>583</v>
      </c>
      <c r="F64" s="13" t="s">
        <v>6529</v>
      </c>
      <c r="G64" s="13" t="s">
        <v>6722</v>
      </c>
      <c r="H64" s="12" t="s">
        <v>6723</v>
      </c>
      <c r="I64" s="12" t="s">
        <v>679</v>
      </c>
      <c r="J64" s="12" t="s">
        <v>166</v>
      </c>
      <c r="K64" s="18" t="s">
        <v>6724</v>
      </c>
      <c r="L64" s="18" t="s">
        <v>6587</v>
      </c>
      <c r="M64" s="18" t="s">
        <v>6725</v>
      </c>
      <c r="N64" s="18" t="s">
        <v>6726</v>
      </c>
      <c r="O64" s="12" t="s">
        <v>6588</v>
      </c>
      <c r="P64" s="12" t="s">
        <v>498</v>
      </c>
      <c r="Q64" s="12" t="s">
        <v>116</v>
      </c>
      <c r="R64" s="19" t="n">
        <f aca="false">COUNTIF(Dati!$B$2:$B$1216,A64)</f>
        <v>1</v>
      </c>
    </row>
    <row r="65" customFormat="false" ht="46.25" hidden="false" customHeight="false" outlineLevel="0" collapsed="false">
      <c r="A65" s="12" t="s">
        <v>6537</v>
      </c>
      <c r="B65" s="12" t="s">
        <v>6720</v>
      </c>
      <c r="C65" s="12" t="s">
        <v>6727</v>
      </c>
      <c r="D65" s="12" t="s">
        <v>6539</v>
      </c>
      <c r="E65" s="12" t="s">
        <v>6539</v>
      </c>
      <c r="F65" s="13" t="s">
        <v>6540</v>
      </c>
      <c r="G65" s="13" t="s">
        <v>6722</v>
      </c>
      <c r="H65" s="12" t="s">
        <v>6723</v>
      </c>
      <c r="I65" s="12" t="s">
        <v>679</v>
      </c>
      <c r="J65" s="12" t="s">
        <v>166</v>
      </c>
      <c r="K65" s="18" t="s">
        <v>6724</v>
      </c>
      <c r="L65" s="18" t="s">
        <v>6587</v>
      </c>
      <c r="M65" s="18" t="s">
        <v>6725</v>
      </c>
      <c r="N65" s="18" t="s">
        <v>6726</v>
      </c>
      <c r="O65" s="12" t="s">
        <v>6588</v>
      </c>
      <c r="P65" s="12" t="s">
        <v>498</v>
      </c>
      <c r="Q65" s="12" t="s">
        <v>116</v>
      </c>
      <c r="R65" s="19" t="n">
        <f aca="false">COUNTIF(Dati!$B$2:$B$1216,A65)</f>
        <v>1</v>
      </c>
    </row>
    <row r="66" customFormat="false" ht="46.25" hidden="false" customHeight="false" outlineLevel="0" collapsed="false">
      <c r="A66" s="12" t="s">
        <v>6545</v>
      </c>
      <c r="B66" s="12" t="s">
        <v>6720</v>
      </c>
      <c r="C66" s="12" t="s">
        <v>6728</v>
      </c>
      <c r="D66" s="12" t="s">
        <v>583</v>
      </c>
      <c r="E66" s="12" t="s">
        <v>583</v>
      </c>
      <c r="F66" s="13" t="s">
        <v>6547</v>
      </c>
      <c r="G66" s="13" t="s">
        <v>6722</v>
      </c>
      <c r="H66" s="12" t="s">
        <v>6723</v>
      </c>
      <c r="I66" s="12" t="s">
        <v>679</v>
      </c>
      <c r="J66" s="12" t="s">
        <v>166</v>
      </c>
      <c r="K66" s="18" t="s">
        <v>6724</v>
      </c>
      <c r="L66" s="18" t="s">
        <v>6587</v>
      </c>
      <c r="M66" s="18" t="s">
        <v>6725</v>
      </c>
      <c r="N66" s="18" t="s">
        <v>6726</v>
      </c>
      <c r="O66" s="12" t="s">
        <v>6588</v>
      </c>
      <c r="P66" s="12" t="s">
        <v>498</v>
      </c>
      <c r="Q66" s="12" t="s">
        <v>116</v>
      </c>
      <c r="R66" s="19" t="n">
        <f aca="false">COUNTIF(Dati!$B$2:$B$1216,A66)</f>
        <v>1</v>
      </c>
    </row>
    <row r="67" customFormat="false" ht="23.85" hidden="false" customHeight="false" outlineLevel="0" collapsed="false">
      <c r="A67" s="12" t="s">
        <v>1328</v>
      </c>
      <c r="B67" s="12" t="s">
        <v>6729</v>
      </c>
      <c r="C67" s="12" t="s">
        <v>6730</v>
      </c>
      <c r="D67" s="12" t="s">
        <v>181</v>
      </c>
      <c r="E67" s="12" t="s">
        <v>1331</v>
      </c>
      <c r="F67" s="13" t="s">
        <v>1332</v>
      </c>
      <c r="G67" s="12"/>
      <c r="H67" s="12" t="s">
        <v>1293</v>
      </c>
      <c r="I67" s="12" t="s">
        <v>394</v>
      </c>
      <c r="J67" s="12" t="s">
        <v>112</v>
      </c>
      <c r="K67" s="18" t="s">
        <v>6731</v>
      </c>
      <c r="L67" s="18" t="s">
        <v>112</v>
      </c>
      <c r="M67" s="18" t="s">
        <v>112</v>
      </c>
      <c r="N67" s="18" t="s">
        <v>282</v>
      </c>
      <c r="O67" s="12" t="s">
        <v>6732</v>
      </c>
      <c r="P67" s="12" t="s">
        <v>115</v>
      </c>
      <c r="Q67" s="12" t="s">
        <v>499</v>
      </c>
      <c r="R67" s="19" t="n">
        <f aca="false">COUNTIF(Dati!$B$2:$B$1216,A67)</f>
        <v>1</v>
      </c>
    </row>
    <row r="68" customFormat="false" ht="35.05" hidden="false" customHeight="false" outlineLevel="0" collapsed="false">
      <c r="A68" s="12" t="s">
        <v>1793</v>
      </c>
      <c r="B68" s="12" t="s">
        <v>1794</v>
      </c>
      <c r="C68" s="12" t="s">
        <v>1795</v>
      </c>
      <c r="D68" s="12" t="s">
        <v>847</v>
      </c>
      <c r="E68" s="12" t="s">
        <v>1796</v>
      </c>
      <c r="F68" s="13" t="s">
        <v>1797</v>
      </c>
      <c r="G68" s="13" t="s">
        <v>6733</v>
      </c>
      <c r="H68" s="12" t="s">
        <v>6734</v>
      </c>
      <c r="I68" s="12" t="s">
        <v>110</v>
      </c>
      <c r="J68" s="12" t="s">
        <v>281</v>
      </c>
      <c r="K68" s="18" t="s">
        <v>6735</v>
      </c>
      <c r="L68" s="18" t="s">
        <v>6587</v>
      </c>
      <c r="M68" s="18" t="s">
        <v>282</v>
      </c>
      <c r="N68" s="18" t="s">
        <v>282</v>
      </c>
      <c r="O68" s="12" t="s">
        <v>6649</v>
      </c>
      <c r="P68" s="12" t="s">
        <v>284</v>
      </c>
      <c r="Q68" s="12" t="s">
        <v>116</v>
      </c>
      <c r="R68" s="19" t="n">
        <f aca="false">COUNTIF(Dati!$B$2:$B$1216,A68)</f>
        <v>8</v>
      </c>
    </row>
    <row r="69" customFormat="false" ht="35.05" hidden="false" customHeight="false" outlineLevel="0" collapsed="false">
      <c r="A69" s="12" t="s">
        <v>1151</v>
      </c>
      <c r="B69" s="12" t="s">
        <v>6736</v>
      </c>
      <c r="C69" s="12" t="s">
        <v>6737</v>
      </c>
      <c r="D69" s="12" t="s">
        <v>6738</v>
      </c>
      <c r="E69" s="12" t="s">
        <v>376</v>
      </c>
      <c r="F69" s="13" t="s">
        <v>1157</v>
      </c>
      <c r="G69" s="12"/>
      <c r="H69" s="12" t="s">
        <v>1152</v>
      </c>
      <c r="I69" s="12" t="s">
        <v>394</v>
      </c>
      <c r="J69" s="12" t="s">
        <v>166</v>
      </c>
      <c r="K69" s="18" t="s">
        <v>6739</v>
      </c>
      <c r="L69" s="18" t="s">
        <v>112</v>
      </c>
      <c r="M69" s="18" t="s">
        <v>6740</v>
      </c>
      <c r="N69" s="18" t="s">
        <v>282</v>
      </c>
      <c r="O69" s="12" t="s">
        <v>6741</v>
      </c>
      <c r="P69" s="12" t="s">
        <v>115</v>
      </c>
      <c r="Q69" s="12" t="s">
        <v>499</v>
      </c>
      <c r="R69" s="19" t="n">
        <f aca="false">COUNTIF(Dati!$B$2:$B$1216,A69)</f>
        <v>3</v>
      </c>
    </row>
    <row r="70" customFormat="false" ht="23.85" hidden="false" customHeight="false" outlineLevel="0" collapsed="false">
      <c r="A70" s="12" t="s">
        <v>1039</v>
      </c>
      <c r="B70" s="12" t="s">
        <v>1040</v>
      </c>
      <c r="C70" s="12" t="s">
        <v>6742</v>
      </c>
      <c r="D70" s="12" t="s">
        <v>940</v>
      </c>
      <c r="E70" s="12" t="s">
        <v>940</v>
      </c>
      <c r="F70" s="13" t="s">
        <v>1042</v>
      </c>
      <c r="G70" s="12"/>
      <c r="H70" s="12" t="s">
        <v>948</v>
      </c>
      <c r="I70" s="12" t="s">
        <v>394</v>
      </c>
      <c r="J70" s="12" t="s">
        <v>112</v>
      </c>
      <c r="K70" s="18" t="s">
        <v>6743</v>
      </c>
      <c r="L70" s="18" t="s">
        <v>112</v>
      </c>
      <c r="M70" s="18" t="s">
        <v>112</v>
      </c>
      <c r="N70" s="18" t="s">
        <v>282</v>
      </c>
      <c r="O70" s="12" t="s">
        <v>282</v>
      </c>
      <c r="P70" s="12" t="s">
        <v>498</v>
      </c>
      <c r="Q70" s="12" t="s">
        <v>116</v>
      </c>
      <c r="R70" s="19" t="n">
        <f aca="false">COUNTIF(Dati!$B$2:$B$1216,A70)</f>
        <v>2</v>
      </c>
    </row>
    <row r="71" customFormat="false" ht="35.05" hidden="false" customHeight="false" outlineLevel="0" collapsed="false">
      <c r="A71" s="12" t="s">
        <v>1806</v>
      </c>
      <c r="B71" s="12" t="s">
        <v>6744</v>
      </c>
      <c r="C71" s="12" t="s">
        <v>6745</v>
      </c>
      <c r="D71" s="12" t="s">
        <v>6746</v>
      </c>
      <c r="E71" s="12" t="s">
        <v>1529</v>
      </c>
      <c r="F71" s="13" t="s">
        <v>1809</v>
      </c>
      <c r="G71" s="12"/>
      <c r="H71" s="12" t="s">
        <v>1663</v>
      </c>
      <c r="I71" s="12" t="s">
        <v>394</v>
      </c>
      <c r="J71" s="12" t="s">
        <v>112</v>
      </c>
      <c r="K71" s="18" t="s">
        <v>6747</v>
      </c>
      <c r="L71" s="18" t="s">
        <v>6748</v>
      </c>
      <c r="M71" s="18" t="s">
        <v>6749</v>
      </c>
      <c r="N71" s="18" t="s">
        <v>6750</v>
      </c>
      <c r="O71" s="12" t="s">
        <v>6695</v>
      </c>
      <c r="P71" s="12" t="s">
        <v>115</v>
      </c>
      <c r="Q71" s="12" t="s">
        <v>116</v>
      </c>
      <c r="R71" s="19" t="n">
        <f aca="false">COUNTIF(Dati!$B$2:$B$1216,A71)</f>
        <v>6</v>
      </c>
    </row>
    <row r="72" customFormat="false" ht="35.05" hidden="false" customHeight="false" outlineLevel="0" collapsed="false">
      <c r="A72" s="12" t="s">
        <v>3206</v>
      </c>
      <c r="B72" s="12" t="s">
        <v>3207</v>
      </c>
      <c r="C72" s="12" t="s">
        <v>3208</v>
      </c>
      <c r="D72" s="12" t="s">
        <v>808</v>
      </c>
      <c r="E72" s="12" t="s">
        <v>524</v>
      </c>
      <c r="F72" s="13" t="s">
        <v>3209</v>
      </c>
      <c r="G72" s="12"/>
      <c r="H72" s="12" t="s">
        <v>2850</v>
      </c>
      <c r="I72" s="12" t="s">
        <v>394</v>
      </c>
      <c r="J72" s="12" t="s">
        <v>166</v>
      </c>
      <c r="K72" s="18" t="s">
        <v>3212</v>
      </c>
      <c r="L72" s="18" t="s">
        <v>6751</v>
      </c>
      <c r="M72" s="18" t="s">
        <v>6752</v>
      </c>
      <c r="N72" s="18" t="s">
        <v>6753</v>
      </c>
      <c r="O72" s="12" t="s">
        <v>282</v>
      </c>
      <c r="P72" s="12" t="s">
        <v>115</v>
      </c>
      <c r="Q72" s="12" t="s">
        <v>116</v>
      </c>
      <c r="R72" s="19" t="n">
        <f aca="false">COUNTIF(Dati!$B$2:$B$1216,A72)</f>
        <v>1</v>
      </c>
    </row>
    <row r="73" customFormat="false" ht="35.05" hidden="false" customHeight="false" outlineLevel="0" collapsed="false">
      <c r="A73" s="12" t="s">
        <v>3214</v>
      </c>
      <c r="B73" s="12" t="s">
        <v>3207</v>
      </c>
      <c r="C73" s="12" t="s">
        <v>3215</v>
      </c>
      <c r="D73" s="12" t="s">
        <v>181</v>
      </c>
      <c r="E73" s="12" t="s">
        <v>3216</v>
      </c>
      <c r="F73" s="13" t="s">
        <v>3217</v>
      </c>
      <c r="G73" s="13" t="s">
        <v>6754</v>
      </c>
      <c r="H73" s="12" t="s">
        <v>2850</v>
      </c>
      <c r="I73" s="12" t="s">
        <v>394</v>
      </c>
      <c r="J73" s="12" t="s">
        <v>166</v>
      </c>
      <c r="K73" s="18" t="s">
        <v>3212</v>
      </c>
      <c r="L73" s="18" t="s">
        <v>6755</v>
      </c>
      <c r="M73" s="18" t="s">
        <v>6752</v>
      </c>
      <c r="N73" s="18" t="s">
        <v>6756</v>
      </c>
      <c r="O73" s="12" t="s">
        <v>282</v>
      </c>
      <c r="P73" s="12" t="s">
        <v>115</v>
      </c>
      <c r="Q73" s="12" t="s">
        <v>116</v>
      </c>
      <c r="R73" s="19" t="n">
        <f aca="false">COUNTIF(Dati!$B$2:$B$1216,A73)</f>
        <v>3</v>
      </c>
    </row>
    <row r="74" customFormat="false" ht="15" hidden="false" customHeight="false" outlineLevel="0" collapsed="false">
      <c r="A74" s="12" t="s">
        <v>5166</v>
      </c>
      <c r="B74" s="12" t="s">
        <v>5167</v>
      </c>
      <c r="C74" s="12" t="s">
        <v>5168</v>
      </c>
      <c r="D74" s="12" t="s">
        <v>583</v>
      </c>
      <c r="E74" s="12" t="s">
        <v>583</v>
      </c>
      <c r="F74" s="13" t="s">
        <v>5169</v>
      </c>
      <c r="G74" s="12"/>
      <c r="H74" s="12" t="s">
        <v>5161</v>
      </c>
      <c r="I74" s="12" t="s">
        <v>394</v>
      </c>
      <c r="J74" s="12" t="s">
        <v>281</v>
      </c>
      <c r="K74" s="18" t="s">
        <v>282</v>
      </c>
      <c r="L74" s="18" t="s">
        <v>112</v>
      </c>
      <c r="M74" s="18" t="s">
        <v>112</v>
      </c>
      <c r="N74" s="18" t="s">
        <v>282</v>
      </c>
      <c r="O74" s="12" t="s">
        <v>6608</v>
      </c>
      <c r="P74" s="12" t="s">
        <v>284</v>
      </c>
      <c r="Q74" s="12" t="s">
        <v>499</v>
      </c>
      <c r="R74" s="19" t="n">
        <f aca="false">COUNTIF(Dati!$B$2:$B$1216,A74)</f>
        <v>2</v>
      </c>
    </row>
    <row r="75" customFormat="false" ht="23.85" hidden="false" customHeight="false" outlineLevel="0" collapsed="false">
      <c r="A75" s="12" t="s">
        <v>3230</v>
      </c>
      <c r="B75" s="12" t="s">
        <v>3231</v>
      </c>
      <c r="C75" s="12" t="s">
        <v>3232</v>
      </c>
      <c r="D75" s="12" t="s">
        <v>1667</v>
      </c>
      <c r="E75" s="12" t="s">
        <v>3233</v>
      </c>
      <c r="F75" s="13" t="s">
        <v>3234</v>
      </c>
      <c r="G75" s="12"/>
      <c r="H75" s="12" t="s">
        <v>2850</v>
      </c>
      <c r="I75" s="12" t="s">
        <v>679</v>
      </c>
      <c r="J75" s="12" t="s">
        <v>112</v>
      </c>
      <c r="K75" s="18" t="s">
        <v>3240</v>
      </c>
      <c r="L75" s="18" t="s">
        <v>112</v>
      </c>
      <c r="M75" s="18" t="s">
        <v>112</v>
      </c>
      <c r="N75" s="18" t="s">
        <v>282</v>
      </c>
      <c r="O75" s="12" t="s">
        <v>282</v>
      </c>
      <c r="P75" s="12" t="s">
        <v>498</v>
      </c>
      <c r="Q75" s="12" t="s">
        <v>3242</v>
      </c>
      <c r="R75" s="19" t="n">
        <f aca="false">COUNTIF(Dati!$B$2:$B$1216,A75)</f>
        <v>3</v>
      </c>
    </row>
    <row r="76" customFormat="false" ht="23.85" hidden="false" customHeight="false" outlineLevel="0" collapsed="false">
      <c r="A76" s="12" t="s">
        <v>4369</v>
      </c>
      <c r="B76" s="12" t="s">
        <v>4370</v>
      </c>
      <c r="C76" s="12" t="s">
        <v>4371</v>
      </c>
      <c r="D76" s="12" t="s">
        <v>2970</v>
      </c>
      <c r="E76" s="12" t="s">
        <v>1716</v>
      </c>
      <c r="F76" s="13" t="s">
        <v>4372</v>
      </c>
      <c r="G76" s="12"/>
      <c r="H76" s="12" t="s">
        <v>4319</v>
      </c>
      <c r="I76" s="12" t="s">
        <v>6757</v>
      </c>
      <c r="J76" s="12" t="s">
        <v>6758</v>
      </c>
      <c r="K76" s="18" t="s">
        <v>4381</v>
      </c>
      <c r="L76" s="18" t="s">
        <v>6759</v>
      </c>
      <c r="M76" s="18" t="s">
        <v>6760</v>
      </c>
      <c r="N76" s="18" t="s">
        <v>6761</v>
      </c>
      <c r="O76" s="12" t="s">
        <v>282</v>
      </c>
      <c r="P76" s="12" t="s">
        <v>6762</v>
      </c>
      <c r="Q76" s="12" t="s">
        <v>116</v>
      </c>
      <c r="R76" s="19" t="n">
        <f aca="false">COUNTIF(Dati!$B$2:$B$1216,A76)</f>
        <v>2</v>
      </c>
    </row>
    <row r="77" customFormat="false" ht="23.85" hidden="false" customHeight="false" outlineLevel="0" collapsed="false">
      <c r="A77" s="12" t="s">
        <v>4384</v>
      </c>
      <c r="B77" s="12" t="s">
        <v>4370</v>
      </c>
      <c r="C77" s="12" t="s">
        <v>4385</v>
      </c>
      <c r="D77" s="12" t="s">
        <v>181</v>
      </c>
      <c r="E77" s="12" t="s">
        <v>181</v>
      </c>
      <c r="F77" s="13" t="s">
        <v>4386</v>
      </c>
      <c r="G77" s="12"/>
      <c r="H77" s="12" t="s">
        <v>4319</v>
      </c>
      <c r="I77" s="12" t="s">
        <v>394</v>
      </c>
      <c r="J77" s="12" t="s">
        <v>281</v>
      </c>
      <c r="K77" s="18" t="s">
        <v>4391</v>
      </c>
      <c r="L77" s="18" t="s">
        <v>112</v>
      </c>
      <c r="M77" s="18" t="s">
        <v>6763</v>
      </c>
      <c r="N77" s="18" t="s">
        <v>6764</v>
      </c>
      <c r="O77" s="12" t="s">
        <v>282</v>
      </c>
      <c r="P77" s="12" t="s">
        <v>498</v>
      </c>
      <c r="Q77" s="12" t="s">
        <v>116</v>
      </c>
      <c r="R77" s="19" t="n">
        <f aca="false">COUNTIF(Dati!$B$2:$B$1216,A77)</f>
        <v>5</v>
      </c>
    </row>
    <row r="78" customFormat="false" ht="35.05" hidden="false" customHeight="false" outlineLevel="0" collapsed="false">
      <c r="A78" s="12" t="s">
        <v>1852</v>
      </c>
      <c r="B78" s="12" t="s">
        <v>6765</v>
      </c>
      <c r="C78" s="12" t="s">
        <v>1854</v>
      </c>
      <c r="D78" s="12" t="s">
        <v>181</v>
      </c>
      <c r="E78" s="12" t="s">
        <v>181</v>
      </c>
      <c r="F78" s="13" t="s">
        <v>1855</v>
      </c>
      <c r="G78" s="12"/>
      <c r="H78" s="12" t="s">
        <v>1663</v>
      </c>
      <c r="I78" s="12" t="s">
        <v>679</v>
      </c>
      <c r="J78" s="12" t="s">
        <v>112</v>
      </c>
      <c r="K78" s="18" t="s">
        <v>6766</v>
      </c>
      <c r="L78" s="18" t="s">
        <v>112</v>
      </c>
      <c r="M78" s="18" t="s">
        <v>112</v>
      </c>
      <c r="N78" s="18" t="s">
        <v>282</v>
      </c>
      <c r="O78" s="12" t="s">
        <v>282</v>
      </c>
      <c r="P78" s="12" t="s">
        <v>498</v>
      </c>
      <c r="Q78" s="12" t="s">
        <v>116</v>
      </c>
      <c r="R78" s="19" t="n">
        <f aca="false">COUNTIF(Dati!$B$2:$B$1216,A78)</f>
        <v>1</v>
      </c>
    </row>
    <row r="79" customFormat="false" ht="23.85" hidden="false" customHeight="false" outlineLevel="0" collapsed="false">
      <c r="A79" s="12" t="s">
        <v>5830</v>
      </c>
      <c r="B79" s="12" t="s">
        <v>5831</v>
      </c>
      <c r="C79" s="12" t="s">
        <v>6767</v>
      </c>
      <c r="D79" s="12" t="s">
        <v>181</v>
      </c>
      <c r="E79" s="12" t="s">
        <v>5833</v>
      </c>
      <c r="F79" s="13" t="s">
        <v>5834</v>
      </c>
      <c r="G79" s="12"/>
      <c r="H79" s="12" t="s">
        <v>6768</v>
      </c>
      <c r="I79" s="12" t="s">
        <v>110</v>
      </c>
      <c r="J79" s="12" t="s">
        <v>112</v>
      </c>
      <c r="K79" s="18" t="s">
        <v>6769</v>
      </c>
      <c r="L79" s="18" t="s">
        <v>6587</v>
      </c>
      <c r="M79" s="18" t="s">
        <v>282</v>
      </c>
      <c r="N79" s="18" t="s">
        <v>282</v>
      </c>
      <c r="O79" s="12" t="s">
        <v>6588</v>
      </c>
      <c r="P79" s="12" t="s">
        <v>284</v>
      </c>
      <c r="Q79" s="12" t="s">
        <v>838</v>
      </c>
      <c r="R79" s="19" t="n">
        <f aca="false">COUNTIF(Dati!$B$2:$B$1216,A79)</f>
        <v>3</v>
      </c>
    </row>
    <row r="80" customFormat="false" ht="23.85" hidden="false" customHeight="false" outlineLevel="0" collapsed="false">
      <c r="A80" s="12" t="s">
        <v>5846</v>
      </c>
      <c r="B80" s="12" t="s">
        <v>5831</v>
      </c>
      <c r="C80" s="12" t="s">
        <v>6770</v>
      </c>
      <c r="D80" s="12" t="s">
        <v>847</v>
      </c>
      <c r="E80" s="12" t="s">
        <v>847</v>
      </c>
      <c r="F80" s="13" t="s">
        <v>5848</v>
      </c>
      <c r="G80" s="12"/>
      <c r="H80" s="12" t="s">
        <v>6771</v>
      </c>
      <c r="I80" s="12" t="s">
        <v>110</v>
      </c>
      <c r="J80" s="12" t="s">
        <v>112</v>
      </c>
      <c r="K80" s="18" t="s">
        <v>6772</v>
      </c>
      <c r="L80" s="18" t="s">
        <v>6587</v>
      </c>
      <c r="M80" s="18" t="s">
        <v>282</v>
      </c>
      <c r="N80" s="18" t="s">
        <v>5851</v>
      </c>
      <c r="O80" s="12" t="s">
        <v>6588</v>
      </c>
      <c r="P80" s="12" t="s">
        <v>284</v>
      </c>
      <c r="Q80" s="12" t="s">
        <v>838</v>
      </c>
      <c r="R80" s="19" t="n">
        <f aca="false">COUNTIF(Dati!$B$2:$B$1216,A80)</f>
        <v>3</v>
      </c>
    </row>
    <row r="81" customFormat="false" ht="15" hidden="false" customHeight="false" outlineLevel="0" collapsed="false">
      <c r="A81" s="12" t="s">
        <v>4945</v>
      </c>
      <c r="B81" s="12" t="s">
        <v>4946</v>
      </c>
      <c r="C81" s="12" t="s">
        <v>4947</v>
      </c>
      <c r="D81" s="12" t="s">
        <v>847</v>
      </c>
      <c r="E81" s="12" t="s">
        <v>1629</v>
      </c>
      <c r="F81" s="13" t="s">
        <v>4948</v>
      </c>
      <c r="G81" s="12"/>
      <c r="H81" s="12" t="s">
        <v>4941</v>
      </c>
      <c r="I81" s="12" t="s">
        <v>110</v>
      </c>
      <c r="J81" s="12" t="s">
        <v>112</v>
      </c>
      <c r="K81" s="18" t="s">
        <v>282</v>
      </c>
      <c r="L81" s="18" t="s">
        <v>112</v>
      </c>
      <c r="M81" s="18" t="s">
        <v>112</v>
      </c>
      <c r="N81" s="18" t="s">
        <v>282</v>
      </c>
      <c r="O81" s="12" t="s">
        <v>282</v>
      </c>
      <c r="P81" s="12" t="s">
        <v>284</v>
      </c>
      <c r="Q81" s="12" t="s">
        <v>499</v>
      </c>
      <c r="R81" s="19" t="n">
        <f aca="false">COUNTIF(Dati!$B$2:$B$1216,A81)</f>
        <v>1</v>
      </c>
    </row>
    <row r="82" customFormat="false" ht="23.85" hidden="false" customHeight="false" outlineLevel="0" collapsed="false">
      <c r="A82" s="12" t="s">
        <v>3254</v>
      </c>
      <c r="B82" s="12" t="s">
        <v>3255</v>
      </c>
      <c r="C82" s="12" t="s">
        <v>3266</v>
      </c>
      <c r="D82" s="12" t="s">
        <v>847</v>
      </c>
      <c r="E82" s="12" t="s">
        <v>3267</v>
      </c>
      <c r="F82" s="13" t="s">
        <v>3268</v>
      </c>
      <c r="G82" s="12"/>
      <c r="H82" s="12" t="s">
        <v>2850</v>
      </c>
      <c r="I82" s="12" t="s">
        <v>6773</v>
      </c>
      <c r="J82" s="12" t="s">
        <v>112</v>
      </c>
      <c r="K82" s="18" t="s">
        <v>3272</v>
      </c>
      <c r="L82" s="18" t="s">
        <v>6774</v>
      </c>
      <c r="M82" s="18" t="s">
        <v>6775</v>
      </c>
      <c r="N82" s="18" t="s">
        <v>282</v>
      </c>
      <c r="O82" s="12" t="s">
        <v>282</v>
      </c>
      <c r="P82" s="12" t="s">
        <v>6762</v>
      </c>
      <c r="Q82" s="12" t="s">
        <v>6776</v>
      </c>
      <c r="R82" s="19" t="n">
        <f aca="false">COUNTIF(Dati!$B$2:$B$1216,A82)</f>
        <v>2</v>
      </c>
    </row>
    <row r="83" customFormat="false" ht="23.85" hidden="false" customHeight="false" outlineLevel="0" collapsed="false">
      <c r="A83" s="12" t="s">
        <v>1053</v>
      </c>
      <c r="B83" s="12" t="s">
        <v>1054</v>
      </c>
      <c r="C83" s="12" t="s">
        <v>1056</v>
      </c>
      <c r="D83" s="12" t="s">
        <v>1057</v>
      </c>
      <c r="E83" s="12" t="s">
        <v>1057</v>
      </c>
      <c r="F83" s="13" t="s">
        <v>1058</v>
      </c>
      <c r="G83" s="12"/>
      <c r="H83" s="12" t="s">
        <v>6777</v>
      </c>
      <c r="I83" s="12" t="s">
        <v>110</v>
      </c>
      <c r="J83" s="12" t="s">
        <v>281</v>
      </c>
      <c r="K83" s="18" t="s">
        <v>6778</v>
      </c>
      <c r="L83" s="18" t="s">
        <v>112</v>
      </c>
      <c r="M83" s="18" t="s">
        <v>112</v>
      </c>
      <c r="N83" s="18" t="s">
        <v>282</v>
      </c>
      <c r="O83" s="12" t="s">
        <v>282</v>
      </c>
      <c r="P83" s="12" t="s">
        <v>284</v>
      </c>
      <c r="Q83" s="12" t="s">
        <v>499</v>
      </c>
      <c r="R83" s="19" t="n">
        <f aca="false">COUNTIF(Dati!$B$2:$B$1216,A83)</f>
        <v>4</v>
      </c>
    </row>
    <row r="84" customFormat="false" ht="23.85" hidden="false" customHeight="false" outlineLevel="0" collapsed="false">
      <c r="A84" s="12" t="s">
        <v>3923</v>
      </c>
      <c r="B84" s="12" t="s">
        <v>3924</v>
      </c>
      <c r="C84" s="12" t="s">
        <v>6779</v>
      </c>
      <c r="D84" s="12" t="s">
        <v>847</v>
      </c>
      <c r="E84" s="12" t="s">
        <v>3926</v>
      </c>
      <c r="F84" s="13" t="s">
        <v>3927</v>
      </c>
      <c r="G84" s="12"/>
      <c r="H84" s="12" t="s">
        <v>3908</v>
      </c>
      <c r="I84" s="12" t="s">
        <v>394</v>
      </c>
      <c r="J84" s="12" t="s">
        <v>166</v>
      </c>
      <c r="K84" s="18" t="s">
        <v>6780</v>
      </c>
      <c r="L84" s="18" t="s">
        <v>112</v>
      </c>
      <c r="M84" s="18" t="s">
        <v>6781</v>
      </c>
      <c r="N84" s="18" t="s">
        <v>282</v>
      </c>
      <c r="O84" s="12" t="s">
        <v>6782</v>
      </c>
      <c r="P84" s="12" t="s">
        <v>407</v>
      </c>
      <c r="Q84" s="12" t="s">
        <v>116</v>
      </c>
      <c r="R84" s="19" t="n">
        <f aca="false">COUNTIF(Dati!$B$2:$B$1216,A84)</f>
        <v>1</v>
      </c>
    </row>
    <row r="85" customFormat="false" ht="23.85" hidden="false" customHeight="false" outlineLevel="0" collapsed="false">
      <c r="A85" s="12" t="s">
        <v>1210</v>
      </c>
      <c r="B85" s="12" t="s">
        <v>6783</v>
      </c>
      <c r="C85" s="12" t="s">
        <v>6784</v>
      </c>
      <c r="D85" s="12" t="s">
        <v>847</v>
      </c>
      <c r="E85" s="12" t="s">
        <v>847</v>
      </c>
      <c r="F85" s="13" t="s">
        <v>6785</v>
      </c>
      <c r="G85" s="12"/>
      <c r="H85" s="12" t="s">
        <v>1152</v>
      </c>
      <c r="I85" s="12" t="s">
        <v>110</v>
      </c>
      <c r="J85" s="12" t="s">
        <v>281</v>
      </c>
      <c r="K85" s="18" t="s">
        <v>6786</v>
      </c>
      <c r="L85" s="18" t="s">
        <v>112</v>
      </c>
      <c r="M85" s="18" t="s">
        <v>112</v>
      </c>
      <c r="N85" s="18" t="s">
        <v>282</v>
      </c>
      <c r="O85" s="12" t="s">
        <v>282</v>
      </c>
      <c r="P85" s="12" t="s">
        <v>284</v>
      </c>
      <c r="Q85" s="12" t="s">
        <v>116</v>
      </c>
      <c r="R85" s="19" t="n">
        <f aca="false">COUNTIF(Dati!$B$2:$B$1216,A85)</f>
        <v>2</v>
      </c>
    </row>
    <row r="86" customFormat="false" ht="35.05" hidden="false" customHeight="false" outlineLevel="0" collapsed="false">
      <c r="A86" s="12" t="s">
        <v>2735</v>
      </c>
      <c r="B86" s="12" t="s">
        <v>2736</v>
      </c>
      <c r="C86" s="12" t="s">
        <v>2737</v>
      </c>
      <c r="D86" s="12" t="s">
        <v>181</v>
      </c>
      <c r="E86" s="12" t="s">
        <v>2527</v>
      </c>
      <c r="F86" s="13" t="s">
        <v>2738</v>
      </c>
      <c r="G86" s="12"/>
      <c r="H86" s="12" t="s">
        <v>2716</v>
      </c>
      <c r="I86" s="12" t="s">
        <v>679</v>
      </c>
      <c r="J86" s="12" t="s">
        <v>166</v>
      </c>
      <c r="K86" s="18" t="s">
        <v>2743</v>
      </c>
      <c r="L86" s="18" t="s">
        <v>6787</v>
      </c>
      <c r="M86" s="18" t="s">
        <v>6788</v>
      </c>
      <c r="N86" s="18" t="s">
        <v>6789</v>
      </c>
      <c r="O86" s="12" t="s">
        <v>6608</v>
      </c>
      <c r="P86" s="12" t="s">
        <v>407</v>
      </c>
      <c r="Q86" s="12" t="s">
        <v>116</v>
      </c>
      <c r="R86" s="19" t="n">
        <f aca="false">COUNTIF(Dati!$B$2:$B$1216,A86)</f>
        <v>2</v>
      </c>
    </row>
    <row r="87" customFormat="false" ht="23.85" hidden="false" customHeight="false" outlineLevel="0" collapsed="false">
      <c r="A87" s="12" t="s">
        <v>2834</v>
      </c>
      <c r="B87" s="12" t="s">
        <v>2835</v>
      </c>
      <c r="C87" s="12" t="s">
        <v>2836</v>
      </c>
      <c r="D87" s="12" t="s">
        <v>6790</v>
      </c>
      <c r="E87" s="12" t="s">
        <v>2837</v>
      </c>
      <c r="F87" s="13" t="s">
        <v>2838</v>
      </c>
      <c r="G87" s="12"/>
      <c r="H87" s="12" t="s">
        <v>2716</v>
      </c>
      <c r="I87" s="12" t="s">
        <v>679</v>
      </c>
      <c r="J87" s="12" t="s">
        <v>281</v>
      </c>
      <c r="K87" s="18" t="s">
        <v>2843</v>
      </c>
      <c r="L87" s="18" t="s">
        <v>6791</v>
      </c>
      <c r="M87" s="18" t="s">
        <v>6792</v>
      </c>
      <c r="N87" s="18" t="s">
        <v>282</v>
      </c>
      <c r="O87" s="12" t="s">
        <v>6608</v>
      </c>
      <c r="P87" s="12" t="s">
        <v>498</v>
      </c>
      <c r="Q87" s="12" t="s">
        <v>499</v>
      </c>
      <c r="R87" s="19" t="n">
        <f aca="false">COUNTIF(Dati!$B$2:$B$1216,A87)</f>
        <v>2</v>
      </c>
    </row>
    <row r="88" customFormat="false" ht="35.05" hidden="false" customHeight="false" outlineLevel="0" collapsed="false">
      <c r="A88" s="12" t="s">
        <v>2715</v>
      </c>
      <c r="B88" s="12" t="s">
        <v>2718</v>
      </c>
      <c r="C88" s="12" t="s">
        <v>2719</v>
      </c>
      <c r="D88" s="12" t="s">
        <v>6611</v>
      </c>
      <c r="E88" s="12" t="s">
        <v>1716</v>
      </c>
      <c r="F88" s="13" t="s">
        <v>2720</v>
      </c>
      <c r="G88" s="12"/>
      <c r="H88" s="12" t="s">
        <v>2716</v>
      </c>
      <c r="I88" s="12" t="s">
        <v>679</v>
      </c>
      <c r="J88" s="12" t="s">
        <v>166</v>
      </c>
      <c r="K88" s="18" t="s">
        <v>2724</v>
      </c>
      <c r="L88" s="18" t="s">
        <v>6793</v>
      </c>
      <c r="M88" s="18" t="s">
        <v>6794</v>
      </c>
      <c r="N88" s="18" t="s">
        <v>6795</v>
      </c>
      <c r="O88" s="12" t="s">
        <v>6608</v>
      </c>
      <c r="P88" s="12" t="s">
        <v>115</v>
      </c>
      <c r="Q88" s="12" t="s">
        <v>116</v>
      </c>
      <c r="R88" s="19" t="n">
        <f aca="false">COUNTIF(Dati!$B$2:$B$1216,A88)</f>
        <v>3</v>
      </c>
    </row>
    <row r="89" customFormat="false" ht="23.85" hidden="false" customHeight="false" outlineLevel="0" collapsed="false">
      <c r="A89" s="12" t="s">
        <v>4305</v>
      </c>
      <c r="B89" s="12" t="s">
        <v>4306</v>
      </c>
      <c r="C89" s="12" t="s">
        <v>4307</v>
      </c>
      <c r="D89" s="12" t="s">
        <v>181</v>
      </c>
      <c r="E89" s="12" t="s">
        <v>3161</v>
      </c>
      <c r="F89" s="13" t="s">
        <v>4308</v>
      </c>
      <c r="G89" s="12"/>
      <c r="H89" s="12" t="s">
        <v>3908</v>
      </c>
      <c r="I89" s="12" t="s">
        <v>110</v>
      </c>
      <c r="J89" s="12" t="s">
        <v>281</v>
      </c>
      <c r="K89" s="18" t="s">
        <v>6796</v>
      </c>
      <c r="L89" s="18" t="s">
        <v>112</v>
      </c>
      <c r="M89" s="18" t="s">
        <v>112</v>
      </c>
      <c r="N89" s="18" t="s">
        <v>282</v>
      </c>
      <c r="O89" s="12" t="s">
        <v>282</v>
      </c>
      <c r="P89" s="12" t="s">
        <v>284</v>
      </c>
      <c r="Q89" s="12" t="s">
        <v>116</v>
      </c>
      <c r="R89" s="19" t="n">
        <f aca="false">COUNTIF(Dati!$B$2:$B$1216,A89)</f>
        <v>2</v>
      </c>
    </row>
    <row r="90" customFormat="false" ht="15" hidden="false" customHeight="false" outlineLevel="0" collapsed="false">
      <c r="A90" s="12" t="s">
        <v>5032</v>
      </c>
      <c r="B90" s="12" t="s">
        <v>5033</v>
      </c>
      <c r="C90" s="12" t="s">
        <v>5034</v>
      </c>
      <c r="D90" s="12" t="s">
        <v>181</v>
      </c>
      <c r="E90" s="12" t="s">
        <v>5035</v>
      </c>
      <c r="F90" s="13" t="s">
        <v>5036</v>
      </c>
      <c r="G90" s="12"/>
      <c r="H90" s="12" t="s">
        <v>4941</v>
      </c>
      <c r="I90" s="12" t="s">
        <v>394</v>
      </c>
      <c r="J90" s="12" t="s">
        <v>112</v>
      </c>
      <c r="K90" s="18" t="s">
        <v>3263</v>
      </c>
      <c r="L90" s="18" t="s">
        <v>112</v>
      </c>
      <c r="M90" s="18" t="s">
        <v>112</v>
      </c>
      <c r="N90" s="18" t="s">
        <v>282</v>
      </c>
      <c r="O90" s="12" t="s">
        <v>282</v>
      </c>
      <c r="P90" s="12" t="s">
        <v>284</v>
      </c>
      <c r="Q90" s="12" t="s">
        <v>499</v>
      </c>
      <c r="R90" s="19" t="n">
        <f aca="false">COUNTIF(Dati!$B$2:$B$1216,A90)</f>
        <v>1</v>
      </c>
    </row>
    <row r="91" customFormat="false" ht="15" hidden="false" customHeight="false" outlineLevel="0" collapsed="false">
      <c r="A91" s="12" t="s">
        <v>1226</v>
      </c>
      <c r="B91" s="12" t="s">
        <v>6797</v>
      </c>
      <c r="C91" s="12" t="s">
        <v>6798</v>
      </c>
      <c r="D91" s="12" t="s">
        <v>1667</v>
      </c>
      <c r="E91" s="12" t="s">
        <v>1229</v>
      </c>
      <c r="F91" s="13" t="s">
        <v>1230</v>
      </c>
      <c r="G91" s="12"/>
      <c r="H91" s="12" t="s">
        <v>1152</v>
      </c>
      <c r="I91" s="12" t="s">
        <v>394</v>
      </c>
      <c r="J91" s="12" t="s">
        <v>112</v>
      </c>
      <c r="K91" s="18" t="s">
        <v>6799</v>
      </c>
      <c r="L91" s="18" t="s">
        <v>112</v>
      </c>
      <c r="M91" s="18" t="s">
        <v>112</v>
      </c>
      <c r="N91" s="18" t="s">
        <v>282</v>
      </c>
      <c r="O91" s="12" t="s">
        <v>6741</v>
      </c>
      <c r="P91" s="12" t="s">
        <v>115</v>
      </c>
      <c r="Q91" s="12" t="s">
        <v>116</v>
      </c>
      <c r="R91" s="19" t="n">
        <f aca="false">COUNTIF(Dati!$B$2:$B$1216,A91)</f>
        <v>1</v>
      </c>
    </row>
    <row r="92" customFormat="false" ht="23.85" hidden="false" customHeight="false" outlineLevel="0" collapsed="false">
      <c r="A92" s="12" t="s">
        <v>1237</v>
      </c>
      <c r="B92" s="12" t="s">
        <v>6797</v>
      </c>
      <c r="C92" s="12" t="s">
        <v>6800</v>
      </c>
      <c r="D92" s="12" t="s">
        <v>1239</v>
      </c>
      <c r="E92" s="12" t="s">
        <v>1239</v>
      </c>
      <c r="F92" s="13" t="s">
        <v>1240</v>
      </c>
      <c r="G92" s="12"/>
      <c r="H92" s="12" t="s">
        <v>1152</v>
      </c>
      <c r="I92" s="12" t="s">
        <v>394</v>
      </c>
      <c r="J92" s="12" t="s">
        <v>166</v>
      </c>
      <c r="K92" s="18" t="s">
        <v>6801</v>
      </c>
      <c r="L92" s="18" t="s">
        <v>112</v>
      </c>
      <c r="M92" s="18" t="s">
        <v>112</v>
      </c>
      <c r="N92" s="18" t="s">
        <v>282</v>
      </c>
      <c r="O92" s="12" t="s">
        <v>6741</v>
      </c>
      <c r="P92" s="12" t="s">
        <v>115</v>
      </c>
      <c r="Q92" s="12" t="s">
        <v>116</v>
      </c>
      <c r="R92" s="19" t="n">
        <f aca="false">COUNTIF(Dati!$B$2:$B$1216,A92)</f>
        <v>2</v>
      </c>
    </row>
    <row r="93" customFormat="false" ht="15" hidden="false" customHeight="false" outlineLevel="0" collapsed="false">
      <c r="A93" s="12" t="s">
        <v>3936</v>
      </c>
      <c r="B93" s="12" t="s">
        <v>3937</v>
      </c>
      <c r="C93" s="12" t="s">
        <v>3938</v>
      </c>
      <c r="D93" s="12" t="s">
        <v>181</v>
      </c>
      <c r="E93" s="12" t="s">
        <v>181</v>
      </c>
      <c r="F93" s="13" t="s">
        <v>3939</v>
      </c>
      <c r="G93" s="12"/>
      <c r="H93" s="12" t="s">
        <v>3908</v>
      </c>
      <c r="I93" s="12" t="s">
        <v>110</v>
      </c>
      <c r="J93" s="12" t="s">
        <v>112</v>
      </c>
      <c r="K93" s="18" t="s">
        <v>6802</v>
      </c>
      <c r="L93" s="18" t="s">
        <v>112</v>
      </c>
      <c r="M93" s="18" t="s">
        <v>112</v>
      </c>
      <c r="N93" s="18" t="s">
        <v>282</v>
      </c>
      <c r="O93" s="12" t="s">
        <v>282</v>
      </c>
      <c r="P93" s="12" t="s">
        <v>284</v>
      </c>
      <c r="Q93" s="12" t="s">
        <v>838</v>
      </c>
      <c r="R93" s="19" t="n">
        <f aca="false">COUNTIF(Dati!$B$2:$B$1216,A93)</f>
        <v>2</v>
      </c>
    </row>
    <row r="94" customFormat="false" ht="35.05" hidden="false" customHeight="false" outlineLevel="0" collapsed="false">
      <c r="A94" s="12" t="s">
        <v>4955</v>
      </c>
      <c r="B94" s="12" t="s">
        <v>4956</v>
      </c>
      <c r="C94" s="12" t="s">
        <v>4957</v>
      </c>
      <c r="D94" s="12" t="s">
        <v>583</v>
      </c>
      <c r="E94" s="12" t="s">
        <v>583</v>
      </c>
      <c r="F94" s="13" t="s">
        <v>4958</v>
      </c>
      <c r="G94" s="12"/>
      <c r="H94" s="12" t="s">
        <v>4941</v>
      </c>
      <c r="I94" s="12" t="s">
        <v>679</v>
      </c>
      <c r="J94" s="12" t="s">
        <v>112</v>
      </c>
      <c r="K94" s="18" t="s">
        <v>4963</v>
      </c>
      <c r="L94" s="18" t="s">
        <v>112</v>
      </c>
      <c r="M94" s="18" t="s">
        <v>6803</v>
      </c>
      <c r="N94" s="18" t="s">
        <v>6804</v>
      </c>
      <c r="O94" s="12" t="s">
        <v>282</v>
      </c>
      <c r="P94" s="12" t="s">
        <v>284</v>
      </c>
      <c r="Q94" s="12" t="s">
        <v>838</v>
      </c>
      <c r="R94" s="19" t="n">
        <f aca="false">COUNTIF(Dati!$B$2:$B$1216,A94)</f>
        <v>3</v>
      </c>
    </row>
    <row r="95" customFormat="false" ht="35.05" hidden="false" customHeight="false" outlineLevel="0" collapsed="false">
      <c r="A95" s="12" t="s">
        <v>4976</v>
      </c>
      <c r="B95" s="12" t="s">
        <v>4956</v>
      </c>
      <c r="C95" s="12" t="s">
        <v>4977</v>
      </c>
      <c r="D95" s="12" t="s">
        <v>181</v>
      </c>
      <c r="E95" s="12" t="s">
        <v>181</v>
      </c>
      <c r="F95" s="13" t="s">
        <v>4978</v>
      </c>
      <c r="G95" s="12"/>
      <c r="H95" s="12" t="s">
        <v>4941</v>
      </c>
      <c r="I95" s="12" t="s">
        <v>679</v>
      </c>
      <c r="J95" s="12" t="s">
        <v>112</v>
      </c>
      <c r="K95" s="18" t="s">
        <v>4963</v>
      </c>
      <c r="L95" s="18" t="s">
        <v>112</v>
      </c>
      <c r="M95" s="18" t="s">
        <v>6805</v>
      </c>
      <c r="N95" s="18" t="s">
        <v>6804</v>
      </c>
      <c r="O95" s="12" t="s">
        <v>282</v>
      </c>
      <c r="P95" s="12" t="s">
        <v>284</v>
      </c>
      <c r="Q95" s="12" t="s">
        <v>838</v>
      </c>
      <c r="R95" s="19" t="n">
        <f aca="false">COUNTIF(Dati!$B$2:$B$1216,A95)</f>
        <v>6</v>
      </c>
    </row>
    <row r="96" customFormat="false" ht="68.65" hidden="false" customHeight="false" outlineLevel="0" collapsed="false">
      <c r="A96" s="12" t="s">
        <v>5420</v>
      </c>
      <c r="B96" s="12" t="s">
        <v>5421</v>
      </c>
      <c r="C96" s="12" t="s">
        <v>5422</v>
      </c>
      <c r="D96" s="12" t="s">
        <v>5423</v>
      </c>
      <c r="E96" s="12" t="s">
        <v>5423</v>
      </c>
      <c r="F96" s="13" t="s">
        <v>5424</v>
      </c>
      <c r="G96" s="12"/>
      <c r="H96" s="12" t="s">
        <v>5397</v>
      </c>
      <c r="I96" s="12" t="s">
        <v>394</v>
      </c>
      <c r="J96" s="12" t="s">
        <v>2399</v>
      </c>
      <c r="K96" s="18" t="s">
        <v>6806</v>
      </c>
      <c r="L96" s="18" t="s">
        <v>6807</v>
      </c>
      <c r="M96" s="18" t="s">
        <v>6808</v>
      </c>
      <c r="N96" s="18" t="s">
        <v>6809</v>
      </c>
      <c r="O96" s="12" t="s">
        <v>6608</v>
      </c>
      <c r="P96" s="12" t="s">
        <v>407</v>
      </c>
      <c r="Q96" s="12" t="s">
        <v>116</v>
      </c>
      <c r="R96" s="19" t="n">
        <f aca="false">COUNTIF(Dati!$B$2:$B$1216,A96)</f>
        <v>8</v>
      </c>
    </row>
    <row r="97" customFormat="false" ht="68.65" hidden="false" customHeight="false" outlineLevel="0" collapsed="false">
      <c r="A97" s="12" t="s">
        <v>5439</v>
      </c>
      <c r="B97" s="12" t="s">
        <v>5421</v>
      </c>
      <c r="C97" s="12" t="s">
        <v>5440</v>
      </c>
      <c r="D97" s="12" t="s">
        <v>748</v>
      </c>
      <c r="E97" s="12" t="s">
        <v>748</v>
      </c>
      <c r="F97" s="13" t="s">
        <v>5441</v>
      </c>
      <c r="G97" s="12"/>
      <c r="H97" s="12" t="s">
        <v>5397</v>
      </c>
      <c r="I97" s="12" t="s">
        <v>394</v>
      </c>
      <c r="J97" s="12" t="s">
        <v>2399</v>
      </c>
      <c r="K97" s="18" t="s">
        <v>6806</v>
      </c>
      <c r="L97" s="18" t="s">
        <v>6810</v>
      </c>
      <c r="M97" s="18" t="s">
        <v>6808</v>
      </c>
      <c r="N97" s="18" t="s">
        <v>6809</v>
      </c>
      <c r="O97" s="12" t="s">
        <v>6608</v>
      </c>
      <c r="P97" s="12" t="s">
        <v>407</v>
      </c>
      <c r="Q97" s="12" t="s">
        <v>116</v>
      </c>
      <c r="R97" s="19" t="n">
        <f aca="false">COUNTIF(Dati!$B$2:$B$1216,A97)</f>
        <v>8</v>
      </c>
    </row>
    <row r="98" customFormat="false" ht="68.65" hidden="false" customHeight="false" outlineLevel="0" collapsed="false">
      <c r="A98" s="12" t="s">
        <v>5445</v>
      </c>
      <c r="B98" s="12" t="s">
        <v>5421</v>
      </c>
      <c r="C98" s="12" t="s">
        <v>5446</v>
      </c>
      <c r="D98" s="12" t="s">
        <v>2899</v>
      </c>
      <c r="E98" s="12" t="s">
        <v>2899</v>
      </c>
      <c r="F98" s="13" t="s">
        <v>5447</v>
      </c>
      <c r="G98" s="12"/>
      <c r="H98" s="12" t="s">
        <v>5397</v>
      </c>
      <c r="I98" s="12" t="s">
        <v>394</v>
      </c>
      <c r="J98" s="12" t="s">
        <v>2399</v>
      </c>
      <c r="K98" s="18" t="s">
        <v>6806</v>
      </c>
      <c r="L98" s="18" t="s">
        <v>6811</v>
      </c>
      <c r="M98" s="18" t="s">
        <v>6808</v>
      </c>
      <c r="N98" s="18" t="s">
        <v>6809</v>
      </c>
      <c r="O98" s="12" t="s">
        <v>6608</v>
      </c>
      <c r="P98" s="12" t="s">
        <v>407</v>
      </c>
      <c r="Q98" s="12" t="s">
        <v>116</v>
      </c>
      <c r="R98" s="19" t="n">
        <f aca="false">COUNTIF(Dati!$B$2:$B$1216,A98)</f>
        <v>8</v>
      </c>
    </row>
    <row r="99" customFormat="false" ht="68.65" hidden="false" customHeight="false" outlineLevel="0" collapsed="false">
      <c r="A99" s="12" t="s">
        <v>5451</v>
      </c>
      <c r="B99" s="12" t="s">
        <v>5421</v>
      </c>
      <c r="C99" s="12" t="s">
        <v>5452</v>
      </c>
      <c r="D99" s="12" t="s">
        <v>1667</v>
      </c>
      <c r="E99" s="12" t="s">
        <v>5453</v>
      </c>
      <c r="F99" s="13" t="s">
        <v>5454</v>
      </c>
      <c r="G99" s="13" t="s">
        <v>6812</v>
      </c>
      <c r="H99" s="12" t="s">
        <v>5397</v>
      </c>
      <c r="I99" s="12" t="s">
        <v>394</v>
      </c>
      <c r="J99" s="12" t="s">
        <v>2399</v>
      </c>
      <c r="K99" s="18" t="s">
        <v>6806</v>
      </c>
      <c r="L99" s="18" t="s">
        <v>6813</v>
      </c>
      <c r="M99" s="18" t="s">
        <v>6808</v>
      </c>
      <c r="N99" s="18" t="s">
        <v>6814</v>
      </c>
      <c r="O99" s="12" t="s">
        <v>6608</v>
      </c>
      <c r="P99" s="12" t="s">
        <v>407</v>
      </c>
      <c r="Q99" s="12" t="s">
        <v>116</v>
      </c>
      <c r="R99" s="19" t="n">
        <f aca="false">COUNTIF(Dati!$B$2:$B$1216,A99)</f>
        <v>8</v>
      </c>
    </row>
    <row r="100" customFormat="false" ht="102.2" hidden="false" customHeight="false" outlineLevel="0" collapsed="false">
      <c r="A100" s="12" t="s">
        <v>5482</v>
      </c>
      <c r="B100" s="12" t="s">
        <v>5483</v>
      </c>
      <c r="C100" s="12" t="s">
        <v>5484</v>
      </c>
      <c r="D100" s="12" t="s">
        <v>6815</v>
      </c>
      <c r="E100" s="12" t="s">
        <v>5485</v>
      </c>
      <c r="F100" s="13" t="s">
        <v>5486</v>
      </c>
      <c r="G100" s="12"/>
      <c r="H100" s="12" t="s">
        <v>5397</v>
      </c>
      <c r="I100" s="12" t="s">
        <v>679</v>
      </c>
      <c r="J100" s="12" t="s">
        <v>166</v>
      </c>
      <c r="K100" s="18" t="s">
        <v>6816</v>
      </c>
      <c r="L100" s="18" t="s">
        <v>6817</v>
      </c>
      <c r="M100" s="18" t="s">
        <v>6818</v>
      </c>
      <c r="N100" s="18" t="s">
        <v>6819</v>
      </c>
      <c r="O100" s="12" t="s">
        <v>6608</v>
      </c>
      <c r="P100" s="12" t="s">
        <v>115</v>
      </c>
      <c r="Q100" s="12" t="s">
        <v>116</v>
      </c>
      <c r="R100" s="19" t="n">
        <f aca="false">COUNTIF(Dati!$B$2:$B$1216,A100)</f>
        <v>2</v>
      </c>
    </row>
    <row r="101" customFormat="false" ht="102.2" hidden="false" customHeight="false" outlineLevel="0" collapsed="false">
      <c r="A101" s="12" t="s">
        <v>5457</v>
      </c>
      <c r="B101" s="12" t="s">
        <v>5458</v>
      </c>
      <c r="C101" s="12" t="s">
        <v>5459</v>
      </c>
      <c r="D101" s="12" t="s">
        <v>6820</v>
      </c>
      <c r="E101" s="12" t="s">
        <v>5460</v>
      </c>
      <c r="F101" s="13" t="s">
        <v>5461</v>
      </c>
      <c r="G101" s="12"/>
      <c r="H101" s="12" t="s">
        <v>5397</v>
      </c>
      <c r="I101" s="12" t="s">
        <v>679</v>
      </c>
      <c r="J101" s="12" t="s">
        <v>166</v>
      </c>
      <c r="K101" s="18" t="s">
        <v>6816</v>
      </c>
      <c r="L101" s="18" t="s">
        <v>6821</v>
      </c>
      <c r="M101" s="18" t="s">
        <v>6822</v>
      </c>
      <c r="N101" s="18" t="s">
        <v>6819</v>
      </c>
      <c r="O101" s="12" t="s">
        <v>6608</v>
      </c>
      <c r="P101" s="12" t="s">
        <v>115</v>
      </c>
      <c r="Q101" s="12" t="s">
        <v>116</v>
      </c>
      <c r="R101" s="19" t="n">
        <f aca="false">COUNTIF(Dati!$B$2:$B$1216,A101)</f>
        <v>2</v>
      </c>
    </row>
    <row r="102" customFormat="false" ht="102.2" hidden="false" customHeight="false" outlineLevel="0" collapsed="false">
      <c r="A102" s="12" t="s">
        <v>5470</v>
      </c>
      <c r="B102" s="12" t="s">
        <v>5458</v>
      </c>
      <c r="C102" s="12" t="s">
        <v>5471</v>
      </c>
      <c r="D102" s="12" t="s">
        <v>6823</v>
      </c>
      <c r="E102" s="12" t="s">
        <v>3420</v>
      </c>
      <c r="F102" s="13" t="s">
        <v>5472</v>
      </c>
      <c r="G102" s="12"/>
      <c r="H102" s="12" t="s">
        <v>5397</v>
      </c>
      <c r="I102" s="12" t="s">
        <v>679</v>
      </c>
      <c r="J102" s="12" t="s">
        <v>166</v>
      </c>
      <c r="K102" s="18" t="s">
        <v>6816</v>
      </c>
      <c r="L102" s="18" t="s">
        <v>6824</v>
      </c>
      <c r="M102" s="18" t="s">
        <v>6822</v>
      </c>
      <c r="N102" s="18" t="s">
        <v>6819</v>
      </c>
      <c r="O102" s="12" t="s">
        <v>6608</v>
      </c>
      <c r="P102" s="12" t="s">
        <v>407</v>
      </c>
      <c r="Q102" s="12" t="s">
        <v>116</v>
      </c>
      <c r="R102" s="19" t="n">
        <f aca="false">COUNTIF(Dati!$B$2:$B$1216,A102)</f>
        <v>2</v>
      </c>
    </row>
    <row r="103" customFormat="false" ht="102.2" hidden="false" customHeight="false" outlineLevel="0" collapsed="false">
      <c r="A103" s="12" t="s">
        <v>5402</v>
      </c>
      <c r="B103" s="12" t="s">
        <v>5403</v>
      </c>
      <c r="C103" s="12" t="s">
        <v>5404</v>
      </c>
      <c r="D103" s="12" t="s">
        <v>6825</v>
      </c>
      <c r="E103" s="12" t="s">
        <v>5405</v>
      </c>
      <c r="F103" s="13" t="s">
        <v>5406</v>
      </c>
      <c r="G103" s="12"/>
      <c r="H103" s="12" t="s">
        <v>5397</v>
      </c>
      <c r="I103" s="12" t="s">
        <v>679</v>
      </c>
      <c r="J103" s="12" t="s">
        <v>166</v>
      </c>
      <c r="K103" s="18" t="s">
        <v>6816</v>
      </c>
      <c r="L103" s="18" t="s">
        <v>6826</v>
      </c>
      <c r="M103" s="18" t="s">
        <v>6822</v>
      </c>
      <c r="N103" s="18" t="s">
        <v>6819</v>
      </c>
      <c r="O103" s="12" t="s">
        <v>6608</v>
      </c>
      <c r="P103" s="12" t="s">
        <v>407</v>
      </c>
      <c r="Q103" s="12" t="s">
        <v>116</v>
      </c>
      <c r="R103" s="19" t="n">
        <f aca="false">COUNTIF(Dati!$B$2:$B$1216,A103)</f>
        <v>2</v>
      </c>
    </row>
    <row r="104" customFormat="false" ht="23.85" hidden="false" customHeight="false" outlineLevel="0" collapsed="false">
      <c r="A104" s="12" t="s">
        <v>2771</v>
      </c>
      <c r="B104" s="12" t="s">
        <v>2772</v>
      </c>
      <c r="C104" s="12" t="s">
        <v>2773</v>
      </c>
      <c r="D104" s="12" t="s">
        <v>6827</v>
      </c>
      <c r="E104" s="12" t="s">
        <v>808</v>
      </c>
      <c r="F104" s="13" t="s">
        <v>2774</v>
      </c>
      <c r="G104" s="12"/>
      <c r="H104" s="12" t="s">
        <v>2716</v>
      </c>
      <c r="I104" s="12" t="s">
        <v>394</v>
      </c>
      <c r="J104" s="12" t="s">
        <v>112</v>
      </c>
      <c r="K104" s="18" t="s">
        <v>2777</v>
      </c>
      <c r="L104" s="18" t="s">
        <v>112</v>
      </c>
      <c r="M104" s="18" t="s">
        <v>112</v>
      </c>
      <c r="N104" s="18" t="s">
        <v>282</v>
      </c>
      <c r="O104" s="12" t="s">
        <v>6608</v>
      </c>
      <c r="P104" s="12" t="s">
        <v>115</v>
      </c>
      <c r="Q104" s="12" t="s">
        <v>116</v>
      </c>
      <c r="R104" s="19" t="n">
        <f aca="false">COUNTIF(Dati!$B$2:$B$1216,A104)</f>
        <v>4</v>
      </c>
    </row>
    <row r="105" customFormat="false" ht="23.85" hidden="false" customHeight="false" outlineLevel="0" collapsed="false">
      <c r="A105" s="12" t="s">
        <v>5005</v>
      </c>
      <c r="B105" s="12" t="s">
        <v>5006</v>
      </c>
      <c r="C105" s="12" t="s">
        <v>5007</v>
      </c>
      <c r="D105" s="12" t="s">
        <v>583</v>
      </c>
      <c r="E105" s="12" t="s">
        <v>583</v>
      </c>
      <c r="F105" s="13" t="s">
        <v>5008</v>
      </c>
      <c r="G105" s="12"/>
      <c r="H105" s="12" t="s">
        <v>4941</v>
      </c>
      <c r="I105" s="12" t="s">
        <v>394</v>
      </c>
      <c r="J105" s="12" t="s">
        <v>112</v>
      </c>
      <c r="K105" s="18" t="s">
        <v>5012</v>
      </c>
      <c r="L105" s="18" t="s">
        <v>112</v>
      </c>
      <c r="M105" s="18" t="s">
        <v>112</v>
      </c>
      <c r="N105" s="18" t="s">
        <v>282</v>
      </c>
      <c r="O105" s="12" t="s">
        <v>282</v>
      </c>
      <c r="P105" s="12" t="s">
        <v>284</v>
      </c>
      <c r="Q105" s="12" t="s">
        <v>116</v>
      </c>
      <c r="R105" s="19" t="n">
        <f aca="false">COUNTIF(Dati!$B$2:$B$1216,A105)</f>
        <v>3</v>
      </c>
    </row>
    <row r="106" customFormat="false" ht="35.05" hidden="false" customHeight="false" outlineLevel="0" collapsed="false">
      <c r="A106" s="12" t="s">
        <v>2430</v>
      </c>
      <c r="B106" s="12" t="s">
        <v>2431</v>
      </c>
      <c r="C106" s="12" t="s">
        <v>6828</v>
      </c>
      <c r="D106" s="12" t="s">
        <v>6829</v>
      </c>
      <c r="E106" s="12" t="s">
        <v>2433</v>
      </c>
      <c r="F106" s="13" t="s">
        <v>2434</v>
      </c>
      <c r="G106" s="13" t="s">
        <v>6830</v>
      </c>
      <c r="H106" s="12" t="s">
        <v>2125</v>
      </c>
      <c r="I106" s="12" t="s">
        <v>394</v>
      </c>
      <c r="J106" s="12" t="s">
        <v>166</v>
      </c>
      <c r="K106" s="18" t="s">
        <v>6831</v>
      </c>
      <c r="L106" s="18" t="s">
        <v>6832</v>
      </c>
      <c r="M106" s="18" t="s">
        <v>6833</v>
      </c>
      <c r="N106" s="18" t="s">
        <v>6834</v>
      </c>
      <c r="O106" s="12" t="s">
        <v>282</v>
      </c>
      <c r="P106" s="12" t="s">
        <v>115</v>
      </c>
      <c r="Q106" s="12" t="s">
        <v>116</v>
      </c>
      <c r="R106" s="19" t="n">
        <f aca="false">COUNTIF(Dati!$B$2:$B$1216,A106)</f>
        <v>1</v>
      </c>
    </row>
    <row r="107" customFormat="false" ht="46.25" hidden="false" customHeight="false" outlineLevel="0" collapsed="false">
      <c r="A107" s="12" t="s">
        <v>6388</v>
      </c>
      <c r="B107" s="12" t="s">
        <v>6835</v>
      </c>
      <c r="C107" s="12" t="s">
        <v>6836</v>
      </c>
      <c r="D107" s="12" t="s">
        <v>6837</v>
      </c>
      <c r="E107" s="12" t="s">
        <v>3706</v>
      </c>
      <c r="F107" s="13" t="s">
        <v>6392</v>
      </c>
      <c r="G107" s="13" t="s">
        <v>6838</v>
      </c>
      <c r="H107" s="12" t="s">
        <v>6839</v>
      </c>
      <c r="I107" s="12" t="s">
        <v>394</v>
      </c>
      <c r="J107" s="12" t="s">
        <v>112</v>
      </c>
      <c r="K107" s="18" t="s">
        <v>6840</v>
      </c>
      <c r="L107" s="18" t="s">
        <v>6841</v>
      </c>
      <c r="M107" s="18" t="s">
        <v>857</v>
      </c>
      <c r="N107" s="18" t="s">
        <v>6842</v>
      </c>
      <c r="O107" s="12" t="s">
        <v>6587</v>
      </c>
      <c r="P107" s="12" t="s">
        <v>115</v>
      </c>
      <c r="Q107" s="12" t="s">
        <v>116</v>
      </c>
      <c r="R107" s="19" t="n">
        <f aca="false">COUNTIF(Dati!$B$2:$B$1216,A107)</f>
        <v>2</v>
      </c>
    </row>
    <row r="108" customFormat="false" ht="23.85" hidden="false" customHeight="false" outlineLevel="0" collapsed="false">
      <c r="A108" s="12" t="s">
        <v>1949</v>
      </c>
      <c r="B108" s="12" t="s">
        <v>1950</v>
      </c>
      <c r="C108" s="12" t="s">
        <v>6843</v>
      </c>
      <c r="D108" s="12" t="s">
        <v>1952</v>
      </c>
      <c r="E108" s="12" t="s">
        <v>1952</v>
      </c>
      <c r="F108" s="13" t="s">
        <v>1953</v>
      </c>
      <c r="G108" s="12"/>
      <c r="H108" s="12" t="s">
        <v>1663</v>
      </c>
      <c r="I108" s="12" t="s">
        <v>679</v>
      </c>
      <c r="J108" s="12" t="s">
        <v>281</v>
      </c>
      <c r="K108" s="18" t="s">
        <v>6844</v>
      </c>
      <c r="L108" s="18" t="s">
        <v>112</v>
      </c>
      <c r="M108" s="18" t="s">
        <v>112</v>
      </c>
      <c r="N108" s="18" t="s">
        <v>282</v>
      </c>
      <c r="O108" s="12" t="s">
        <v>282</v>
      </c>
      <c r="P108" s="12" t="s">
        <v>498</v>
      </c>
      <c r="Q108" s="12" t="s">
        <v>499</v>
      </c>
      <c r="R108" s="19" t="n">
        <f aca="false">COUNTIF(Dati!$B$2:$B$1216,A108)</f>
        <v>3</v>
      </c>
    </row>
    <row r="109" customFormat="false" ht="23.85" hidden="false" customHeight="false" outlineLevel="0" collapsed="false">
      <c r="A109" s="12" t="s">
        <v>1863</v>
      </c>
      <c r="B109" s="12" t="s">
        <v>6845</v>
      </c>
      <c r="C109" s="12" t="s">
        <v>6846</v>
      </c>
      <c r="D109" s="12" t="s">
        <v>6847</v>
      </c>
      <c r="E109" s="12" t="s">
        <v>832</v>
      </c>
      <c r="F109" s="13" t="s">
        <v>1866</v>
      </c>
      <c r="G109" s="12"/>
      <c r="H109" s="12" t="s">
        <v>1663</v>
      </c>
      <c r="I109" s="12" t="s">
        <v>679</v>
      </c>
      <c r="J109" s="12" t="s">
        <v>281</v>
      </c>
      <c r="K109" s="18" t="s">
        <v>6848</v>
      </c>
      <c r="L109" s="18" t="s">
        <v>112</v>
      </c>
      <c r="M109" s="18" t="s">
        <v>112</v>
      </c>
      <c r="N109" s="18" t="s">
        <v>6849</v>
      </c>
      <c r="O109" s="12" t="s">
        <v>6608</v>
      </c>
      <c r="P109" s="12" t="s">
        <v>498</v>
      </c>
      <c r="Q109" s="12" t="s">
        <v>116</v>
      </c>
      <c r="R109" s="19" t="n">
        <f aca="false">COUNTIF(Dati!$B$2:$B$1216,A109)</f>
        <v>1</v>
      </c>
    </row>
    <row r="110" customFormat="false" ht="15" hidden="false" customHeight="false" outlineLevel="0" collapsed="false">
      <c r="A110" s="12" t="s">
        <v>1370</v>
      </c>
      <c r="B110" s="12" t="s">
        <v>1373</v>
      </c>
      <c r="C110" s="12" t="s">
        <v>1374</v>
      </c>
      <c r="D110" s="12" t="s">
        <v>181</v>
      </c>
      <c r="E110" s="12" t="s">
        <v>1375</v>
      </c>
      <c r="F110" s="13" t="s">
        <v>1376</v>
      </c>
      <c r="G110" s="12"/>
      <c r="H110" s="12" t="s">
        <v>1371</v>
      </c>
      <c r="I110" s="12" t="s">
        <v>394</v>
      </c>
      <c r="J110" s="12" t="s">
        <v>281</v>
      </c>
      <c r="K110" s="18" t="s">
        <v>282</v>
      </c>
      <c r="L110" s="18" t="s">
        <v>112</v>
      </c>
      <c r="M110" s="18" t="s">
        <v>112</v>
      </c>
      <c r="N110" s="18" t="s">
        <v>282</v>
      </c>
      <c r="O110" s="12" t="s">
        <v>6608</v>
      </c>
      <c r="P110" s="12" t="s">
        <v>284</v>
      </c>
      <c r="Q110" s="12" t="s">
        <v>116</v>
      </c>
      <c r="R110" s="19" t="n">
        <f aca="false">COUNTIF(Dati!$B$2:$B$1216,A110)</f>
        <v>2</v>
      </c>
    </row>
    <row r="111" customFormat="false" ht="57.45" hidden="false" customHeight="false" outlineLevel="0" collapsed="false">
      <c r="A111" s="12" t="s">
        <v>3784</v>
      </c>
      <c r="B111" s="12" t="s">
        <v>6850</v>
      </c>
      <c r="C111" s="12" t="s">
        <v>6851</v>
      </c>
      <c r="D111" s="12" t="s">
        <v>583</v>
      </c>
      <c r="E111" s="12" t="s">
        <v>1131</v>
      </c>
      <c r="F111" s="13" t="s">
        <v>3787</v>
      </c>
      <c r="G111" s="13" t="s">
        <v>6852</v>
      </c>
      <c r="H111" s="12" t="s">
        <v>3762</v>
      </c>
      <c r="I111" s="12" t="s">
        <v>679</v>
      </c>
      <c r="J111" s="12" t="s">
        <v>112</v>
      </c>
      <c r="K111" s="18" t="s">
        <v>6853</v>
      </c>
      <c r="L111" s="18" t="s">
        <v>112</v>
      </c>
      <c r="M111" s="18" t="s">
        <v>6854</v>
      </c>
      <c r="N111" s="18" t="s">
        <v>6855</v>
      </c>
      <c r="O111" s="12" t="s">
        <v>6608</v>
      </c>
      <c r="P111" s="12" t="s">
        <v>115</v>
      </c>
      <c r="Q111" s="12" t="s">
        <v>116</v>
      </c>
      <c r="R111" s="19" t="n">
        <f aca="false">COUNTIF(Dati!$B$2:$B$1216,A111)</f>
        <v>9</v>
      </c>
    </row>
    <row r="112" customFormat="false" ht="15" hidden="false" customHeight="false" outlineLevel="0" collapsed="false">
      <c r="A112" s="12" t="s">
        <v>5869</v>
      </c>
      <c r="B112" s="12" t="s">
        <v>5870</v>
      </c>
      <c r="C112" s="12" t="s">
        <v>5871</v>
      </c>
      <c r="D112" s="12" t="s">
        <v>847</v>
      </c>
      <c r="E112" s="12" t="s">
        <v>5872</v>
      </c>
      <c r="F112" s="13" t="s">
        <v>5873</v>
      </c>
      <c r="G112" s="12"/>
      <c r="H112" s="12" t="s">
        <v>5753</v>
      </c>
      <c r="I112" s="12" t="s">
        <v>110</v>
      </c>
      <c r="J112" s="12" t="s">
        <v>112</v>
      </c>
      <c r="K112" s="18" t="s">
        <v>6856</v>
      </c>
      <c r="L112" s="18" t="s">
        <v>6587</v>
      </c>
      <c r="M112" s="18" t="s">
        <v>282</v>
      </c>
      <c r="N112" s="18" t="s">
        <v>282</v>
      </c>
      <c r="O112" s="12" t="s">
        <v>6588</v>
      </c>
      <c r="P112" s="12" t="s">
        <v>284</v>
      </c>
      <c r="Q112" s="12" t="s">
        <v>838</v>
      </c>
      <c r="R112" s="19" t="n">
        <f aca="false">COUNTIF(Dati!$B$2:$B$1216,A112)</f>
        <v>2</v>
      </c>
    </row>
    <row r="113" customFormat="false" ht="15" hidden="false" customHeight="false" outlineLevel="0" collapsed="false">
      <c r="A113" s="12" t="s">
        <v>4646</v>
      </c>
      <c r="B113" s="12" t="s">
        <v>6857</v>
      </c>
      <c r="C113" s="12" t="s">
        <v>6858</v>
      </c>
      <c r="D113" s="12" t="s">
        <v>847</v>
      </c>
      <c r="E113" s="12" t="s">
        <v>4649</v>
      </c>
      <c r="F113" s="13" t="s">
        <v>4650</v>
      </c>
      <c r="G113" s="12"/>
      <c r="H113" s="12" t="s">
        <v>4615</v>
      </c>
      <c r="I113" s="12" t="s">
        <v>110</v>
      </c>
      <c r="J113" s="12" t="s">
        <v>112</v>
      </c>
      <c r="K113" s="18" t="s">
        <v>6859</v>
      </c>
      <c r="L113" s="18" t="s">
        <v>112</v>
      </c>
      <c r="M113" s="18" t="s">
        <v>112</v>
      </c>
      <c r="N113" s="18" t="s">
        <v>282</v>
      </c>
      <c r="O113" s="12" t="s">
        <v>282</v>
      </c>
      <c r="P113" s="12" t="s">
        <v>284</v>
      </c>
      <c r="Q113" s="12" t="s">
        <v>499</v>
      </c>
      <c r="R113" s="19" t="n">
        <f aca="false">COUNTIF(Dati!$B$2:$B$1216,A113)</f>
        <v>1</v>
      </c>
    </row>
    <row r="114" customFormat="false" ht="23.85" hidden="false" customHeight="false" outlineLevel="0" collapsed="false">
      <c r="A114" s="12" t="s">
        <v>4691</v>
      </c>
      <c r="B114" s="12" t="s">
        <v>6860</v>
      </c>
      <c r="C114" s="12" t="s">
        <v>6861</v>
      </c>
      <c r="D114" s="12" t="s">
        <v>2970</v>
      </c>
      <c r="E114" s="12" t="s">
        <v>4694</v>
      </c>
      <c r="F114" s="13" t="s">
        <v>4695</v>
      </c>
      <c r="G114" s="12"/>
      <c r="H114" s="12" t="s">
        <v>4615</v>
      </c>
      <c r="I114" s="12" t="s">
        <v>394</v>
      </c>
      <c r="J114" s="12" t="s">
        <v>112</v>
      </c>
      <c r="K114" s="18" t="s">
        <v>6862</v>
      </c>
      <c r="L114" s="18" t="s">
        <v>112</v>
      </c>
      <c r="M114" s="18" t="s">
        <v>112</v>
      </c>
      <c r="N114" s="18" t="s">
        <v>282</v>
      </c>
      <c r="O114" s="12" t="s">
        <v>6863</v>
      </c>
      <c r="P114" s="12" t="s">
        <v>407</v>
      </c>
      <c r="Q114" s="12" t="s">
        <v>116</v>
      </c>
      <c r="R114" s="19" t="n">
        <f aca="false">COUNTIF(Dati!$B$2:$B$1216,A114)</f>
        <v>1</v>
      </c>
    </row>
    <row r="115" customFormat="false" ht="23.85" hidden="false" customHeight="false" outlineLevel="0" collapsed="false">
      <c r="A115" s="12" t="s">
        <v>4749</v>
      </c>
      <c r="B115" s="12" t="s">
        <v>6860</v>
      </c>
      <c r="C115" s="12" t="s">
        <v>4751</v>
      </c>
      <c r="D115" s="12" t="s">
        <v>847</v>
      </c>
      <c r="E115" s="12" t="s">
        <v>4752</v>
      </c>
      <c r="F115" s="13" t="s">
        <v>4753</v>
      </c>
      <c r="G115" s="12"/>
      <c r="H115" s="12" t="s">
        <v>4615</v>
      </c>
      <c r="I115" s="12" t="s">
        <v>394</v>
      </c>
      <c r="J115" s="12" t="s">
        <v>112</v>
      </c>
      <c r="K115" s="18" t="s">
        <v>6864</v>
      </c>
      <c r="L115" s="18" t="s">
        <v>112</v>
      </c>
      <c r="M115" s="18" t="s">
        <v>112</v>
      </c>
      <c r="N115" s="18" t="s">
        <v>282</v>
      </c>
      <c r="O115" s="12" t="s">
        <v>6863</v>
      </c>
      <c r="P115" s="12" t="s">
        <v>115</v>
      </c>
      <c r="Q115" s="12" t="s">
        <v>116</v>
      </c>
      <c r="R115" s="19" t="n">
        <f aca="false">COUNTIF(Dati!$B$2:$B$1216,A115)</f>
        <v>2</v>
      </c>
    </row>
    <row r="116" customFormat="false" ht="15" hidden="false" customHeight="false" outlineLevel="0" collapsed="false">
      <c r="A116" s="12" t="s">
        <v>2751</v>
      </c>
      <c r="B116" s="12" t="s">
        <v>2752</v>
      </c>
      <c r="C116" s="12" t="s">
        <v>2753</v>
      </c>
      <c r="D116" s="12" t="s">
        <v>6865</v>
      </c>
      <c r="E116" s="12" t="s">
        <v>2754</v>
      </c>
      <c r="F116" s="13" t="s">
        <v>2755</v>
      </c>
      <c r="G116" s="12"/>
      <c r="H116" s="12" t="s">
        <v>2716</v>
      </c>
      <c r="I116" s="12" t="s">
        <v>394</v>
      </c>
      <c r="J116" s="12" t="s">
        <v>112</v>
      </c>
      <c r="K116" s="18" t="s">
        <v>2759</v>
      </c>
      <c r="L116" s="18" t="s">
        <v>112</v>
      </c>
      <c r="M116" s="18" t="s">
        <v>112</v>
      </c>
      <c r="N116" s="18" t="s">
        <v>282</v>
      </c>
      <c r="O116" s="12" t="s">
        <v>6608</v>
      </c>
      <c r="P116" s="12" t="s">
        <v>115</v>
      </c>
      <c r="Q116" s="12" t="s">
        <v>116</v>
      </c>
      <c r="R116" s="19" t="n">
        <f aca="false">COUNTIF(Dati!$B$2:$B$1216,A116)</f>
        <v>1</v>
      </c>
    </row>
    <row r="117" customFormat="false" ht="23.85" hidden="false" customHeight="false" outlineLevel="0" collapsed="false">
      <c r="A117" s="12" t="s">
        <v>2762</v>
      </c>
      <c r="B117" s="12" t="s">
        <v>2752</v>
      </c>
      <c r="C117" s="12" t="s">
        <v>2763</v>
      </c>
      <c r="D117" s="12" t="s">
        <v>6866</v>
      </c>
      <c r="E117" s="12" t="s">
        <v>2764</v>
      </c>
      <c r="F117" s="13" t="s">
        <v>2765</v>
      </c>
      <c r="G117" s="12"/>
      <c r="H117" s="12" t="s">
        <v>2716</v>
      </c>
      <c r="I117" s="12" t="s">
        <v>394</v>
      </c>
      <c r="J117" s="12" t="s">
        <v>112</v>
      </c>
      <c r="K117" s="18" t="s">
        <v>2768</v>
      </c>
      <c r="L117" s="18" t="s">
        <v>112</v>
      </c>
      <c r="M117" s="18" t="s">
        <v>112</v>
      </c>
      <c r="N117" s="18" t="s">
        <v>282</v>
      </c>
      <c r="O117" s="12" t="s">
        <v>6608</v>
      </c>
      <c r="P117" s="12" t="s">
        <v>115</v>
      </c>
      <c r="Q117" s="12" t="s">
        <v>116</v>
      </c>
      <c r="R117" s="19" t="n">
        <f aca="false">COUNTIF(Dati!$B$2:$B$1216,A117)</f>
        <v>1</v>
      </c>
    </row>
    <row r="118" customFormat="false" ht="23.85" hidden="false" customHeight="false" outlineLevel="0" collapsed="false">
      <c r="A118" s="12" t="s">
        <v>5496</v>
      </c>
      <c r="B118" s="12" t="s">
        <v>5497</v>
      </c>
      <c r="C118" s="12" t="s">
        <v>5498</v>
      </c>
      <c r="D118" s="12" t="s">
        <v>847</v>
      </c>
      <c r="E118" s="12" t="s">
        <v>5499</v>
      </c>
      <c r="F118" s="13" t="s">
        <v>5500</v>
      </c>
      <c r="G118" s="12"/>
      <c r="H118" s="12" t="s">
        <v>5397</v>
      </c>
      <c r="I118" s="12" t="s">
        <v>394</v>
      </c>
      <c r="J118" s="12" t="s">
        <v>112</v>
      </c>
      <c r="K118" s="18" t="s">
        <v>5503</v>
      </c>
      <c r="L118" s="18" t="s">
        <v>112</v>
      </c>
      <c r="M118" s="18" t="s">
        <v>112</v>
      </c>
      <c r="N118" s="18" t="s">
        <v>6867</v>
      </c>
      <c r="O118" s="12" t="s">
        <v>6608</v>
      </c>
      <c r="P118" s="12" t="s">
        <v>115</v>
      </c>
      <c r="Q118" s="12" t="s">
        <v>116</v>
      </c>
      <c r="R118" s="19" t="n">
        <f aca="false">COUNTIF(Dati!$B$2:$B$1216,A118)</f>
        <v>1</v>
      </c>
    </row>
    <row r="119" customFormat="false" ht="102.2" hidden="false" customHeight="false" outlineLevel="0" collapsed="false">
      <c r="A119" s="12" t="s">
        <v>5506</v>
      </c>
      <c r="B119" s="12" t="s">
        <v>5507</v>
      </c>
      <c r="C119" s="12" t="s">
        <v>5508</v>
      </c>
      <c r="D119" s="12" t="s">
        <v>6868</v>
      </c>
      <c r="E119" s="12" t="s">
        <v>5509</v>
      </c>
      <c r="F119" s="13" t="s">
        <v>5510</v>
      </c>
      <c r="G119" s="12"/>
      <c r="H119" s="12" t="s">
        <v>5397</v>
      </c>
      <c r="I119" s="12" t="s">
        <v>679</v>
      </c>
      <c r="J119" s="12" t="s">
        <v>166</v>
      </c>
      <c r="K119" s="18" t="s">
        <v>6816</v>
      </c>
      <c r="L119" s="18" t="s">
        <v>6869</v>
      </c>
      <c r="M119" s="18" t="s">
        <v>6822</v>
      </c>
      <c r="N119" s="18" t="s">
        <v>6819</v>
      </c>
      <c r="O119" s="12" t="s">
        <v>6608</v>
      </c>
      <c r="P119" s="12" t="s">
        <v>407</v>
      </c>
      <c r="Q119" s="12" t="s">
        <v>116</v>
      </c>
      <c r="R119" s="19" t="n">
        <f aca="false">COUNTIF(Dati!$B$2:$B$1216,A119)</f>
        <v>2</v>
      </c>
    </row>
    <row r="120" customFormat="false" ht="102.2" hidden="false" customHeight="false" outlineLevel="0" collapsed="false">
      <c r="A120" s="12" t="s">
        <v>5519</v>
      </c>
      <c r="B120" s="12" t="s">
        <v>5507</v>
      </c>
      <c r="C120" s="12" t="s">
        <v>5520</v>
      </c>
      <c r="D120" s="12" t="s">
        <v>6870</v>
      </c>
      <c r="E120" s="12" t="s">
        <v>5521</v>
      </c>
      <c r="F120" s="13" t="s">
        <v>5522</v>
      </c>
      <c r="G120" s="12"/>
      <c r="H120" s="12" t="s">
        <v>5397</v>
      </c>
      <c r="I120" s="12" t="s">
        <v>679</v>
      </c>
      <c r="J120" s="12" t="s">
        <v>166</v>
      </c>
      <c r="K120" s="18" t="s">
        <v>6816</v>
      </c>
      <c r="L120" s="18" t="s">
        <v>6871</v>
      </c>
      <c r="M120" s="18" t="s">
        <v>6822</v>
      </c>
      <c r="N120" s="18" t="s">
        <v>6819</v>
      </c>
      <c r="O120" s="12" t="s">
        <v>6608</v>
      </c>
      <c r="P120" s="12" t="s">
        <v>407</v>
      </c>
      <c r="Q120" s="12" t="s">
        <v>116</v>
      </c>
      <c r="R120" s="19" t="n">
        <f aca="false">COUNTIF(Dati!$B$2:$B$1216,A120)</f>
        <v>2</v>
      </c>
    </row>
    <row r="121" customFormat="false" ht="102.2" hidden="false" customHeight="false" outlineLevel="0" collapsed="false">
      <c r="A121" s="12" t="s">
        <v>5530</v>
      </c>
      <c r="B121" s="12" t="s">
        <v>5507</v>
      </c>
      <c r="C121" s="12" t="s">
        <v>5531</v>
      </c>
      <c r="D121" s="12" t="s">
        <v>6872</v>
      </c>
      <c r="E121" s="12" t="s">
        <v>5532</v>
      </c>
      <c r="F121" s="13" t="s">
        <v>5533</v>
      </c>
      <c r="G121" s="12"/>
      <c r="H121" s="12" t="s">
        <v>5397</v>
      </c>
      <c r="I121" s="12" t="s">
        <v>679</v>
      </c>
      <c r="J121" s="12" t="s">
        <v>166</v>
      </c>
      <c r="K121" s="18" t="s">
        <v>6816</v>
      </c>
      <c r="L121" s="18" t="s">
        <v>6873</v>
      </c>
      <c r="M121" s="18" t="s">
        <v>6822</v>
      </c>
      <c r="N121" s="18" t="s">
        <v>6819</v>
      </c>
      <c r="O121" s="12" t="s">
        <v>6608</v>
      </c>
      <c r="P121" s="12" t="s">
        <v>407</v>
      </c>
      <c r="Q121" s="12" t="s">
        <v>116</v>
      </c>
      <c r="R121" s="19" t="n">
        <f aca="false">COUNTIF(Dati!$B$2:$B$1216,A121)</f>
        <v>3</v>
      </c>
    </row>
    <row r="122" customFormat="false" ht="102.2" hidden="false" customHeight="false" outlineLevel="0" collapsed="false">
      <c r="A122" s="12" t="s">
        <v>5548</v>
      </c>
      <c r="B122" s="12" t="s">
        <v>5507</v>
      </c>
      <c r="C122" s="12" t="s">
        <v>5549</v>
      </c>
      <c r="D122" s="12" t="s">
        <v>6874</v>
      </c>
      <c r="E122" s="12" t="s">
        <v>5550</v>
      </c>
      <c r="F122" s="13" t="s">
        <v>5551</v>
      </c>
      <c r="G122" s="12"/>
      <c r="H122" s="12" t="s">
        <v>5397</v>
      </c>
      <c r="I122" s="12" t="s">
        <v>679</v>
      </c>
      <c r="J122" s="12" t="s">
        <v>166</v>
      </c>
      <c r="K122" s="18" t="s">
        <v>6816</v>
      </c>
      <c r="L122" s="18" t="s">
        <v>6875</v>
      </c>
      <c r="M122" s="18" t="s">
        <v>6876</v>
      </c>
      <c r="N122" s="18" t="s">
        <v>6819</v>
      </c>
      <c r="O122" s="12" t="s">
        <v>6608</v>
      </c>
      <c r="P122" s="12" t="s">
        <v>407</v>
      </c>
      <c r="Q122" s="12" t="s">
        <v>116</v>
      </c>
      <c r="R122" s="19" t="n">
        <f aca="false">COUNTIF(Dati!$B$2:$B$1216,A122)</f>
        <v>7</v>
      </c>
    </row>
    <row r="123" customFormat="false" ht="23.85" hidden="false" customHeight="false" outlineLevel="0" collapsed="false">
      <c r="A123" s="12" t="s">
        <v>5021</v>
      </c>
      <c r="B123" s="12" t="s">
        <v>5022</v>
      </c>
      <c r="C123" s="12" t="s">
        <v>5023</v>
      </c>
      <c r="D123" s="12" t="s">
        <v>2970</v>
      </c>
      <c r="E123" s="12" t="s">
        <v>5024</v>
      </c>
      <c r="F123" s="13" t="s">
        <v>5025</v>
      </c>
      <c r="G123" s="12"/>
      <c r="H123" s="12" t="s">
        <v>4941</v>
      </c>
      <c r="I123" s="12" t="s">
        <v>394</v>
      </c>
      <c r="J123" s="12" t="s">
        <v>112</v>
      </c>
      <c r="K123" s="18" t="s">
        <v>5029</v>
      </c>
      <c r="L123" s="18" t="s">
        <v>112</v>
      </c>
      <c r="M123" s="18" t="s">
        <v>112</v>
      </c>
      <c r="N123" s="18" t="s">
        <v>282</v>
      </c>
      <c r="O123" s="12" t="s">
        <v>282</v>
      </c>
      <c r="P123" s="12" t="s">
        <v>115</v>
      </c>
      <c r="Q123" s="12" t="s">
        <v>116</v>
      </c>
      <c r="R123" s="19" t="n">
        <f aca="false">COUNTIF(Dati!$B$2:$B$1216,A123)</f>
        <v>1</v>
      </c>
    </row>
    <row r="124" customFormat="false" ht="46.25" hidden="false" customHeight="false" outlineLevel="0" collapsed="false">
      <c r="A124" s="12" t="s">
        <v>90</v>
      </c>
      <c r="B124" s="12" t="s">
        <v>94</v>
      </c>
      <c r="C124" s="12" t="s">
        <v>6877</v>
      </c>
      <c r="D124" s="12" t="s">
        <v>97</v>
      </c>
      <c r="E124" s="12" t="s">
        <v>97</v>
      </c>
      <c r="F124" s="13" t="s">
        <v>98</v>
      </c>
      <c r="G124" s="13" t="s">
        <v>6878</v>
      </c>
      <c r="H124" s="12" t="s">
        <v>91</v>
      </c>
      <c r="I124" s="12" t="s">
        <v>110</v>
      </c>
      <c r="J124" s="12" t="s">
        <v>112</v>
      </c>
      <c r="K124" s="18" t="s">
        <v>6879</v>
      </c>
      <c r="L124" s="18" t="s">
        <v>6587</v>
      </c>
      <c r="M124" s="18" t="s">
        <v>6587</v>
      </c>
      <c r="N124" s="18" t="s">
        <v>6880</v>
      </c>
      <c r="O124" s="12" t="s">
        <v>6649</v>
      </c>
      <c r="P124" s="12" t="s">
        <v>115</v>
      </c>
      <c r="Q124" s="12" t="s">
        <v>116</v>
      </c>
      <c r="R124" s="19" t="n">
        <f aca="false">COUNTIF(Dati!$B$2:$B$1216,A124)</f>
        <v>2</v>
      </c>
    </row>
    <row r="125" customFormat="false" ht="35.05" hidden="false" customHeight="false" outlineLevel="0" collapsed="false">
      <c r="A125" s="12" t="s">
        <v>123</v>
      </c>
      <c r="B125" s="12" t="s">
        <v>94</v>
      </c>
      <c r="C125" s="12" t="s">
        <v>6881</v>
      </c>
      <c r="D125" s="12" t="s">
        <v>125</v>
      </c>
      <c r="E125" s="12" t="s">
        <v>125</v>
      </c>
      <c r="F125" s="13" t="s">
        <v>126</v>
      </c>
      <c r="G125" s="13" t="s">
        <v>6882</v>
      </c>
      <c r="H125" s="12" t="s">
        <v>91</v>
      </c>
      <c r="I125" s="12" t="s">
        <v>110</v>
      </c>
      <c r="J125" s="12" t="s">
        <v>112</v>
      </c>
      <c r="K125" s="18" t="s">
        <v>6883</v>
      </c>
      <c r="L125" s="18" t="s">
        <v>6587</v>
      </c>
      <c r="M125" s="18" t="s">
        <v>6587</v>
      </c>
      <c r="N125" s="18" t="s">
        <v>6884</v>
      </c>
      <c r="O125" s="12" t="s">
        <v>6649</v>
      </c>
      <c r="P125" s="12" t="s">
        <v>115</v>
      </c>
      <c r="Q125" s="12" t="s">
        <v>116</v>
      </c>
      <c r="R125" s="19" t="n">
        <f aca="false">COUNTIF(Dati!$B$2:$B$1216,A125)</f>
        <v>1</v>
      </c>
    </row>
    <row r="126" customFormat="false" ht="23.85" hidden="false" customHeight="false" outlineLevel="0" collapsed="false">
      <c r="A126" s="12" t="s">
        <v>133</v>
      </c>
      <c r="B126" s="12" t="s">
        <v>6885</v>
      </c>
      <c r="C126" s="12" t="s">
        <v>6886</v>
      </c>
      <c r="D126" s="12" t="s">
        <v>1667</v>
      </c>
      <c r="E126" s="12" t="s">
        <v>135</v>
      </c>
      <c r="F126" s="13" t="s">
        <v>136</v>
      </c>
      <c r="G126" s="12"/>
      <c r="H126" s="12" t="s">
        <v>91</v>
      </c>
      <c r="I126" s="12" t="s">
        <v>110</v>
      </c>
      <c r="J126" s="12" t="s">
        <v>112</v>
      </c>
      <c r="K126" s="18" t="s">
        <v>6887</v>
      </c>
      <c r="L126" s="18" t="s">
        <v>6587</v>
      </c>
      <c r="M126" s="18" t="s">
        <v>6587</v>
      </c>
      <c r="N126" s="18" t="s">
        <v>6888</v>
      </c>
      <c r="O126" s="12" t="s">
        <v>6649</v>
      </c>
      <c r="P126" s="12" t="s">
        <v>115</v>
      </c>
      <c r="Q126" s="12" t="s">
        <v>116</v>
      </c>
      <c r="R126" s="19" t="n">
        <f aca="false">COUNTIF(Dati!$B$2:$B$1216,A126)</f>
        <v>1</v>
      </c>
    </row>
    <row r="127" customFormat="false" ht="23.85" hidden="false" customHeight="false" outlineLevel="0" collapsed="false">
      <c r="A127" s="12" t="s">
        <v>141</v>
      </c>
      <c r="B127" s="12" t="s">
        <v>6885</v>
      </c>
      <c r="C127" s="12" t="s">
        <v>6889</v>
      </c>
      <c r="D127" s="12" t="s">
        <v>6890</v>
      </c>
      <c r="E127" s="12" t="s">
        <v>143</v>
      </c>
      <c r="F127" s="13" t="s">
        <v>144</v>
      </c>
      <c r="G127" s="12"/>
      <c r="H127" s="12" t="s">
        <v>91</v>
      </c>
      <c r="I127" s="12" t="s">
        <v>110</v>
      </c>
      <c r="J127" s="12" t="s">
        <v>112</v>
      </c>
      <c r="K127" s="18" t="s">
        <v>6891</v>
      </c>
      <c r="L127" s="18" t="s">
        <v>6587</v>
      </c>
      <c r="M127" s="18" t="s">
        <v>6587</v>
      </c>
      <c r="N127" s="18" t="s">
        <v>6892</v>
      </c>
      <c r="O127" s="12" t="s">
        <v>6649</v>
      </c>
      <c r="P127" s="12" t="s">
        <v>115</v>
      </c>
      <c r="Q127" s="12" t="s">
        <v>116</v>
      </c>
      <c r="R127" s="19" t="n">
        <f aca="false">COUNTIF(Dati!$B$2:$B$1216,A127)</f>
        <v>1</v>
      </c>
    </row>
    <row r="128" customFormat="false" ht="23.85" hidden="false" customHeight="false" outlineLevel="0" collapsed="false">
      <c r="A128" s="12" t="s">
        <v>149</v>
      </c>
      <c r="B128" s="12" t="s">
        <v>6885</v>
      </c>
      <c r="C128" s="12" t="s">
        <v>6893</v>
      </c>
      <c r="D128" s="12" t="s">
        <v>151</v>
      </c>
      <c r="E128" s="12" t="s">
        <v>151</v>
      </c>
      <c r="F128" s="13" t="s">
        <v>152</v>
      </c>
      <c r="G128" s="12"/>
      <c r="H128" s="12" t="s">
        <v>91</v>
      </c>
      <c r="I128" s="12" t="s">
        <v>110</v>
      </c>
      <c r="J128" s="12" t="s">
        <v>112</v>
      </c>
      <c r="K128" s="18" t="s">
        <v>6894</v>
      </c>
      <c r="L128" s="18" t="s">
        <v>6587</v>
      </c>
      <c r="M128" s="18" t="s">
        <v>6587</v>
      </c>
      <c r="N128" s="18" t="s">
        <v>6895</v>
      </c>
      <c r="O128" s="12" t="s">
        <v>6649</v>
      </c>
      <c r="P128" s="12" t="s">
        <v>115</v>
      </c>
      <c r="Q128" s="12" t="s">
        <v>116</v>
      </c>
      <c r="R128" s="19" t="n">
        <f aca="false">COUNTIF(Dati!$B$2:$B$1216,A128)</f>
        <v>1</v>
      </c>
    </row>
    <row r="129" customFormat="false" ht="23.85" hidden="false" customHeight="false" outlineLevel="0" collapsed="false">
      <c r="A129" s="12" t="s">
        <v>1175</v>
      </c>
      <c r="B129" s="12" t="s">
        <v>94</v>
      </c>
      <c r="C129" s="12" t="s">
        <v>6896</v>
      </c>
      <c r="D129" s="12" t="s">
        <v>808</v>
      </c>
      <c r="E129" s="12" t="s">
        <v>808</v>
      </c>
      <c r="F129" s="13" t="s">
        <v>1178</v>
      </c>
      <c r="G129" s="12"/>
      <c r="H129" s="12" t="s">
        <v>1152</v>
      </c>
      <c r="I129" s="12" t="s">
        <v>394</v>
      </c>
      <c r="J129" s="12" t="s">
        <v>281</v>
      </c>
      <c r="K129" s="18" t="s">
        <v>6897</v>
      </c>
      <c r="L129" s="18" t="s">
        <v>112</v>
      </c>
      <c r="M129" s="18" t="s">
        <v>112</v>
      </c>
      <c r="N129" s="18" t="s">
        <v>282</v>
      </c>
      <c r="O129" s="12" t="s">
        <v>282</v>
      </c>
      <c r="P129" s="12" t="s">
        <v>115</v>
      </c>
      <c r="Q129" s="12" t="s">
        <v>116</v>
      </c>
      <c r="R129" s="19" t="n">
        <f aca="false">COUNTIF(Dati!$B$2:$B$1216,A129)</f>
        <v>1</v>
      </c>
    </row>
    <row r="130" customFormat="false" ht="46.25" hidden="false" customHeight="false" outlineLevel="0" collapsed="false">
      <c r="A130" s="12" t="s">
        <v>160</v>
      </c>
      <c r="B130" s="12" t="s">
        <v>94</v>
      </c>
      <c r="C130" s="12" t="s">
        <v>6898</v>
      </c>
      <c r="D130" s="12" t="s">
        <v>808</v>
      </c>
      <c r="E130" s="12" t="s">
        <v>162</v>
      </c>
      <c r="F130" s="13" t="s">
        <v>163</v>
      </c>
      <c r="G130" s="13" t="s">
        <v>6899</v>
      </c>
      <c r="H130" s="12" t="s">
        <v>91</v>
      </c>
      <c r="I130" s="12" t="s">
        <v>110</v>
      </c>
      <c r="J130" s="12" t="s">
        <v>166</v>
      </c>
      <c r="K130" s="18" t="s">
        <v>6900</v>
      </c>
      <c r="L130" s="18" t="s">
        <v>6901</v>
      </c>
      <c r="M130" s="18" t="s">
        <v>6902</v>
      </c>
      <c r="N130" s="18" t="s">
        <v>6903</v>
      </c>
      <c r="O130" s="12" t="s">
        <v>6649</v>
      </c>
      <c r="P130" s="12" t="s">
        <v>115</v>
      </c>
      <c r="Q130" s="12" t="s">
        <v>116</v>
      </c>
      <c r="R130" s="19" t="n">
        <f aca="false">COUNTIF(Dati!$B$2:$B$1216,A130)</f>
        <v>1</v>
      </c>
    </row>
    <row r="131" customFormat="false" ht="46.25" hidden="false" customHeight="false" outlineLevel="0" collapsed="false">
      <c r="A131" s="12" t="s">
        <v>170</v>
      </c>
      <c r="B131" s="12" t="s">
        <v>94</v>
      </c>
      <c r="C131" s="12" t="s">
        <v>171</v>
      </c>
      <c r="D131" s="12" t="s">
        <v>181</v>
      </c>
      <c r="E131" s="12" t="s">
        <v>172</v>
      </c>
      <c r="F131" s="13" t="s">
        <v>173</v>
      </c>
      <c r="G131" s="13" t="s">
        <v>6904</v>
      </c>
      <c r="H131" s="12" t="s">
        <v>91</v>
      </c>
      <c r="I131" s="12" t="s">
        <v>110</v>
      </c>
      <c r="J131" s="12" t="s">
        <v>166</v>
      </c>
      <c r="K131" s="18" t="s">
        <v>6905</v>
      </c>
      <c r="L131" s="18" t="s">
        <v>6906</v>
      </c>
      <c r="M131" s="18" t="s">
        <v>6902</v>
      </c>
      <c r="N131" s="18" t="s">
        <v>6907</v>
      </c>
      <c r="O131" s="12" t="s">
        <v>6649</v>
      </c>
      <c r="P131" s="12" t="s">
        <v>115</v>
      </c>
      <c r="Q131" s="12" t="s">
        <v>116</v>
      </c>
      <c r="R131" s="19" t="n">
        <f aca="false">COUNTIF(Dati!$B$2:$B$1216,A131)</f>
        <v>1</v>
      </c>
    </row>
    <row r="132" customFormat="false" ht="23.85" hidden="false" customHeight="false" outlineLevel="0" collapsed="false">
      <c r="A132" s="12" t="s">
        <v>1259</v>
      </c>
      <c r="B132" s="12" t="s">
        <v>1262</v>
      </c>
      <c r="C132" s="12" t="s">
        <v>1263</v>
      </c>
      <c r="D132" s="12" t="s">
        <v>847</v>
      </c>
      <c r="E132" s="12" t="s">
        <v>847</v>
      </c>
      <c r="F132" s="13" t="s">
        <v>1264</v>
      </c>
      <c r="G132" s="12"/>
      <c r="H132" s="12" t="s">
        <v>1260</v>
      </c>
      <c r="I132" s="12" t="s">
        <v>394</v>
      </c>
      <c r="J132" s="12" t="s">
        <v>112</v>
      </c>
      <c r="K132" s="18" t="s">
        <v>1269</v>
      </c>
      <c r="L132" s="18" t="s">
        <v>112</v>
      </c>
      <c r="M132" s="18" t="s">
        <v>112</v>
      </c>
      <c r="N132" s="18" t="s">
        <v>282</v>
      </c>
      <c r="O132" s="12" t="s">
        <v>282</v>
      </c>
      <c r="P132" s="12" t="s">
        <v>498</v>
      </c>
      <c r="Q132" s="12" t="s">
        <v>116</v>
      </c>
      <c r="R132" s="19" t="n">
        <f aca="false">COUNTIF(Dati!$B$2:$B$1216,A132)</f>
        <v>4</v>
      </c>
    </row>
    <row r="133" customFormat="false" ht="15" hidden="false" customHeight="false" outlineLevel="0" collapsed="false">
      <c r="A133" s="12" t="s">
        <v>3746</v>
      </c>
      <c r="B133" s="12" t="s">
        <v>3749</v>
      </c>
      <c r="C133" s="12" t="s">
        <v>3750</v>
      </c>
      <c r="D133" s="12" t="s">
        <v>583</v>
      </c>
      <c r="E133" s="12" t="s">
        <v>583</v>
      </c>
      <c r="F133" s="13" t="s">
        <v>3751</v>
      </c>
      <c r="G133" s="12"/>
      <c r="H133" s="12" t="s">
        <v>3747</v>
      </c>
      <c r="I133" s="12" t="s">
        <v>394</v>
      </c>
      <c r="J133" s="12" t="s">
        <v>112</v>
      </c>
      <c r="K133" s="18" t="s">
        <v>3755</v>
      </c>
      <c r="L133" s="18" t="s">
        <v>112</v>
      </c>
      <c r="M133" s="18" t="s">
        <v>112</v>
      </c>
      <c r="N133" s="18" t="s">
        <v>282</v>
      </c>
      <c r="O133" s="12" t="s">
        <v>282</v>
      </c>
      <c r="P133" s="12" t="s">
        <v>498</v>
      </c>
      <c r="Q133" s="12" t="s">
        <v>116</v>
      </c>
      <c r="R133" s="19" t="n">
        <f aca="false">COUNTIF(Dati!$B$2:$B$1216,A133)</f>
        <v>2</v>
      </c>
    </row>
    <row r="134" customFormat="false" ht="23.85" hidden="false" customHeight="false" outlineLevel="0" collapsed="false">
      <c r="A134" s="12" t="s">
        <v>1282</v>
      </c>
      <c r="B134" s="12" t="s">
        <v>1283</v>
      </c>
      <c r="C134" s="12" t="s">
        <v>1284</v>
      </c>
      <c r="D134" s="12" t="s">
        <v>583</v>
      </c>
      <c r="E134" s="12" t="s">
        <v>583</v>
      </c>
      <c r="F134" s="13" t="s">
        <v>1285</v>
      </c>
      <c r="G134" s="12"/>
      <c r="H134" s="12" t="s">
        <v>1260</v>
      </c>
      <c r="I134" s="12" t="s">
        <v>394</v>
      </c>
      <c r="J134" s="12" t="s">
        <v>112</v>
      </c>
      <c r="K134" s="18" t="s">
        <v>1289</v>
      </c>
      <c r="L134" s="18" t="s">
        <v>112</v>
      </c>
      <c r="M134" s="18" t="s">
        <v>112</v>
      </c>
      <c r="N134" s="18" t="s">
        <v>282</v>
      </c>
      <c r="O134" s="12" t="s">
        <v>282</v>
      </c>
      <c r="P134" s="12" t="s">
        <v>498</v>
      </c>
      <c r="Q134" s="12" t="s">
        <v>116</v>
      </c>
      <c r="R134" s="19" t="n">
        <f aca="false">COUNTIF(Dati!$B$2:$B$1216,A134)</f>
        <v>1</v>
      </c>
    </row>
    <row r="135" customFormat="false" ht="35.05" hidden="false" customHeight="false" outlineLevel="0" collapsed="false">
      <c r="A135" s="12" t="s">
        <v>179</v>
      </c>
      <c r="B135" s="12" t="s">
        <v>94</v>
      </c>
      <c r="C135" s="12" t="s">
        <v>180</v>
      </c>
      <c r="D135" s="12" t="s">
        <v>181</v>
      </c>
      <c r="E135" s="12" t="s">
        <v>181</v>
      </c>
      <c r="F135" s="13" t="s">
        <v>182</v>
      </c>
      <c r="G135" s="13" t="s">
        <v>6908</v>
      </c>
      <c r="H135" s="12" t="s">
        <v>6909</v>
      </c>
      <c r="I135" s="12" t="s">
        <v>110</v>
      </c>
      <c r="J135" s="12" t="s">
        <v>112</v>
      </c>
      <c r="K135" s="18" t="s">
        <v>6910</v>
      </c>
      <c r="L135" s="18" t="s">
        <v>6587</v>
      </c>
      <c r="M135" s="18" t="s">
        <v>6587</v>
      </c>
      <c r="N135" s="18" t="s">
        <v>6911</v>
      </c>
      <c r="O135" s="12" t="s">
        <v>6649</v>
      </c>
      <c r="P135" s="12" t="s">
        <v>115</v>
      </c>
      <c r="Q135" s="12" t="s">
        <v>116</v>
      </c>
      <c r="R135" s="19" t="n">
        <f aca="false">COUNTIF(Dati!$B$2:$B$1216,A135)</f>
        <v>1</v>
      </c>
    </row>
    <row r="136" customFormat="false" ht="68.65" hidden="false" customHeight="false" outlineLevel="0" collapsed="false">
      <c r="A136" s="12" t="s">
        <v>657</v>
      </c>
      <c r="B136" s="12" t="s">
        <v>94</v>
      </c>
      <c r="C136" s="12" t="s">
        <v>6912</v>
      </c>
      <c r="D136" s="12" t="s">
        <v>661</v>
      </c>
      <c r="E136" s="12" t="s">
        <v>661</v>
      </c>
      <c r="F136" s="13" t="s">
        <v>662</v>
      </c>
      <c r="G136" s="13" t="s">
        <v>674</v>
      </c>
      <c r="H136" s="12" t="s">
        <v>6913</v>
      </c>
      <c r="I136" s="12" t="s">
        <v>110</v>
      </c>
      <c r="J136" s="12" t="s">
        <v>281</v>
      </c>
      <c r="K136" s="18" t="s">
        <v>6914</v>
      </c>
      <c r="L136" s="18" t="s">
        <v>6587</v>
      </c>
      <c r="M136" s="18" t="s">
        <v>282</v>
      </c>
      <c r="N136" s="18" t="s">
        <v>6915</v>
      </c>
      <c r="O136" s="12" t="s">
        <v>6649</v>
      </c>
      <c r="P136" s="12" t="s">
        <v>284</v>
      </c>
      <c r="Q136" s="12" t="s">
        <v>116</v>
      </c>
      <c r="R136" s="19" t="n">
        <f aca="false">COUNTIF(Dati!$B$2:$B$1216,A136)</f>
        <v>6</v>
      </c>
    </row>
    <row r="137" customFormat="false" ht="79.85" hidden="false" customHeight="false" outlineLevel="0" collapsed="false">
      <c r="A137" s="12" t="s">
        <v>188</v>
      </c>
      <c r="B137" s="12" t="s">
        <v>94</v>
      </c>
      <c r="C137" s="12" t="s">
        <v>6916</v>
      </c>
      <c r="D137" s="12" t="s">
        <v>190</v>
      </c>
      <c r="E137" s="12" t="s">
        <v>190</v>
      </c>
      <c r="F137" s="13" t="s">
        <v>191</v>
      </c>
      <c r="G137" s="13" t="s">
        <v>6917</v>
      </c>
      <c r="H137" s="12" t="s">
        <v>91</v>
      </c>
      <c r="I137" s="12" t="s">
        <v>110</v>
      </c>
      <c r="J137" s="12" t="s">
        <v>201</v>
      </c>
      <c r="K137" s="18" t="s">
        <v>6918</v>
      </c>
      <c r="L137" s="18" t="s">
        <v>6587</v>
      </c>
      <c r="M137" s="18" t="s">
        <v>6919</v>
      </c>
      <c r="N137" s="18" t="s">
        <v>6920</v>
      </c>
      <c r="O137" s="12" t="s">
        <v>6649</v>
      </c>
      <c r="P137" s="12" t="s">
        <v>115</v>
      </c>
      <c r="Q137" s="12" t="s">
        <v>116</v>
      </c>
      <c r="R137" s="19" t="n">
        <f aca="false">COUNTIF(Dati!$B$2:$B$1216,A137)</f>
        <v>11</v>
      </c>
    </row>
    <row r="138" customFormat="false" ht="46.25" hidden="false" customHeight="false" outlineLevel="0" collapsed="false">
      <c r="A138" s="12" t="s">
        <v>692</v>
      </c>
      <c r="B138" s="12" t="s">
        <v>272</v>
      </c>
      <c r="C138" s="12" t="s">
        <v>693</v>
      </c>
      <c r="D138" s="12" t="s">
        <v>6921</v>
      </c>
      <c r="E138" s="12" t="s">
        <v>694</v>
      </c>
      <c r="F138" s="13" t="s">
        <v>695</v>
      </c>
      <c r="G138" s="12"/>
      <c r="H138" s="12" t="s">
        <v>658</v>
      </c>
      <c r="I138" s="12" t="s">
        <v>110</v>
      </c>
      <c r="J138" s="12" t="s">
        <v>281</v>
      </c>
      <c r="K138" s="18" t="s">
        <v>6922</v>
      </c>
      <c r="L138" s="18" t="s">
        <v>6587</v>
      </c>
      <c r="M138" s="18" t="s">
        <v>6587</v>
      </c>
      <c r="N138" s="18" t="s">
        <v>6923</v>
      </c>
      <c r="O138" s="12" t="s">
        <v>6649</v>
      </c>
      <c r="P138" s="12" t="s">
        <v>498</v>
      </c>
      <c r="Q138" s="12" t="s">
        <v>116</v>
      </c>
      <c r="R138" s="19" t="n">
        <f aca="false">COUNTIF(Dati!$B$2:$B$1216,A138)</f>
        <v>4</v>
      </c>
    </row>
    <row r="139" customFormat="false" ht="35.05" hidden="false" customHeight="false" outlineLevel="0" collapsed="false">
      <c r="A139" s="12" t="s">
        <v>271</v>
      </c>
      <c r="B139" s="12" t="s">
        <v>6924</v>
      </c>
      <c r="C139" s="12" t="s">
        <v>6925</v>
      </c>
      <c r="D139" s="12" t="s">
        <v>6926</v>
      </c>
      <c r="E139" s="12" t="s">
        <v>274</v>
      </c>
      <c r="F139" s="13" t="s">
        <v>275</v>
      </c>
      <c r="G139" s="12"/>
      <c r="H139" s="12" t="s">
        <v>91</v>
      </c>
      <c r="I139" s="12" t="s">
        <v>110</v>
      </c>
      <c r="J139" s="12" t="s">
        <v>281</v>
      </c>
      <c r="K139" s="18" t="s">
        <v>6927</v>
      </c>
      <c r="L139" s="18" t="s">
        <v>6587</v>
      </c>
      <c r="M139" s="18" t="s">
        <v>6587</v>
      </c>
      <c r="N139" s="18" t="s">
        <v>6928</v>
      </c>
      <c r="O139" s="12" t="s">
        <v>6649</v>
      </c>
      <c r="P139" s="12" t="s">
        <v>498</v>
      </c>
      <c r="Q139" s="12" t="s">
        <v>116</v>
      </c>
      <c r="R139" s="19" t="n">
        <f aca="false">COUNTIF(Dati!$B$2:$B$1216,A139)</f>
        <v>2</v>
      </c>
    </row>
    <row r="140" customFormat="false" ht="46.25" hidden="false" customHeight="false" outlineLevel="0" collapsed="false">
      <c r="A140" s="12" t="s">
        <v>291</v>
      </c>
      <c r="B140" s="12" t="s">
        <v>292</v>
      </c>
      <c r="C140" s="12" t="s">
        <v>6929</v>
      </c>
      <c r="D140" s="12" t="s">
        <v>6930</v>
      </c>
      <c r="E140" s="12" t="s">
        <v>294</v>
      </c>
      <c r="F140" s="13" t="s">
        <v>295</v>
      </c>
      <c r="G140" s="13" t="s">
        <v>6931</v>
      </c>
      <c r="H140" s="12" t="s">
        <v>91</v>
      </c>
      <c r="I140" s="12" t="s">
        <v>110</v>
      </c>
      <c r="J140" s="12" t="s">
        <v>112</v>
      </c>
      <c r="K140" s="18" t="s">
        <v>6932</v>
      </c>
      <c r="L140" s="18" t="s">
        <v>6587</v>
      </c>
      <c r="M140" s="18" t="s">
        <v>6587</v>
      </c>
      <c r="N140" s="18" t="s">
        <v>6933</v>
      </c>
      <c r="O140" s="12" t="s">
        <v>6649</v>
      </c>
      <c r="P140" s="12" t="s">
        <v>115</v>
      </c>
      <c r="Q140" s="12" t="s">
        <v>116</v>
      </c>
      <c r="R140" s="19" t="n">
        <f aca="false">COUNTIF(Dati!$B$2:$B$1216,A140)</f>
        <v>4</v>
      </c>
    </row>
    <row r="141" customFormat="false" ht="23.85" hidden="false" customHeight="false" outlineLevel="0" collapsed="false">
      <c r="A141" s="12" t="s">
        <v>308</v>
      </c>
      <c r="B141" s="12" t="s">
        <v>292</v>
      </c>
      <c r="C141" s="12" t="s">
        <v>6934</v>
      </c>
      <c r="D141" s="12" t="s">
        <v>6935</v>
      </c>
      <c r="E141" s="12" t="s">
        <v>181</v>
      </c>
      <c r="F141" s="13" t="s">
        <v>310</v>
      </c>
      <c r="G141" s="12"/>
      <c r="H141" s="12" t="s">
        <v>91</v>
      </c>
      <c r="I141" s="12" t="s">
        <v>110</v>
      </c>
      <c r="J141" s="12" t="s">
        <v>112</v>
      </c>
      <c r="K141" s="18" t="s">
        <v>6936</v>
      </c>
      <c r="L141" s="18" t="s">
        <v>6587</v>
      </c>
      <c r="M141" s="18" t="s">
        <v>6587</v>
      </c>
      <c r="N141" s="18" t="s">
        <v>6933</v>
      </c>
      <c r="O141" s="12" t="s">
        <v>6649</v>
      </c>
      <c r="P141" s="12" t="s">
        <v>115</v>
      </c>
      <c r="Q141" s="12" t="s">
        <v>116</v>
      </c>
      <c r="R141" s="19" t="n">
        <f aca="false">COUNTIF(Dati!$B$2:$B$1216,A141)</f>
        <v>5</v>
      </c>
    </row>
    <row r="142" customFormat="false" ht="23.85" hidden="false" customHeight="false" outlineLevel="0" collapsed="false">
      <c r="A142" s="12" t="s">
        <v>328</v>
      </c>
      <c r="B142" s="12" t="s">
        <v>292</v>
      </c>
      <c r="C142" s="12" t="s">
        <v>6937</v>
      </c>
      <c r="D142" s="12" t="s">
        <v>6938</v>
      </c>
      <c r="E142" s="12" t="s">
        <v>330</v>
      </c>
      <c r="F142" s="13" t="s">
        <v>331</v>
      </c>
      <c r="G142" s="12"/>
      <c r="H142" s="12" t="s">
        <v>91</v>
      </c>
      <c r="I142" s="12" t="s">
        <v>110</v>
      </c>
      <c r="J142" s="12" t="s">
        <v>112</v>
      </c>
      <c r="K142" s="18" t="s">
        <v>6939</v>
      </c>
      <c r="L142" s="18" t="s">
        <v>6587</v>
      </c>
      <c r="M142" s="18" t="s">
        <v>6587</v>
      </c>
      <c r="N142" s="18" t="s">
        <v>6940</v>
      </c>
      <c r="O142" s="12" t="s">
        <v>6649</v>
      </c>
      <c r="P142" s="12" t="s">
        <v>115</v>
      </c>
      <c r="Q142" s="12" t="s">
        <v>116</v>
      </c>
      <c r="R142" s="19" t="n">
        <f aca="false">COUNTIF(Dati!$B$2:$B$1216,A142)</f>
        <v>4</v>
      </c>
    </row>
    <row r="143" customFormat="false" ht="57.45" hidden="false" customHeight="false" outlineLevel="0" collapsed="false">
      <c r="A143" s="12" t="s">
        <v>343</v>
      </c>
      <c r="B143" s="12" t="s">
        <v>344</v>
      </c>
      <c r="C143" s="12" t="s">
        <v>346</v>
      </c>
      <c r="D143" s="12" t="s">
        <v>6941</v>
      </c>
      <c r="E143" s="12" t="s">
        <v>347</v>
      </c>
      <c r="F143" s="13" t="s">
        <v>348</v>
      </c>
      <c r="G143" s="13" t="s">
        <v>6942</v>
      </c>
      <c r="H143" s="12" t="s">
        <v>6943</v>
      </c>
      <c r="I143" s="12" t="s">
        <v>110</v>
      </c>
      <c r="J143" s="12" t="s">
        <v>281</v>
      </c>
      <c r="K143" s="18" t="s">
        <v>6944</v>
      </c>
      <c r="L143" s="18" t="s">
        <v>6587</v>
      </c>
      <c r="M143" s="18" t="s">
        <v>282</v>
      </c>
      <c r="N143" s="18" t="s">
        <v>6945</v>
      </c>
      <c r="O143" s="12" t="s">
        <v>6649</v>
      </c>
      <c r="P143" s="12" t="s">
        <v>284</v>
      </c>
      <c r="Q143" s="12" t="s">
        <v>116</v>
      </c>
      <c r="R143" s="19" t="n">
        <f aca="false">COUNTIF(Dati!$B$2:$B$1216,A143)</f>
        <v>6</v>
      </c>
    </row>
    <row r="144" customFormat="false" ht="46.25" hidden="false" customHeight="false" outlineLevel="0" collapsed="false">
      <c r="A144" s="12" t="s">
        <v>5881</v>
      </c>
      <c r="B144" s="12" t="s">
        <v>344</v>
      </c>
      <c r="C144" s="12" t="s">
        <v>5882</v>
      </c>
      <c r="D144" s="12" t="s">
        <v>748</v>
      </c>
      <c r="E144" s="12" t="s">
        <v>748</v>
      </c>
      <c r="F144" s="13" t="s">
        <v>5883</v>
      </c>
      <c r="G144" s="12"/>
      <c r="H144" s="12" t="s">
        <v>6946</v>
      </c>
      <c r="I144" s="12" t="s">
        <v>110</v>
      </c>
      <c r="J144" s="12" t="s">
        <v>112</v>
      </c>
      <c r="K144" s="18" t="s">
        <v>6947</v>
      </c>
      <c r="L144" s="18" t="s">
        <v>6587</v>
      </c>
      <c r="M144" s="18" t="s">
        <v>282</v>
      </c>
      <c r="N144" s="18" t="s">
        <v>282</v>
      </c>
      <c r="O144" s="12" t="s">
        <v>6649</v>
      </c>
      <c r="P144" s="12" t="s">
        <v>284</v>
      </c>
      <c r="Q144" s="12" t="s">
        <v>116</v>
      </c>
      <c r="R144" s="19" t="n">
        <f aca="false">COUNTIF(Dati!$B$2:$B$1216,A144)</f>
        <v>1</v>
      </c>
    </row>
    <row r="145" customFormat="false" ht="23.85" hidden="false" customHeight="false" outlineLevel="0" collapsed="false">
      <c r="A145" s="12" t="s">
        <v>5891</v>
      </c>
      <c r="B145" s="12" t="s">
        <v>344</v>
      </c>
      <c r="C145" s="12" t="s">
        <v>6948</v>
      </c>
      <c r="D145" s="12" t="s">
        <v>2899</v>
      </c>
      <c r="E145" s="12" t="s">
        <v>2899</v>
      </c>
      <c r="F145" s="13" t="s">
        <v>5893</v>
      </c>
      <c r="G145" s="12"/>
      <c r="H145" s="12" t="s">
        <v>5753</v>
      </c>
      <c r="I145" s="12" t="s">
        <v>110</v>
      </c>
      <c r="J145" s="12" t="s">
        <v>112</v>
      </c>
      <c r="K145" s="18" t="s">
        <v>6949</v>
      </c>
      <c r="L145" s="18" t="s">
        <v>6587</v>
      </c>
      <c r="M145" s="18" t="s">
        <v>282</v>
      </c>
      <c r="N145" s="18" t="s">
        <v>282</v>
      </c>
      <c r="O145" s="12" t="s">
        <v>6649</v>
      </c>
      <c r="P145" s="12" t="s">
        <v>284</v>
      </c>
      <c r="Q145" s="12" t="s">
        <v>116</v>
      </c>
      <c r="R145" s="19" t="n">
        <f aca="false">COUNTIF(Dati!$B$2:$B$1216,A145)</f>
        <v>1</v>
      </c>
    </row>
    <row r="146" customFormat="false" ht="23.85" hidden="false" customHeight="false" outlineLevel="0" collapsed="false">
      <c r="A146" s="12" t="s">
        <v>1489</v>
      </c>
      <c r="B146" s="12" t="s">
        <v>1492</v>
      </c>
      <c r="C146" s="12" t="s">
        <v>1493</v>
      </c>
      <c r="D146" s="12" t="s">
        <v>847</v>
      </c>
      <c r="E146" s="12" t="s">
        <v>1494</v>
      </c>
      <c r="F146" s="13" t="s">
        <v>1495</v>
      </c>
      <c r="G146" s="12"/>
      <c r="H146" s="12" t="s">
        <v>1490</v>
      </c>
      <c r="I146" s="12" t="s">
        <v>394</v>
      </c>
      <c r="J146" s="12" t="s">
        <v>112</v>
      </c>
      <c r="K146" s="18" t="s">
        <v>1498</v>
      </c>
      <c r="L146" s="18" t="s">
        <v>112</v>
      </c>
      <c r="M146" s="18" t="s">
        <v>112</v>
      </c>
      <c r="N146" s="18" t="s">
        <v>282</v>
      </c>
      <c r="O146" s="12" t="s">
        <v>6608</v>
      </c>
      <c r="P146" s="12" t="s">
        <v>115</v>
      </c>
      <c r="Q146" s="12" t="s">
        <v>116</v>
      </c>
      <c r="R146" s="19" t="n">
        <f aca="false">COUNTIF(Dati!$B$2:$B$1216,A146)</f>
        <v>1</v>
      </c>
    </row>
    <row r="147" customFormat="false" ht="15" hidden="false" customHeight="false" outlineLevel="0" collapsed="false">
      <c r="A147" s="12" t="s">
        <v>1567</v>
      </c>
      <c r="B147" s="12" t="s">
        <v>1568</v>
      </c>
      <c r="C147" s="12" t="s">
        <v>1569</v>
      </c>
      <c r="D147" s="12" t="s">
        <v>2970</v>
      </c>
      <c r="E147" s="12" t="s">
        <v>1570</v>
      </c>
      <c r="F147" s="13" t="s">
        <v>1571</v>
      </c>
      <c r="G147" s="12"/>
      <c r="H147" s="12" t="s">
        <v>1556</v>
      </c>
      <c r="I147" s="12" t="s">
        <v>110</v>
      </c>
      <c r="J147" s="12" t="s">
        <v>112</v>
      </c>
      <c r="K147" s="18" t="s">
        <v>282</v>
      </c>
      <c r="L147" s="18" t="s">
        <v>112</v>
      </c>
      <c r="M147" s="18" t="s">
        <v>112</v>
      </c>
      <c r="N147" s="18" t="s">
        <v>282</v>
      </c>
      <c r="O147" s="12" t="s">
        <v>6608</v>
      </c>
      <c r="P147" s="12" t="s">
        <v>284</v>
      </c>
      <c r="Q147" s="12" t="s">
        <v>116</v>
      </c>
      <c r="R147" s="19" t="n">
        <f aca="false">COUNTIF(Dati!$B$2:$B$1216,A147)</f>
        <v>1</v>
      </c>
    </row>
    <row r="148" customFormat="false" ht="23.85" hidden="false" customHeight="false" outlineLevel="0" collapsed="false">
      <c r="A148" s="12" t="s">
        <v>373</v>
      </c>
      <c r="B148" s="12" t="s">
        <v>374</v>
      </c>
      <c r="C148" s="12" t="s">
        <v>375</v>
      </c>
      <c r="D148" s="12" t="s">
        <v>181</v>
      </c>
      <c r="E148" s="12" t="s">
        <v>376</v>
      </c>
      <c r="F148" s="13" t="s">
        <v>377</v>
      </c>
      <c r="G148" s="12"/>
      <c r="H148" s="12" t="s">
        <v>91</v>
      </c>
      <c r="I148" s="12" t="s">
        <v>110</v>
      </c>
      <c r="J148" s="12" t="s">
        <v>112</v>
      </c>
      <c r="K148" s="18" t="s">
        <v>6950</v>
      </c>
      <c r="L148" s="18" t="s">
        <v>6587</v>
      </c>
      <c r="M148" s="18" t="s">
        <v>6587</v>
      </c>
      <c r="N148" s="18" t="s">
        <v>6951</v>
      </c>
      <c r="O148" s="12" t="s">
        <v>6649</v>
      </c>
      <c r="P148" s="12" t="s">
        <v>115</v>
      </c>
      <c r="Q148" s="12" t="s">
        <v>116</v>
      </c>
      <c r="R148" s="19" t="n">
        <f aca="false">COUNTIF(Dati!$B$2:$B$1216,A148)</f>
        <v>2</v>
      </c>
    </row>
    <row r="149" customFormat="false" ht="57.45" hidden="false" customHeight="false" outlineLevel="0" collapsed="false">
      <c r="A149" s="12" t="s">
        <v>5900</v>
      </c>
      <c r="B149" s="12" t="s">
        <v>374</v>
      </c>
      <c r="C149" s="12" t="s">
        <v>6952</v>
      </c>
      <c r="D149" s="12" t="s">
        <v>5902</v>
      </c>
      <c r="E149" s="12" t="s">
        <v>5902</v>
      </c>
      <c r="F149" s="13" t="s">
        <v>5903</v>
      </c>
      <c r="G149" s="12"/>
      <c r="H149" s="12" t="s">
        <v>5753</v>
      </c>
      <c r="I149" s="12" t="s">
        <v>110</v>
      </c>
      <c r="J149" s="12" t="s">
        <v>281</v>
      </c>
      <c r="K149" s="18" t="s">
        <v>6953</v>
      </c>
      <c r="L149" s="18" t="s">
        <v>6587</v>
      </c>
      <c r="M149" s="18" t="s">
        <v>282</v>
      </c>
      <c r="N149" s="18" t="s">
        <v>282</v>
      </c>
      <c r="O149" s="12" t="s">
        <v>6649</v>
      </c>
      <c r="P149" s="12" t="s">
        <v>284</v>
      </c>
      <c r="Q149" s="12" t="s">
        <v>116</v>
      </c>
      <c r="R149" s="19" t="n">
        <f aca="false">COUNTIF(Dati!$B$2:$B$1216,A149)</f>
        <v>2</v>
      </c>
    </row>
    <row r="150" customFormat="false" ht="68.65" hidden="false" customHeight="false" outlineLevel="0" collapsed="false">
      <c r="A150" s="12" t="s">
        <v>6954</v>
      </c>
      <c r="B150" s="12" t="s">
        <v>374</v>
      </c>
      <c r="C150" s="12" t="s">
        <v>6955</v>
      </c>
      <c r="D150" s="12" t="s">
        <v>6956</v>
      </c>
      <c r="E150" s="12" t="s">
        <v>6957</v>
      </c>
      <c r="F150" s="13" t="s">
        <v>6958</v>
      </c>
      <c r="G150" s="13" t="s">
        <v>6959</v>
      </c>
      <c r="H150" s="12" t="s">
        <v>91</v>
      </c>
      <c r="I150" s="12" t="s">
        <v>3261</v>
      </c>
      <c r="J150" s="12" t="s">
        <v>166</v>
      </c>
      <c r="K150" s="18" t="s">
        <v>6960</v>
      </c>
      <c r="L150" s="18" t="s">
        <v>6587</v>
      </c>
      <c r="M150" s="18" t="s">
        <v>6961</v>
      </c>
      <c r="N150" s="18" t="s">
        <v>6962</v>
      </c>
      <c r="O150" s="12" t="s">
        <v>6649</v>
      </c>
      <c r="P150" s="12" t="s">
        <v>407</v>
      </c>
      <c r="Q150" s="12" t="s">
        <v>116</v>
      </c>
      <c r="R150" s="19" t="n">
        <f aca="false">COUNTIF(Dati!$B$2:$B$1216,A150)</f>
        <v>0</v>
      </c>
    </row>
    <row r="151" customFormat="false" ht="46.25" hidden="false" customHeight="false" outlineLevel="0" collapsed="false">
      <c r="A151" s="12" t="s">
        <v>6963</v>
      </c>
      <c r="B151" s="12" t="s">
        <v>374</v>
      </c>
      <c r="C151" s="12" t="s">
        <v>6964</v>
      </c>
      <c r="D151" s="12" t="s">
        <v>6965</v>
      </c>
      <c r="E151" s="12" t="s">
        <v>6966</v>
      </c>
      <c r="F151" s="13" t="s">
        <v>6967</v>
      </c>
      <c r="G151" s="13" t="s">
        <v>6968</v>
      </c>
      <c r="H151" s="12" t="s">
        <v>6969</v>
      </c>
      <c r="I151" s="12" t="s">
        <v>3261</v>
      </c>
      <c r="J151" s="12" t="s">
        <v>112</v>
      </c>
      <c r="K151" s="18" t="s">
        <v>6970</v>
      </c>
      <c r="L151" s="18" t="s">
        <v>6971</v>
      </c>
      <c r="M151" s="18" t="s">
        <v>112</v>
      </c>
      <c r="N151" s="18" t="s">
        <v>6972</v>
      </c>
      <c r="O151" s="12" t="s">
        <v>6587</v>
      </c>
      <c r="P151" s="12" t="s">
        <v>115</v>
      </c>
      <c r="Q151" s="12" t="s">
        <v>116</v>
      </c>
      <c r="R151" s="19" t="n">
        <f aca="false">COUNTIF(Dati!$B$2:$B$1216,A151)</f>
        <v>0</v>
      </c>
    </row>
    <row r="152" customFormat="false" ht="46.25" hidden="false" customHeight="false" outlineLevel="0" collapsed="false">
      <c r="A152" s="12" t="s">
        <v>384</v>
      </c>
      <c r="B152" s="12" t="s">
        <v>374</v>
      </c>
      <c r="C152" s="12" t="s">
        <v>6973</v>
      </c>
      <c r="D152" s="12" t="s">
        <v>6974</v>
      </c>
      <c r="E152" s="12" t="s">
        <v>387</v>
      </c>
      <c r="F152" s="13" t="s">
        <v>388</v>
      </c>
      <c r="G152" s="13" t="s">
        <v>6975</v>
      </c>
      <c r="H152" s="12" t="s">
        <v>6976</v>
      </c>
      <c r="I152" s="12" t="s">
        <v>394</v>
      </c>
      <c r="J152" s="12" t="s">
        <v>112</v>
      </c>
      <c r="K152" s="18" t="s">
        <v>6977</v>
      </c>
      <c r="L152" s="18" t="s">
        <v>6978</v>
      </c>
      <c r="M152" s="18" t="s">
        <v>112</v>
      </c>
      <c r="N152" s="18" t="s">
        <v>6979</v>
      </c>
      <c r="O152" s="12" t="s">
        <v>6649</v>
      </c>
      <c r="P152" s="12" t="s">
        <v>115</v>
      </c>
      <c r="Q152" s="12" t="s">
        <v>116</v>
      </c>
      <c r="R152" s="19" t="n">
        <f aca="false">COUNTIF(Dati!$B$2:$B$1216,A152)</f>
        <v>1</v>
      </c>
    </row>
    <row r="153" customFormat="false" ht="68.65" hidden="false" customHeight="false" outlineLevel="0" collapsed="false">
      <c r="A153" s="12" t="s">
        <v>399</v>
      </c>
      <c r="B153" s="12" t="s">
        <v>374</v>
      </c>
      <c r="C153" s="12" t="s">
        <v>6980</v>
      </c>
      <c r="D153" s="12" t="s">
        <v>6981</v>
      </c>
      <c r="E153" s="12" t="s">
        <v>401</v>
      </c>
      <c r="F153" s="13" t="s">
        <v>402</v>
      </c>
      <c r="G153" s="13" t="s">
        <v>6982</v>
      </c>
      <c r="H153" s="12" t="s">
        <v>91</v>
      </c>
      <c r="I153" s="12" t="s">
        <v>394</v>
      </c>
      <c r="J153" s="12" t="s">
        <v>112</v>
      </c>
      <c r="K153" s="18" t="s">
        <v>6983</v>
      </c>
      <c r="L153" s="18" t="s">
        <v>6984</v>
      </c>
      <c r="M153" s="18" t="s">
        <v>6985</v>
      </c>
      <c r="N153" s="18" t="s">
        <v>6986</v>
      </c>
      <c r="O153" s="12" t="s">
        <v>6649</v>
      </c>
      <c r="P153" s="12" t="s">
        <v>407</v>
      </c>
      <c r="Q153" s="12" t="s">
        <v>116</v>
      </c>
      <c r="R153" s="19" t="n">
        <f aca="false">COUNTIF(Dati!$B$2:$B$1216,A153)</f>
        <v>9</v>
      </c>
    </row>
    <row r="154" customFormat="false" ht="46.25" hidden="false" customHeight="false" outlineLevel="0" collapsed="false">
      <c r="A154" s="12" t="s">
        <v>437</v>
      </c>
      <c r="B154" s="12" t="s">
        <v>374</v>
      </c>
      <c r="C154" s="12" t="s">
        <v>6987</v>
      </c>
      <c r="D154" s="12" t="s">
        <v>6988</v>
      </c>
      <c r="E154" s="12" t="s">
        <v>439</v>
      </c>
      <c r="F154" s="13" t="s">
        <v>440</v>
      </c>
      <c r="G154" s="13" t="s">
        <v>6989</v>
      </c>
      <c r="H154" s="12" t="s">
        <v>91</v>
      </c>
      <c r="I154" s="12" t="s">
        <v>394</v>
      </c>
      <c r="J154" s="12" t="s">
        <v>112</v>
      </c>
      <c r="K154" s="18" t="s">
        <v>6990</v>
      </c>
      <c r="L154" s="18" t="s">
        <v>6991</v>
      </c>
      <c r="M154" s="18" t="s">
        <v>6985</v>
      </c>
      <c r="N154" s="18" t="s">
        <v>6979</v>
      </c>
      <c r="O154" s="12" t="s">
        <v>6649</v>
      </c>
      <c r="P154" s="12" t="s">
        <v>115</v>
      </c>
      <c r="Q154" s="12" t="s">
        <v>116</v>
      </c>
      <c r="R154" s="19" t="n">
        <f aca="false">COUNTIF(Dati!$B$2:$B$1216,A154)</f>
        <v>13</v>
      </c>
    </row>
    <row r="155" customFormat="false" ht="79.85" hidden="false" customHeight="false" outlineLevel="0" collapsed="false">
      <c r="A155" s="12" t="s">
        <v>484</v>
      </c>
      <c r="B155" s="12" t="s">
        <v>374</v>
      </c>
      <c r="C155" s="12" t="s">
        <v>6992</v>
      </c>
      <c r="D155" s="12" t="s">
        <v>6993</v>
      </c>
      <c r="E155" s="12" t="s">
        <v>486</v>
      </c>
      <c r="F155" s="13" t="s">
        <v>487</v>
      </c>
      <c r="G155" s="13" t="s">
        <v>6994</v>
      </c>
      <c r="H155" s="12" t="s">
        <v>91</v>
      </c>
      <c r="I155" s="12" t="s">
        <v>394</v>
      </c>
      <c r="J155" s="12" t="s">
        <v>112</v>
      </c>
      <c r="K155" s="18" t="s">
        <v>6995</v>
      </c>
      <c r="L155" s="18" t="s">
        <v>6996</v>
      </c>
      <c r="M155" s="18" t="s">
        <v>6997</v>
      </c>
      <c r="N155" s="18" t="s">
        <v>6986</v>
      </c>
      <c r="O155" s="12" t="s">
        <v>6649</v>
      </c>
      <c r="P155" s="12" t="s">
        <v>407</v>
      </c>
      <c r="Q155" s="12" t="s">
        <v>116</v>
      </c>
      <c r="R155" s="19" t="n">
        <f aca="false">COUNTIF(Dati!$B$2:$B$1216,A155)</f>
        <v>13</v>
      </c>
    </row>
    <row r="156" customFormat="false" ht="79.85" hidden="false" customHeight="false" outlineLevel="0" collapsed="false">
      <c r="A156" s="12" t="s">
        <v>522</v>
      </c>
      <c r="B156" s="12" t="s">
        <v>374</v>
      </c>
      <c r="C156" s="12" t="s">
        <v>6998</v>
      </c>
      <c r="D156" s="12" t="s">
        <v>6999</v>
      </c>
      <c r="E156" s="12" t="s">
        <v>524</v>
      </c>
      <c r="F156" s="13" t="s">
        <v>525</v>
      </c>
      <c r="G156" s="13" t="s">
        <v>7000</v>
      </c>
      <c r="H156" s="12" t="s">
        <v>91</v>
      </c>
      <c r="I156" s="12" t="s">
        <v>394</v>
      </c>
      <c r="J156" s="12" t="s">
        <v>112</v>
      </c>
      <c r="K156" s="18" t="s">
        <v>7001</v>
      </c>
      <c r="L156" s="18" t="s">
        <v>7002</v>
      </c>
      <c r="M156" s="18" t="s">
        <v>7003</v>
      </c>
      <c r="N156" s="18" t="s">
        <v>6986</v>
      </c>
      <c r="O156" s="12" t="s">
        <v>6649</v>
      </c>
      <c r="P156" s="12" t="s">
        <v>407</v>
      </c>
      <c r="Q156" s="12" t="s">
        <v>116</v>
      </c>
      <c r="R156" s="19" t="n">
        <f aca="false">COUNTIF(Dati!$B$2:$B$1216,A156)</f>
        <v>12</v>
      </c>
    </row>
    <row r="157" customFormat="false" ht="91" hidden="false" customHeight="false" outlineLevel="0" collapsed="false">
      <c r="A157" s="12" t="s">
        <v>557</v>
      </c>
      <c r="B157" s="12" t="s">
        <v>374</v>
      </c>
      <c r="C157" s="12" t="s">
        <v>7004</v>
      </c>
      <c r="D157" s="12" t="s">
        <v>7005</v>
      </c>
      <c r="E157" s="12" t="s">
        <v>559</v>
      </c>
      <c r="F157" s="13" t="s">
        <v>566</v>
      </c>
      <c r="G157" s="13" t="s">
        <v>7006</v>
      </c>
      <c r="H157" s="12" t="s">
        <v>7007</v>
      </c>
      <c r="I157" s="12" t="s">
        <v>394</v>
      </c>
      <c r="J157" s="12" t="s">
        <v>112</v>
      </c>
      <c r="K157" s="18" t="s">
        <v>7008</v>
      </c>
      <c r="L157" s="18" t="s">
        <v>7009</v>
      </c>
      <c r="M157" s="18" t="s">
        <v>7010</v>
      </c>
      <c r="N157" s="18" t="s">
        <v>7011</v>
      </c>
      <c r="O157" s="12" t="s">
        <v>6649</v>
      </c>
      <c r="P157" s="12" t="s">
        <v>407</v>
      </c>
      <c r="Q157" s="12" t="s">
        <v>116</v>
      </c>
      <c r="R157" s="19" t="n">
        <f aca="false">COUNTIF(Dati!$B$2:$B$1216,A157)</f>
        <v>4</v>
      </c>
    </row>
    <row r="158" customFormat="false" ht="46.25" hidden="false" customHeight="false" outlineLevel="0" collapsed="false">
      <c r="A158" s="12" t="s">
        <v>638</v>
      </c>
      <c r="B158" s="12" t="s">
        <v>7012</v>
      </c>
      <c r="C158" s="12" t="s">
        <v>7013</v>
      </c>
      <c r="D158" s="12" t="s">
        <v>7014</v>
      </c>
      <c r="E158" s="12" t="s">
        <v>641</v>
      </c>
      <c r="F158" s="13" t="s">
        <v>642</v>
      </c>
      <c r="G158" s="13" t="s">
        <v>7015</v>
      </c>
      <c r="H158" s="12" t="s">
        <v>7016</v>
      </c>
      <c r="I158" s="12" t="s">
        <v>110</v>
      </c>
      <c r="J158" s="12" t="s">
        <v>281</v>
      </c>
      <c r="K158" s="18" t="s">
        <v>7017</v>
      </c>
      <c r="L158" s="18" t="s">
        <v>6587</v>
      </c>
      <c r="M158" s="18" t="s">
        <v>282</v>
      </c>
      <c r="N158" s="18" t="s">
        <v>647</v>
      </c>
      <c r="O158" s="12" t="s">
        <v>282</v>
      </c>
      <c r="P158" s="12" t="s">
        <v>284</v>
      </c>
      <c r="Q158" s="12" t="s">
        <v>116</v>
      </c>
      <c r="R158" s="19" t="n">
        <f aca="false">COUNTIF(Dati!$B$2:$B$1216,A158)</f>
        <v>3</v>
      </c>
    </row>
    <row r="159" customFormat="false" ht="35.05" hidden="false" customHeight="false" outlineLevel="0" collapsed="false">
      <c r="A159" s="12" t="s">
        <v>6269</v>
      </c>
      <c r="B159" s="12" t="s">
        <v>626</v>
      </c>
      <c r="C159" s="12" t="s">
        <v>7018</v>
      </c>
      <c r="D159" s="12" t="s">
        <v>6271</v>
      </c>
      <c r="E159" s="12" t="s">
        <v>6271</v>
      </c>
      <c r="F159" s="13" t="s">
        <v>6272</v>
      </c>
      <c r="G159" s="12"/>
      <c r="H159" s="12" t="s">
        <v>5753</v>
      </c>
      <c r="I159" s="12" t="s">
        <v>110</v>
      </c>
      <c r="J159" s="12" t="s">
        <v>281</v>
      </c>
      <c r="K159" s="18" t="s">
        <v>7019</v>
      </c>
      <c r="L159" s="18" t="s">
        <v>6587</v>
      </c>
      <c r="M159" s="18" t="s">
        <v>282</v>
      </c>
      <c r="N159" s="18" t="s">
        <v>282</v>
      </c>
      <c r="O159" s="12" t="s">
        <v>282</v>
      </c>
      <c r="P159" s="12" t="s">
        <v>284</v>
      </c>
      <c r="Q159" s="12" t="s">
        <v>116</v>
      </c>
      <c r="R159" s="19" t="n">
        <f aca="false">COUNTIF(Dati!$B$2:$B$1216,A159)</f>
        <v>2</v>
      </c>
    </row>
    <row r="160" customFormat="false" ht="57.45" hidden="false" customHeight="false" outlineLevel="0" collapsed="false">
      <c r="A160" s="12" t="s">
        <v>625</v>
      </c>
      <c r="B160" s="12" t="s">
        <v>626</v>
      </c>
      <c r="C160" s="12" t="s">
        <v>7020</v>
      </c>
      <c r="D160" s="12" t="s">
        <v>628</v>
      </c>
      <c r="E160" s="12" t="s">
        <v>628</v>
      </c>
      <c r="F160" s="13" t="s">
        <v>629</v>
      </c>
      <c r="G160" s="13" t="s">
        <v>7021</v>
      </c>
      <c r="H160" s="12" t="s">
        <v>7022</v>
      </c>
      <c r="I160" s="12" t="s">
        <v>110</v>
      </c>
      <c r="J160" s="12" t="s">
        <v>281</v>
      </c>
      <c r="K160" s="18" t="s">
        <v>7023</v>
      </c>
      <c r="L160" s="18" t="s">
        <v>7024</v>
      </c>
      <c r="M160" s="18" t="s">
        <v>7025</v>
      </c>
      <c r="N160" s="18" t="s">
        <v>7026</v>
      </c>
      <c r="O160" s="12" t="s">
        <v>6649</v>
      </c>
      <c r="P160" s="12" t="s">
        <v>115</v>
      </c>
      <c r="Q160" s="12" t="s">
        <v>116</v>
      </c>
      <c r="R160" s="19" t="n">
        <f aca="false">COUNTIF(Dati!$B$2:$B$1216,A160)</f>
        <v>15</v>
      </c>
    </row>
    <row r="161" customFormat="false" ht="35.05" hidden="false" customHeight="false" outlineLevel="0" collapsed="false">
      <c r="A161" s="12" t="s">
        <v>6289</v>
      </c>
      <c r="B161" s="12" t="s">
        <v>6290</v>
      </c>
      <c r="C161" s="12" t="s">
        <v>7027</v>
      </c>
      <c r="D161" s="12" t="s">
        <v>748</v>
      </c>
      <c r="E161" s="12" t="s">
        <v>748</v>
      </c>
      <c r="F161" s="13" t="s">
        <v>6292</v>
      </c>
      <c r="G161" s="12"/>
      <c r="H161" s="12" t="s">
        <v>7028</v>
      </c>
      <c r="I161" s="12" t="s">
        <v>110</v>
      </c>
      <c r="J161" s="12" t="s">
        <v>281</v>
      </c>
      <c r="K161" s="18" t="s">
        <v>7029</v>
      </c>
      <c r="L161" s="18" t="s">
        <v>6587</v>
      </c>
      <c r="M161" s="18" t="s">
        <v>282</v>
      </c>
      <c r="N161" s="18" t="s">
        <v>7030</v>
      </c>
      <c r="O161" s="12" t="s">
        <v>282</v>
      </c>
      <c r="P161" s="12" t="s">
        <v>284</v>
      </c>
      <c r="Q161" s="12" t="s">
        <v>116</v>
      </c>
      <c r="R161" s="19" t="n">
        <f aca="false">COUNTIF(Dati!$B$2:$B$1216,A161)</f>
        <v>4</v>
      </c>
    </row>
    <row r="162" customFormat="false" ht="35.05" hidden="false" customHeight="false" outlineLevel="0" collapsed="false">
      <c r="A162" s="12" t="s">
        <v>746</v>
      </c>
      <c r="B162" s="12" t="s">
        <v>626</v>
      </c>
      <c r="C162" s="12" t="s">
        <v>7031</v>
      </c>
      <c r="D162" s="12" t="s">
        <v>748</v>
      </c>
      <c r="E162" s="12" t="s">
        <v>748</v>
      </c>
      <c r="F162" s="13" t="s">
        <v>749</v>
      </c>
      <c r="G162" s="12"/>
      <c r="H162" s="12" t="s">
        <v>7032</v>
      </c>
      <c r="I162" s="12" t="s">
        <v>110</v>
      </c>
      <c r="J162" s="12" t="s">
        <v>281</v>
      </c>
      <c r="K162" s="18" t="s">
        <v>7033</v>
      </c>
      <c r="L162" s="18" t="s">
        <v>6587</v>
      </c>
      <c r="M162" s="18" t="s">
        <v>282</v>
      </c>
      <c r="N162" s="18" t="s">
        <v>282</v>
      </c>
      <c r="O162" s="12" t="s">
        <v>282</v>
      </c>
      <c r="P162" s="12" t="s">
        <v>284</v>
      </c>
      <c r="Q162" s="12" t="s">
        <v>116</v>
      </c>
      <c r="R162" s="19" t="n">
        <f aca="false">COUNTIF(Dati!$B$2:$B$1216,A162)</f>
        <v>2</v>
      </c>
    </row>
    <row r="163" customFormat="false" ht="23.85" hidden="false" customHeight="false" outlineLevel="0" collapsed="false">
      <c r="A163" s="12" t="s">
        <v>1185</v>
      </c>
      <c r="B163" s="12" t="s">
        <v>1186</v>
      </c>
      <c r="C163" s="12" t="s">
        <v>1187</v>
      </c>
      <c r="D163" s="12" t="s">
        <v>181</v>
      </c>
      <c r="E163" s="12" t="s">
        <v>1188</v>
      </c>
      <c r="F163" s="13" t="s">
        <v>1189</v>
      </c>
      <c r="G163" s="12"/>
      <c r="H163" s="12" t="s">
        <v>1152</v>
      </c>
      <c r="I163" s="12" t="s">
        <v>110</v>
      </c>
      <c r="J163" s="12" t="s">
        <v>281</v>
      </c>
      <c r="K163" s="18" t="s">
        <v>7034</v>
      </c>
      <c r="L163" s="18" t="s">
        <v>112</v>
      </c>
      <c r="M163" s="18" t="s">
        <v>112</v>
      </c>
      <c r="N163" s="18" t="s">
        <v>282</v>
      </c>
      <c r="O163" s="12" t="s">
        <v>282</v>
      </c>
      <c r="P163" s="12" t="s">
        <v>284</v>
      </c>
      <c r="Q163" s="12" t="s">
        <v>499</v>
      </c>
      <c r="R163" s="19" t="n">
        <f aca="false">COUNTIF(Dati!$B$2:$B$1216,A163)</f>
        <v>4</v>
      </c>
    </row>
    <row r="164" customFormat="false" ht="23.85" hidden="false" customHeight="false" outlineLevel="0" collapsed="false">
      <c r="A164" s="12" t="s">
        <v>1874</v>
      </c>
      <c r="B164" s="12" t="s">
        <v>1875</v>
      </c>
      <c r="C164" s="12" t="s">
        <v>1877</v>
      </c>
      <c r="D164" s="12" t="s">
        <v>847</v>
      </c>
      <c r="E164" s="12" t="s">
        <v>847</v>
      </c>
      <c r="F164" s="13" t="s">
        <v>1878</v>
      </c>
      <c r="G164" s="12"/>
      <c r="H164" s="12" t="s">
        <v>1663</v>
      </c>
      <c r="I164" s="12" t="s">
        <v>679</v>
      </c>
      <c r="J164" s="12" t="s">
        <v>112</v>
      </c>
      <c r="K164" s="18" t="s">
        <v>7035</v>
      </c>
      <c r="L164" s="18" t="s">
        <v>112</v>
      </c>
      <c r="M164" s="18" t="s">
        <v>112</v>
      </c>
      <c r="N164" s="18" t="s">
        <v>282</v>
      </c>
      <c r="O164" s="12" t="s">
        <v>282</v>
      </c>
      <c r="P164" s="12" t="s">
        <v>284</v>
      </c>
      <c r="Q164" s="12" t="s">
        <v>838</v>
      </c>
      <c r="R164" s="19" t="n">
        <f aca="false">COUNTIF(Dati!$B$2:$B$1216,A164)</f>
        <v>1</v>
      </c>
    </row>
    <row r="165" customFormat="false" ht="23.85" hidden="false" customHeight="false" outlineLevel="0" collapsed="false">
      <c r="A165" s="12" t="s">
        <v>2462</v>
      </c>
      <c r="B165" s="12" t="s">
        <v>2463</v>
      </c>
      <c r="C165" s="12" t="s">
        <v>2464</v>
      </c>
      <c r="D165" s="12" t="s">
        <v>7036</v>
      </c>
      <c r="E165" s="12" t="s">
        <v>181</v>
      </c>
      <c r="F165" s="13" t="s">
        <v>2465</v>
      </c>
      <c r="G165" s="12"/>
      <c r="H165" s="12" t="s">
        <v>2125</v>
      </c>
      <c r="I165" s="12" t="s">
        <v>110</v>
      </c>
      <c r="J165" s="12" t="s">
        <v>112</v>
      </c>
      <c r="K165" s="18" t="s">
        <v>7037</v>
      </c>
      <c r="L165" s="18" t="s">
        <v>112</v>
      </c>
      <c r="M165" s="18" t="s">
        <v>112</v>
      </c>
      <c r="N165" s="18" t="s">
        <v>282</v>
      </c>
      <c r="O165" s="12" t="s">
        <v>282</v>
      </c>
      <c r="P165" s="12" t="s">
        <v>284</v>
      </c>
      <c r="Q165" s="12" t="s">
        <v>838</v>
      </c>
      <c r="R165" s="19" t="n">
        <f aca="false">COUNTIF(Dati!$B$2:$B$1216,A165)</f>
        <v>2</v>
      </c>
    </row>
    <row r="166" customFormat="false" ht="23.85" hidden="false" customHeight="false" outlineLevel="0" collapsed="false">
      <c r="A166" s="12" t="s">
        <v>756</v>
      </c>
      <c r="B166" s="12" t="s">
        <v>760</v>
      </c>
      <c r="C166" s="12" t="s">
        <v>761</v>
      </c>
      <c r="D166" s="12" t="s">
        <v>847</v>
      </c>
      <c r="E166" s="12" t="s">
        <v>762</v>
      </c>
      <c r="F166" s="13" t="s">
        <v>763</v>
      </c>
      <c r="G166" s="13" t="s">
        <v>7038</v>
      </c>
      <c r="H166" s="12" t="s">
        <v>757</v>
      </c>
      <c r="I166" s="12" t="s">
        <v>394</v>
      </c>
      <c r="J166" s="12" t="s">
        <v>112</v>
      </c>
      <c r="K166" s="18" t="s">
        <v>7039</v>
      </c>
      <c r="L166" s="18" t="s">
        <v>112</v>
      </c>
      <c r="M166" s="18" t="s">
        <v>7040</v>
      </c>
      <c r="N166" s="18" t="s">
        <v>7041</v>
      </c>
      <c r="O166" s="12" t="s">
        <v>6608</v>
      </c>
      <c r="P166" s="12" t="s">
        <v>498</v>
      </c>
      <c r="Q166" s="12" t="s">
        <v>116</v>
      </c>
      <c r="R166" s="19" t="n">
        <f aca="false">COUNTIF(Dati!$B$2:$B$1216,A166)</f>
        <v>1</v>
      </c>
    </row>
    <row r="167" customFormat="false" ht="15" hidden="false" customHeight="false" outlineLevel="0" collapsed="false">
      <c r="A167" s="12" t="s">
        <v>1526</v>
      </c>
      <c r="B167" s="12" t="s">
        <v>1527</v>
      </c>
      <c r="C167" s="12" t="s">
        <v>1528</v>
      </c>
      <c r="D167" s="12" t="s">
        <v>7042</v>
      </c>
      <c r="E167" s="12" t="s">
        <v>1529</v>
      </c>
      <c r="F167" s="13" t="s">
        <v>1530</v>
      </c>
      <c r="G167" s="12"/>
      <c r="H167" s="12" t="s">
        <v>1490</v>
      </c>
      <c r="I167" s="12" t="s">
        <v>394</v>
      </c>
      <c r="J167" s="12" t="s">
        <v>112</v>
      </c>
      <c r="K167" s="18" t="s">
        <v>1533</v>
      </c>
      <c r="L167" s="18" t="s">
        <v>112</v>
      </c>
      <c r="M167" s="18" t="s">
        <v>112</v>
      </c>
      <c r="N167" s="18" t="s">
        <v>282</v>
      </c>
      <c r="O167" s="12" t="s">
        <v>6608</v>
      </c>
      <c r="P167" s="12" t="s">
        <v>115</v>
      </c>
      <c r="Q167" s="12" t="s">
        <v>116</v>
      </c>
      <c r="R167" s="19" t="n">
        <f aca="false">COUNTIF(Dati!$B$2:$B$1216,A167)</f>
        <v>2</v>
      </c>
    </row>
    <row r="168" customFormat="false" ht="15" hidden="false" customHeight="false" outlineLevel="0" collapsed="false">
      <c r="A168" s="12" t="s">
        <v>1386</v>
      </c>
      <c r="B168" s="12" t="s">
        <v>1387</v>
      </c>
      <c r="C168" s="12" t="s">
        <v>1388</v>
      </c>
      <c r="D168" s="12" t="s">
        <v>1667</v>
      </c>
      <c r="E168" s="12" t="s">
        <v>1389</v>
      </c>
      <c r="F168" s="13" t="s">
        <v>1390</v>
      </c>
      <c r="G168" s="12"/>
      <c r="H168" s="12" t="s">
        <v>1371</v>
      </c>
      <c r="I168" s="12" t="s">
        <v>110</v>
      </c>
      <c r="J168" s="12" t="s">
        <v>281</v>
      </c>
      <c r="K168" s="18" t="s">
        <v>282</v>
      </c>
      <c r="L168" s="18" t="s">
        <v>112</v>
      </c>
      <c r="M168" s="18" t="s">
        <v>112</v>
      </c>
      <c r="N168" s="18" t="s">
        <v>282</v>
      </c>
      <c r="O168" s="12" t="s">
        <v>6608</v>
      </c>
      <c r="P168" s="12" t="s">
        <v>284</v>
      </c>
      <c r="Q168" s="12" t="s">
        <v>499</v>
      </c>
      <c r="R168" s="19" t="n">
        <f aca="false">COUNTIF(Dati!$B$2:$B$1216,A168)</f>
        <v>4</v>
      </c>
    </row>
    <row r="169" customFormat="false" ht="15" hidden="false" customHeight="false" outlineLevel="0" collapsed="false">
      <c r="A169" s="12" t="s">
        <v>1410</v>
      </c>
      <c r="B169" s="12" t="s">
        <v>1387</v>
      </c>
      <c r="C169" s="12" t="s">
        <v>1411</v>
      </c>
      <c r="D169" s="12" t="s">
        <v>2970</v>
      </c>
      <c r="E169" s="12" t="s">
        <v>1412</v>
      </c>
      <c r="F169" s="13" t="s">
        <v>1413</v>
      </c>
      <c r="G169" s="12"/>
      <c r="H169" s="12" t="s">
        <v>1371</v>
      </c>
      <c r="I169" s="12" t="s">
        <v>110</v>
      </c>
      <c r="J169" s="12" t="s">
        <v>281</v>
      </c>
      <c r="K169" s="18" t="s">
        <v>282</v>
      </c>
      <c r="L169" s="18" t="s">
        <v>112</v>
      </c>
      <c r="M169" s="18" t="s">
        <v>112</v>
      </c>
      <c r="N169" s="18" t="s">
        <v>282</v>
      </c>
      <c r="O169" s="12" t="s">
        <v>6608</v>
      </c>
      <c r="P169" s="12" t="s">
        <v>284</v>
      </c>
      <c r="Q169" s="12" t="s">
        <v>499</v>
      </c>
      <c r="R169" s="19" t="n">
        <f aca="false">COUNTIF(Dati!$B$2:$B$1216,A169)</f>
        <v>1</v>
      </c>
    </row>
    <row r="170" customFormat="false" ht="23.85" hidden="false" customHeight="false" outlineLevel="0" collapsed="false">
      <c r="A170" s="12" t="s">
        <v>1475</v>
      </c>
      <c r="B170" s="12" t="s">
        <v>1476</v>
      </c>
      <c r="C170" s="12" t="s">
        <v>1477</v>
      </c>
      <c r="D170" s="12" t="s">
        <v>7043</v>
      </c>
      <c r="E170" s="12" t="s">
        <v>1478</v>
      </c>
      <c r="F170" s="13" t="s">
        <v>1479</v>
      </c>
      <c r="G170" s="12"/>
      <c r="H170" s="12" t="s">
        <v>1371</v>
      </c>
      <c r="I170" s="12" t="s">
        <v>394</v>
      </c>
      <c r="J170" s="12" t="s">
        <v>112</v>
      </c>
      <c r="K170" s="18" t="s">
        <v>1482</v>
      </c>
      <c r="L170" s="18" t="s">
        <v>112</v>
      </c>
      <c r="M170" s="18" t="s">
        <v>112</v>
      </c>
      <c r="N170" s="18" t="s">
        <v>282</v>
      </c>
      <c r="O170" s="12" t="s">
        <v>6608</v>
      </c>
      <c r="P170" s="12" t="s">
        <v>115</v>
      </c>
      <c r="Q170" s="12" t="s">
        <v>116</v>
      </c>
      <c r="R170" s="19" t="n">
        <f aca="false">COUNTIF(Dati!$B$2:$B$1216,A170)</f>
        <v>2</v>
      </c>
    </row>
    <row r="171" customFormat="false" ht="68.65" hidden="false" customHeight="false" outlineLevel="0" collapsed="false">
      <c r="A171" s="12" t="s">
        <v>5930</v>
      </c>
      <c r="B171" s="12" t="s">
        <v>5579</v>
      </c>
      <c r="C171" s="12" t="s">
        <v>7044</v>
      </c>
      <c r="D171" s="12" t="s">
        <v>808</v>
      </c>
      <c r="E171" s="12" t="s">
        <v>5932</v>
      </c>
      <c r="F171" s="13" t="s">
        <v>5933</v>
      </c>
      <c r="G171" s="12"/>
      <c r="H171" s="12" t="s">
        <v>7045</v>
      </c>
      <c r="I171" s="12" t="s">
        <v>3261</v>
      </c>
      <c r="J171" s="12" t="s">
        <v>166</v>
      </c>
      <c r="K171" s="18" t="s">
        <v>7046</v>
      </c>
      <c r="L171" s="18" t="s">
        <v>6587</v>
      </c>
      <c r="M171" s="18" t="s">
        <v>282</v>
      </c>
      <c r="N171" s="18" t="s">
        <v>282</v>
      </c>
      <c r="O171" s="12" t="s">
        <v>6588</v>
      </c>
      <c r="P171" s="12" t="s">
        <v>498</v>
      </c>
      <c r="Q171" s="12" t="s">
        <v>838</v>
      </c>
      <c r="R171" s="19" t="n">
        <f aca="false">COUNTIF(Dati!$B$2:$B$1216,A171)</f>
        <v>1</v>
      </c>
    </row>
    <row r="172" customFormat="false" ht="68.65" hidden="false" customHeight="false" outlineLevel="0" collapsed="false">
      <c r="A172" s="12" t="s">
        <v>5940</v>
      </c>
      <c r="B172" s="12" t="s">
        <v>5579</v>
      </c>
      <c r="C172" s="12" t="s">
        <v>7047</v>
      </c>
      <c r="D172" s="12" t="s">
        <v>847</v>
      </c>
      <c r="E172" s="12" t="s">
        <v>847</v>
      </c>
      <c r="F172" s="13" t="s">
        <v>5581</v>
      </c>
      <c r="G172" s="13" t="s">
        <v>7048</v>
      </c>
      <c r="H172" s="12" t="s">
        <v>7045</v>
      </c>
      <c r="I172" s="12" t="s">
        <v>3261</v>
      </c>
      <c r="J172" s="12" t="s">
        <v>166</v>
      </c>
      <c r="K172" s="18" t="s">
        <v>7046</v>
      </c>
      <c r="L172" s="18" t="s">
        <v>6587</v>
      </c>
      <c r="M172" s="18" t="s">
        <v>282</v>
      </c>
      <c r="N172" s="18" t="s">
        <v>282</v>
      </c>
      <c r="O172" s="12" t="s">
        <v>6588</v>
      </c>
      <c r="P172" s="12" t="s">
        <v>498</v>
      </c>
      <c r="Q172" s="12" t="s">
        <v>838</v>
      </c>
      <c r="R172" s="19" t="n">
        <f aca="false">COUNTIF(Dati!$B$2:$B$1216,A172)</f>
        <v>2</v>
      </c>
    </row>
    <row r="173" customFormat="false" ht="68.65" hidden="false" customHeight="false" outlineLevel="0" collapsed="false">
      <c r="A173" s="12" t="s">
        <v>7049</v>
      </c>
      <c r="B173" s="12" t="s">
        <v>5579</v>
      </c>
      <c r="C173" s="12" t="s">
        <v>7050</v>
      </c>
      <c r="D173" s="12" t="s">
        <v>847</v>
      </c>
      <c r="E173" s="12" t="s">
        <v>847</v>
      </c>
      <c r="F173" s="13" t="s">
        <v>7048</v>
      </c>
      <c r="G173" s="12"/>
      <c r="H173" s="12" t="s">
        <v>6599</v>
      </c>
      <c r="I173" s="12" t="s">
        <v>3261</v>
      </c>
      <c r="J173" s="12" t="s">
        <v>166</v>
      </c>
      <c r="K173" s="18" t="s">
        <v>7046</v>
      </c>
      <c r="L173" s="18" t="s">
        <v>6587</v>
      </c>
      <c r="M173" s="18" t="s">
        <v>282</v>
      </c>
      <c r="N173" s="18" t="s">
        <v>282</v>
      </c>
      <c r="O173" s="12" t="s">
        <v>6588</v>
      </c>
      <c r="P173" s="12" t="s">
        <v>498</v>
      </c>
      <c r="Q173" s="12" t="s">
        <v>838</v>
      </c>
      <c r="R173" s="19" t="n">
        <f aca="false">COUNTIF(Dati!$B$2:$B$1216,A173)</f>
        <v>0</v>
      </c>
    </row>
    <row r="174" customFormat="false" ht="15" hidden="false" customHeight="false" outlineLevel="0" collapsed="false">
      <c r="A174" s="12" t="s">
        <v>5578</v>
      </c>
      <c r="B174" s="12" t="s">
        <v>5579</v>
      </c>
      <c r="C174" s="12" t="s">
        <v>5580</v>
      </c>
      <c r="D174" s="12" t="s">
        <v>7051</v>
      </c>
      <c r="E174" s="12" t="s">
        <v>847</v>
      </c>
      <c r="F174" s="13" t="s">
        <v>5581</v>
      </c>
      <c r="G174" s="12"/>
      <c r="H174" s="12" t="s">
        <v>5397</v>
      </c>
      <c r="I174" s="12" t="s">
        <v>110</v>
      </c>
      <c r="J174" s="12" t="s">
        <v>112</v>
      </c>
      <c r="K174" s="18" t="s">
        <v>282</v>
      </c>
      <c r="L174" s="18" t="s">
        <v>112</v>
      </c>
      <c r="M174" s="18" t="s">
        <v>112</v>
      </c>
      <c r="N174" s="18" t="s">
        <v>282</v>
      </c>
      <c r="O174" s="12" t="s">
        <v>7052</v>
      </c>
      <c r="P174" s="12" t="s">
        <v>284</v>
      </c>
      <c r="Q174" s="12" t="s">
        <v>838</v>
      </c>
      <c r="R174" s="19" t="n">
        <f aca="false">COUNTIF(Dati!$B$2:$B$1216,A174)</f>
        <v>1</v>
      </c>
    </row>
    <row r="175" customFormat="false" ht="23.85" hidden="false" customHeight="false" outlineLevel="0" collapsed="false">
      <c r="A175" s="12" t="s">
        <v>1065</v>
      </c>
      <c r="B175" s="12" t="s">
        <v>7053</v>
      </c>
      <c r="C175" s="12" t="s">
        <v>1067</v>
      </c>
      <c r="D175" s="12" t="s">
        <v>1068</v>
      </c>
      <c r="E175" s="12" t="s">
        <v>1068</v>
      </c>
      <c r="F175" s="13" t="s">
        <v>1069</v>
      </c>
      <c r="G175" s="12"/>
      <c r="H175" s="12" t="s">
        <v>948</v>
      </c>
      <c r="I175" s="12" t="s">
        <v>394</v>
      </c>
      <c r="J175" s="12" t="s">
        <v>281</v>
      </c>
      <c r="K175" s="18" t="s">
        <v>7054</v>
      </c>
      <c r="L175" s="18" t="s">
        <v>112</v>
      </c>
      <c r="M175" s="18" t="s">
        <v>112</v>
      </c>
      <c r="N175" s="18" t="s">
        <v>282</v>
      </c>
      <c r="O175" s="12" t="s">
        <v>282</v>
      </c>
      <c r="P175" s="12" t="s">
        <v>498</v>
      </c>
      <c r="Q175" s="12" t="s">
        <v>499</v>
      </c>
      <c r="R175" s="19" t="n">
        <f aca="false">COUNTIF(Dati!$B$2:$B$1216,A175)</f>
        <v>2</v>
      </c>
    </row>
    <row r="176" customFormat="false" ht="68.65" hidden="false" customHeight="false" outlineLevel="0" collapsed="false">
      <c r="A176" s="12" t="s">
        <v>579</v>
      </c>
      <c r="B176" s="12" t="s">
        <v>580</v>
      </c>
      <c r="C176" s="12" t="s">
        <v>582</v>
      </c>
      <c r="D176" s="12" t="s">
        <v>583</v>
      </c>
      <c r="E176" s="12" t="s">
        <v>583</v>
      </c>
      <c r="F176" s="13" t="s">
        <v>584</v>
      </c>
      <c r="G176" s="12"/>
      <c r="H176" s="12" t="s">
        <v>7055</v>
      </c>
      <c r="I176" s="12" t="s">
        <v>394</v>
      </c>
      <c r="J176" s="12" t="s">
        <v>166</v>
      </c>
      <c r="K176" s="18" t="s">
        <v>7056</v>
      </c>
      <c r="L176" s="18" t="s">
        <v>6587</v>
      </c>
      <c r="M176" s="18" t="s">
        <v>7057</v>
      </c>
      <c r="N176" s="18" t="s">
        <v>7058</v>
      </c>
      <c r="O176" s="12" t="s">
        <v>6649</v>
      </c>
      <c r="P176" s="12" t="s">
        <v>115</v>
      </c>
      <c r="Q176" s="12" t="s">
        <v>116</v>
      </c>
      <c r="R176" s="19" t="n">
        <f aca="false">COUNTIF(Dati!$B$2:$B$1216,A176)</f>
        <v>7</v>
      </c>
    </row>
    <row r="177" customFormat="false" ht="23.85" hidden="false" customHeight="false" outlineLevel="0" collapsed="false">
      <c r="A177" s="12" t="s">
        <v>5947</v>
      </c>
      <c r="B177" s="12" t="s">
        <v>5948</v>
      </c>
      <c r="C177" s="12" t="s">
        <v>7059</v>
      </c>
      <c r="D177" s="12" t="s">
        <v>748</v>
      </c>
      <c r="E177" s="12" t="s">
        <v>748</v>
      </c>
      <c r="F177" s="13" t="s">
        <v>5950</v>
      </c>
      <c r="G177" s="12"/>
      <c r="H177" s="12" t="s">
        <v>7060</v>
      </c>
      <c r="I177" s="12" t="s">
        <v>110</v>
      </c>
      <c r="J177" s="12" t="s">
        <v>112</v>
      </c>
      <c r="K177" s="18" t="s">
        <v>7061</v>
      </c>
      <c r="L177" s="18" t="s">
        <v>6587</v>
      </c>
      <c r="M177" s="18" t="s">
        <v>282</v>
      </c>
      <c r="N177" s="18" t="s">
        <v>4418</v>
      </c>
      <c r="O177" s="12" t="s">
        <v>6588</v>
      </c>
      <c r="P177" s="12" t="s">
        <v>284</v>
      </c>
      <c r="Q177" s="12" t="s">
        <v>116</v>
      </c>
      <c r="R177" s="19" t="n">
        <f aca="false">COUNTIF(Dati!$B$2:$B$1216,A177)</f>
        <v>2</v>
      </c>
    </row>
    <row r="178" customFormat="false" ht="68.65" hidden="false" customHeight="false" outlineLevel="0" collapsed="false">
      <c r="A178" s="12" t="s">
        <v>5957</v>
      </c>
      <c r="B178" s="12" t="s">
        <v>5958</v>
      </c>
      <c r="C178" s="12" t="s">
        <v>5959</v>
      </c>
      <c r="D178" s="12" t="s">
        <v>7062</v>
      </c>
      <c r="E178" s="12" t="s">
        <v>4518</v>
      </c>
      <c r="F178" s="13" t="s">
        <v>5960</v>
      </c>
      <c r="G178" s="13" t="s">
        <v>7063</v>
      </c>
      <c r="H178" s="12" t="s">
        <v>7064</v>
      </c>
      <c r="I178" s="12" t="s">
        <v>679</v>
      </c>
      <c r="J178" s="12" t="s">
        <v>201</v>
      </c>
      <c r="K178" s="18" t="s">
        <v>7065</v>
      </c>
      <c r="L178" s="18" t="s">
        <v>6587</v>
      </c>
      <c r="M178" s="18" t="s">
        <v>282</v>
      </c>
      <c r="N178" s="18" t="s">
        <v>7066</v>
      </c>
      <c r="O178" s="12" t="s">
        <v>7067</v>
      </c>
      <c r="P178" s="12" t="s">
        <v>498</v>
      </c>
      <c r="Q178" s="12" t="s">
        <v>116</v>
      </c>
      <c r="R178" s="19" t="n">
        <f aca="false">COUNTIF(Dati!$B$2:$B$1216,A178)</f>
        <v>2</v>
      </c>
    </row>
    <row r="179" customFormat="false" ht="68.65" hidden="false" customHeight="false" outlineLevel="0" collapsed="false">
      <c r="A179" s="12" t="s">
        <v>5971</v>
      </c>
      <c r="B179" s="12" t="s">
        <v>5958</v>
      </c>
      <c r="C179" s="12" t="s">
        <v>7068</v>
      </c>
      <c r="D179" s="12" t="s">
        <v>7062</v>
      </c>
      <c r="E179" s="12" t="s">
        <v>5973</v>
      </c>
      <c r="F179" s="13" t="s">
        <v>5974</v>
      </c>
      <c r="G179" s="13" t="s">
        <v>7063</v>
      </c>
      <c r="H179" s="12" t="s">
        <v>5753</v>
      </c>
      <c r="I179" s="12" t="s">
        <v>679</v>
      </c>
      <c r="J179" s="12" t="s">
        <v>201</v>
      </c>
      <c r="K179" s="18" t="s">
        <v>7065</v>
      </c>
      <c r="L179" s="18" t="s">
        <v>6587</v>
      </c>
      <c r="M179" s="18" t="s">
        <v>282</v>
      </c>
      <c r="N179" s="18" t="s">
        <v>5963</v>
      </c>
      <c r="O179" s="12" t="s">
        <v>6588</v>
      </c>
      <c r="P179" s="12" t="s">
        <v>498</v>
      </c>
      <c r="Q179" s="12" t="s">
        <v>116</v>
      </c>
      <c r="R179" s="19" t="n">
        <f aca="false">COUNTIF(Dati!$B$2:$B$1216,A179)</f>
        <v>1</v>
      </c>
    </row>
    <row r="180" customFormat="false" ht="23.85" hidden="false" customHeight="false" outlineLevel="0" collapsed="false">
      <c r="A180" s="12" t="s">
        <v>4318</v>
      </c>
      <c r="B180" s="12" t="s">
        <v>4321</v>
      </c>
      <c r="C180" s="12" t="s">
        <v>4322</v>
      </c>
      <c r="D180" s="12" t="s">
        <v>181</v>
      </c>
      <c r="E180" s="12" t="s">
        <v>181</v>
      </c>
      <c r="F180" s="13" t="s">
        <v>4323</v>
      </c>
      <c r="G180" s="12"/>
      <c r="H180" s="12" t="s">
        <v>4319</v>
      </c>
      <c r="I180" s="12" t="s">
        <v>394</v>
      </c>
      <c r="J180" s="12" t="s">
        <v>112</v>
      </c>
      <c r="K180" s="18" t="s">
        <v>4327</v>
      </c>
      <c r="L180" s="18" t="s">
        <v>112</v>
      </c>
      <c r="M180" s="18" t="s">
        <v>112</v>
      </c>
      <c r="N180" s="18" t="s">
        <v>282</v>
      </c>
      <c r="O180" s="12" t="s">
        <v>282</v>
      </c>
      <c r="P180" s="12" t="s">
        <v>115</v>
      </c>
      <c r="Q180" s="12" t="s">
        <v>116</v>
      </c>
      <c r="R180" s="19" t="n">
        <f aca="false">COUNTIF(Dati!$B$2:$B$1216,A180)</f>
        <v>3</v>
      </c>
    </row>
    <row r="181" customFormat="false" ht="35.05" hidden="false" customHeight="false" outlineLevel="0" collapsed="false">
      <c r="A181" s="12" t="s">
        <v>1886</v>
      </c>
      <c r="B181" s="12" t="s">
        <v>7069</v>
      </c>
      <c r="C181" s="12" t="s">
        <v>1888</v>
      </c>
      <c r="D181" s="12" t="s">
        <v>1889</v>
      </c>
      <c r="E181" s="12" t="s">
        <v>1889</v>
      </c>
      <c r="F181" s="13" t="s">
        <v>1890</v>
      </c>
      <c r="G181" s="12"/>
      <c r="H181" s="12" t="s">
        <v>1663</v>
      </c>
      <c r="I181" s="12" t="s">
        <v>679</v>
      </c>
      <c r="J181" s="12" t="s">
        <v>112</v>
      </c>
      <c r="K181" s="18" t="s">
        <v>7070</v>
      </c>
      <c r="L181" s="18" t="s">
        <v>112</v>
      </c>
      <c r="M181" s="18" t="s">
        <v>112</v>
      </c>
      <c r="N181" s="18" t="s">
        <v>282</v>
      </c>
      <c r="O181" s="12" t="s">
        <v>282</v>
      </c>
      <c r="P181" s="12" t="s">
        <v>284</v>
      </c>
      <c r="Q181" s="12" t="s">
        <v>116</v>
      </c>
      <c r="R181" s="19" t="n">
        <f aca="false">COUNTIF(Dati!$B$2:$B$1216,A181)</f>
        <v>1</v>
      </c>
    </row>
    <row r="182" customFormat="false" ht="15" hidden="false" customHeight="false" outlineLevel="0" collapsed="false">
      <c r="A182" s="12" t="s">
        <v>4338</v>
      </c>
      <c r="B182" s="12" t="s">
        <v>4339</v>
      </c>
      <c r="C182" s="12" t="s">
        <v>4340</v>
      </c>
      <c r="D182" s="12" t="s">
        <v>2970</v>
      </c>
      <c r="E182" s="12" t="s">
        <v>4341</v>
      </c>
      <c r="F182" s="13" t="s">
        <v>4342</v>
      </c>
      <c r="G182" s="12"/>
      <c r="H182" s="12" t="s">
        <v>4319</v>
      </c>
      <c r="I182" s="12" t="s">
        <v>394</v>
      </c>
      <c r="J182" s="12" t="s">
        <v>112</v>
      </c>
      <c r="K182" s="18" t="s">
        <v>4346</v>
      </c>
      <c r="L182" s="18" t="s">
        <v>112</v>
      </c>
      <c r="M182" s="18" t="s">
        <v>112</v>
      </c>
      <c r="N182" s="18" t="s">
        <v>282</v>
      </c>
      <c r="O182" s="12" t="s">
        <v>282</v>
      </c>
      <c r="P182" s="12" t="s">
        <v>115</v>
      </c>
      <c r="Q182" s="12" t="s">
        <v>116</v>
      </c>
      <c r="R182" s="19" t="n">
        <f aca="false">COUNTIF(Dati!$B$2:$B$1216,A182)</f>
        <v>1</v>
      </c>
    </row>
    <row r="183" customFormat="false" ht="23.85" hidden="false" customHeight="false" outlineLevel="0" collapsed="false">
      <c r="A183" s="12" t="s">
        <v>2474</v>
      </c>
      <c r="B183" s="12" t="s">
        <v>1898</v>
      </c>
      <c r="C183" s="12" t="s">
        <v>2475</v>
      </c>
      <c r="D183" s="12" t="s">
        <v>847</v>
      </c>
      <c r="E183" s="12" t="s">
        <v>847</v>
      </c>
      <c r="F183" s="13" t="s">
        <v>2476</v>
      </c>
      <c r="G183" s="12"/>
      <c r="H183" s="12" t="s">
        <v>2125</v>
      </c>
      <c r="I183" s="12" t="s">
        <v>110</v>
      </c>
      <c r="J183" s="12" t="s">
        <v>112</v>
      </c>
      <c r="K183" s="18" t="s">
        <v>7037</v>
      </c>
      <c r="L183" s="18" t="s">
        <v>112</v>
      </c>
      <c r="M183" s="18" t="s">
        <v>112</v>
      </c>
      <c r="N183" s="18" t="s">
        <v>282</v>
      </c>
      <c r="O183" s="12" t="s">
        <v>282</v>
      </c>
      <c r="P183" s="12" t="s">
        <v>284</v>
      </c>
      <c r="Q183" s="12" t="s">
        <v>838</v>
      </c>
      <c r="R183" s="19" t="n">
        <f aca="false">COUNTIF(Dati!$B$2:$B$1216,A183)</f>
        <v>3</v>
      </c>
    </row>
    <row r="184" customFormat="false" ht="79.85" hidden="false" customHeight="false" outlineLevel="0" collapsed="false">
      <c r="A184" s="12" t="s">
        <v>5979</v>
      </c>
      <c r="B184" s="12" t="s">
        <v>5587</v>
      </c>
      <c r="C184" s="12" t="s">
        <v>5980</v>
      </c>
      <c r="D184" s="12" t="s">
        <v>847</v>
      </c>
      <c r="E184" s="12" t="s">
        <v>5981</v>
      </c>
      <c r="F184" s="13" t="s">
        <v>5982</v>
      </c>
      <c r="G184" s="13" t="s">
        <v>7071</v>
      </c>
      <c r="H184" s="12" t="s">
        <v>5753</v>
      </c>
      <c r="I184" s="12" t="s">
        <v>3261</v>
      </c>
      <c r="J184" s="12" t="s">
        <v>201</v>
      </c>
      <c r="K184" s="18" t="s">
        <v>7072</v>
      </c>
      <c r="L184" s="18" t="s">
        <v>6587</v>
      </c>
      <c r="M184" s="18" t="s">
        <v>282</v>
      </c>
      <c r="N184" s="18" t="s">
        <v>7073</v>
      </c>
      <c r="O184" s="12" t="s">
        <v>6588</v>
      </c>
      <c r="P184" s="12" t="s">
        <v>498</v>
      </c>
      <c r="Q184" s="12" t="s">
        <v>838</v>
      </c>
      <c r="R184" s="19" t="n">
        <f aca="false">COUNTIF(Dati!$B$2:$B$1216,A184)</f>
        <v>4</v>
      </c>
    </row>
    <row r="185" customFormat="false" ht="23.85" hidden="false" customHeight="false" outlineLevel="0" collapsed="false">
      <c r="A185" s="12" t="s">
        <v>1897</v>
      </c>
      <c r="B185" s="12" t="s">
        <v>1898</v>
      </c>
      <c r="C185" s="12" t="s">
        <v>1899</v>
      </c>
      <c r="D185" s="12" t="s">
        <v>847</v>
      </c>
      <c r="E185" s="12" t="s">
        <v>847</v>
      </c>
      <c r="F185" s="13" t="s">
        <v>1900</v>
      </c>
      <c r="G185" s="12"/>
      <c r="H185" s="12" t="s">
        <v>1663</v>
      </c>
      <c r="I185" s="12" t="s">
        <v>110</v>
      </c>
      <c r="J185" s="12" t="s">
        <v>112</v>
      </c>
      <c r="K185" s="18" t="s">
        <v>7037</v>
      </c>
      <c r="L185" s="18" t="s">
        <v>112</v>
      </c>
      <c r="M185" s="18" t="s">
        <v>112</v>
      </c>
      <c r="N185" s="18" t="s">
        <v>282</v>
      </c>
      <c r="O185" s="12" t="s">
        <v>282</v>
      </c>
      <c r="P185" s="12" t="s">
        <v>284</v>
      </c>
      <c r="Q185" s="12" t="s">
        <v>838</v>
      </c>
      <c r="R185" s="19" t="n">
        <f aca="false">COUNTIF(Dati!$B$2:$B$1216,A185)</f>
        <v>3</v>
      </c>
    </row>
    <row r="186" customFormat="false" ht="23.85" hidden="false" customHeight="false" outlineLevel="0" collapsed="false">
      <c r="A186" s="12" t="s">
        <v>2487</v>
      </c>
      <c r="B186" s="12" t="s">
        <v>1898</v>
      </c>
      <c r="C186" s="12" t="s">
        <v>7074</v>
      </c>
      <c r="D186" s="12" t="s">
        <v>7075</v>
      </c>
      <c r="E186" s="12" t="s">
        <v>181</v>
      </c>
      <c r="F186" s="13" t="s">
        <v>2489</v>
      </c>
      <c r="G186" s="12"/>
      <c r="H186" s="12" t="s">
        <v>2125</v>
      </c>
      <c r="I186" s="12" t="s">
        <v>110</v>
      </c>
      <c r="J186" s="12" t="s">
        <v>112</v>
      </c>
      <c r="K186" s="18" t="s">
        <v>7037</v>
      </c>
      <c r="L186" s="18" t="s">
        <v>112</v>
      </c>
      <c r="M186" s="18" t="s">
        <v>112</v>
      </c>
      <c r="N186" s="18" t="s">
        <v>282</v>
      </c>
      <c r="O186" s="12" t="s">
        <v>282</v>
      </c>
      <c r="P186" s="12" t="s">
        <v>284</v>
      </c>
      <c r="Q186" s="12" t="s">
        <v>838</v>
      </c>
      <c r="R186" s="19" t="n">
        <f aca="false">COUNTIF(Dati!$B$2:$B$1216,A186)</f>
        <v>2</v>
      </c>
    </row>
    <row r="187" customFormat="false" ht="23.85" hidden="false" customHeight="false" outlineLevel="0" collapsed="false">
      <c r="A187" s="12" t="s">
        <v>1913</v>
      </c>
      <c r="B187" s="12" t="s">
        <v>1898</v>
      </c>
      <c r="C187" s="12" t="s">
        <v>1914</v>
      </c>
      <c r="D187" s="12" t="s">
        <v>181</v>
      </c>
      <c r="E187" s="12" t="s">
        <v>181</v>
      </c>
      <c r="F187" s="13" t="s">
        <v>1915</v>
      </c>
      <c r="G187" s="12"/>
      <c r="H187" s="12" t="s">
        <v>1663</v>
      </c>
      <c r="I187" s="12" t="s">
        <v>110</v>
      </c>
      <c r="J187" s="12" t="s">
        <v>112</v>
      </c>
      <c r="K187" s="18" t="s">
        <v>7037</v>
      </c>
      <c r="L187" s="18" t="s">
        <v>112</v>
      </c>
      <c r="M187" s="18" t="s">
        <v>112</v>
      </c>
      <c r="N187" s="18" t="s">
        <v>282</v>
      </c>
      <c r="O187" s="12" t="s">
        <v>282</v>
      </c>
      <c r="P187" s="12" t="s">
        <v>284</v>
      </c>
      <c r="Q187" s="12" t="s">
        <v>838</v>
      </c>
      <c r="R187" s="19" t="n">
        <f aca="false">COUNTIF(Dati!$B$2:$B$1216,A187)</f>
        <v>2</v>
      </c>
    </row>
    <row r="188" customFormat="false" ht="15" hidden="false" customHeight="false" outlineLevel="0" collapsed="false">
      <c r="A188" s="12" t="s">
        <v>5586</v>
      </c>
      <c r="B188" s="12" t="s">
        <v>5587</v>
      </c>
      <c r="C188" s="12" t="s">
        <v>5588</v>
      </c>
      <c r="D188" s="12" t="s">
        <v>7076</v>
      </c>
      <c r="E188" s="12" t="s">
        <v>5589</v>
      </c>
      <c r="F188" s="13" t="s">
        <v>5590</v>
      </c>
      <c r="G188" s="12"/>
      <c r="H188" s="12" t="s">
        <v>5397</v>
      </c>
      <c r="I188" s="12" t="s">
        <v>110</v>
      </c>
      <c r="J188" s="12" t="s">
        <v>112</v>
      </c>
      <c r="K188" s="18" t="s">
        <v>282</v>
      </c>
      <c r="L188" s="18" t="s">
        <v>112</v>
      </c>
      <c r="M188" s="18" t="s">
        <v>112</v>
      </c>
      <c r="N188" s="18" t="s">
        <v>282</v>
      </c>
      <c r="O188" s="12" t="s">
        <v>7052</v>
      </c>
      <c r="P188" s="12" t="s">
        <v>284</v>
      </c>
      <c r="Q188" s="12" t="s">
        <v>838</v>
      </c>
      <c r="R188" s="19" t="n">
        <f aca="false">COUNTIF(Dati!$B$2:$B$1216,A188)</f>
        <v>2</v>
      </c>
    </row>
    <row r="189" customFormat="false" ht="15" hidden="false" customHeight="false" outlineLevel="0" collapsed="false">
      <c r="A189" s="12" t="s">
        <v>5599</v>
      </c>
      <c r="B189" s="12" t="s">
        <v>5587</v>
      </c>
      <c r="C189" s="12" t="s">
        <v>5600</v>
      </c>
      <c r="D189" s="12" t="s">
        <v>7077</v>
      </c>
      <c r="E189" s="12" t="s">
        <v>847</v>
      </c>
      <c r="F189" s="13" t="s">
        <v>5601</v>
      </c>
      <c r="G189" s="12"/>
      <c r="H189" s="12" t="s">
        <v>5397</v>
      </c>
      <c r="I189" s="12" t="s">
        <v>110</v>
      </c>
      <c r="J189" s="12" t="s">
        <v>112</v>
      </c>
      <c r="K189" s="18" t="s">
        <v>282</v>
      </c>
      <c r="L189" s="18" t="s">
        <v>112</v>
      </c>
      <c r="M189" s="18" t="s">
        <v>112</v>
      </c>
      <c r="N189" s="18" t="s">
        <v>282</v>
      </c>
      <c r="O189" s="12" t="s">
        <v>7052</v>
      </c>
      <c r="P189" s="12" t="s">
        <v>284</v>
      </c>
      <c r="Q189" s="12" t="s">
        <v>838</v>
      </c>
      <c r="R189" s="19" t="n">
        <f aca="false">COUNTIF(Dati!$B$2:$B$1216,A189)</f>
        <v>2</v>
      </c>
    </row>
    <row r="190" customFormat="false" ht="79.85" hidden="false" customHeight="false" outlineLevel="0" collapsed="false">
      <c r="A190" s="12" t="s">
        <v>6001</v>
      </c>
      <c r="B190" s="12" t="s">
        <v>5587</v>
      </c>
      <c r="C190" s="12" t="s">
        <v>6002</v>
      </c>
      <c r="D190" s="12" t="s">
        <v>7078</v>
      </c>
      <c r="E190" s="12" t="s">
        <v>181</v>
      </c>
      <c r="F190" s="13" t="s">
        <v>6003</v>
      </c>
      <c r="G190" s="13" t="s">
        <v>7071</v>
      </c>
      <c r="H190" s="12" t="s">
        <v>5753</v>
      </c>
      <c r="I190" s="12" t="s">
        <v>3261</v>
      </c>
      <c r="J190" s="12" t="s">
        <v>201</v>
      </c>
      <c r="K190" s="18" t="s">
        <v>7072</v>
      </c>
      <c r="L190" s="18" t="s">
        <v>6587</v>
      </c>
      <c r="M190" s="18" t="s">
        <v>282</v>
      </c>
      <c r="N190" s="18" t="s">
        <v>7073</v>
      </c>
      <c r="O190" s="12" t="s">
        <v>6588</v>
      </c>
      <c r="P190" s="12" t="s">
        <v>498</v>
      </c>
      <c r="Q190" s="12" t="s">
        <v>838</v>
      </c>
      <c r="R190" s="19" t="n">
        <f aca="false">COUNTIF(Dati!$B$2:$B$1216,A190)</f>
        <v>3</v>
      </c>
    </row>
    <row r="191" customFormat="false" ht="79.85" hidden="false" customHeight="false" outlineLevel="0" collapsed="false">
      <c r="A191" s="12" t="s">
        <v>7079</v>
      </c>
      <c r="B191" s="12" t="s">
        <v>5587</v>
      </c>
      <c r="C191" s="12" t="s">
        <v>7080</v>
      </c>
      <c r="D191" s="12" t="s">
        <v>847</v>
      </c>
      <c r="E191" s="12" t="s">
        <v>847</v>
      </c>
      <c r="F191" s="13" t="s">
        <v>7071</v>
      </c>
      <c r="G191" s="13" t="s">
        <v>7071</v>
      </c>
      <c r="H191" s="12" t="s">
        <v>6599</v>
      </c>
      <c r="I191" s="12" t="s">
        <v>3261</v>
      </c>
      <c r="J191" s="12" t="s">
        <v>201</v>
      </c>
      <c r="K191" s="18" t="s">
        <v>7072</v>
      </c>
      <c r="L191" s="18" t="s">
        <v>6587</v>
      </c>
      <c r="M191" s="18" t="s">
        <v>282</v>
      </c>
      <c r="N191" s="18" t="s">
        <v>282</v>
      </c>
      <c r="O191" s="12" t="s">
        <v>6588</v>
      </c>
      <c r="P191" s="12" t="s">
        <v>498</v>
      </c>
      <c r="Q191" s="12" t="s">
        <v>838</v>
      </c>
      <c r="R191" s="19" t="n">
        <f aca="false">COUNTIF(Dati!$B$2:$B$1216,A191)</f>
        <v>0</v>
      </c>
    </row>
    <row r="192" customFormat="false" ht="15" hidden="false" customHeight="false" outlineLevel="0" collapsed="false">
      <c r="A192" s="12" t="s">
        <v>4657</v>
      </c>
      <c r="B192" s="12" t="s">
        <v>7081</v>
      </c>
      <c r="C192" s="12" t="s">
        <v>7082</v>
      </c>
      <c r="D192" s="12" t="s">
        <v>847</v>
      </c>
      <c r="E192" s="12" t="s">
        <v>4660</v>
      </c>
      <c r="F192" s="13" t="s">
        <v>4661</v>
      </c>
      <c r="G192" s="12"/>
      <c r="H192" s="12" t="s">
        <v>4615</v>
      </c>
      <c r="I192" s="12" t="s">
        <v>394</v>
      </c>
      <c r="J192" s="12" t="s">
        <v>112</v>
      </c>
      <c r="K192" s="18" t="s">
        <v>7083</v>
      </c>
      <c r="L192" s="18" t="s">
        <v>112</v>
      </c>
      <c r="M192" s="18" t="s">
        <v>112</v>
      </c>
      <c r="N192" s="18" t="s">
        <v>282</v>
      </c>
      <c r="O192" s="12" t="s">
        <v>6863</v>
      </c>
      <c r="P192" s="12" t="s">
        <v>115</v>
      </c>
      <c r="Q192" s="12" t="s">
        <v>116</v>
      </c>
      <c r="R192" s="19" t="n">
        <f aca="false">COUNTIF(Dati!$B$2:$B$1216,A192)</f>
        <v>1</v>
      </c>
    </row>
    <row r="193" customFormat="false" ht="23.85" hidden="false" customHeight="false" outlineLevel="0" collapsed="false">
      <c r="A193" s="12" t="s">
        <v>5610</v>
      </c>
      <c r="B193" s="12" t="s">
        <v>5611</v>
      </c>
      <c r="C193" s="12" t="s">
        <v>5612</v>
      </c>
      <c r="D193" s="12" t="s">
        <v>7084</v>
      </c>
      <c r="E193" s="12" t="s">
        <v>5613</v>
      </c>
      <c r="F193" s="13" t="s">
        <v>5614</v>
      </c>
      <c r="G193" s="12"/>
      <c r="H193" s="12" t="s">
        <v>5397</v>
      </c>
      <c r="I193" s="12" t="s">
        <v>394</v>
      </c>
      <c r="J193" s="12" t="s">
        <v>112</v>
      </c>
      <c r="K193" s="18" t="s">
        <v>5617</v>
      </c>
      <c r="L193" s="18" t="s">
        <v>112</v>
      </c>
      <c r="M193" s="18" t="s">
        <v>112</v>
      </c>
      <c r="N193" s="18" t="s">
        <v>6867</v>
      </c>
      <c r="O193" s="12" t="s">
        <v>6608</v>
      </c>
      <c r="P193" s="12" t="s">
        <v>115</v>
      </c>
      <c r="Q193" s="12" t="s">
        <v>116</v>
      </c>
      <c r="R193" s="19" t="n">
        <f aca="false">COUNTIF(Dati!$B$2:$B$1216,A193)</f>
        <v>2</v>
      </c>
    </row>
    <row r="194" customFormat="false" ht="23.85" hidden="false" customHeight="false" outlineLevel="0" collapsed="false">
      <c r="A194" s="12" t="s">
        <v>5624</v>
      </c>
      <c r="B194" s="12" t="s">
        <v>5611</v>
      </c>
      <c r="C194" s="12" t="s">
        <v>5625</v>
      </c>
      <c r="D194" s="12" t="s">
        <v>7085</v>
      </c>
      <c r="E194" s="12" t="s">
        <v>5626</v>
      </c>
      <c r="F194" s="13" t="s">
        <v>5627</v>
      </c>
      <c r="G194" s="12"/>
      <c r="H194" s="12" t="s">
        <v>5397</v>
      </c>
      <c r="I194" s="12" t="s">
        <v>394</v>
      </c>
      <c r="J194" s="12" t="s">
        <v>112</v>
      </c>
      <c r="K194" s="18" t="s">
        <v>5630</v>
      </c>
      <c r="L194" s="18" t="s">
        <v>112</v>
      </c>
      <c r="M194" s="18" t="s">
        <v>112</v>
      </c>
      <c r="N194" s="18" t="s">
        <v>6867</v>
      </c>
      <c r="O194" s="12" t="s">
        <v>6608</v>
      </c>
      <c r="P194" s="12" t="s">
        <v>115</v>
      </c>
      <c r="Q194" s="12" t="s">
        <v>116</v>
      </c>
      <c r="R194" s="19" t="n">
        <f aca="false">COUNTIF(Dati!$B$2:$B$1216,A194)</f>
        <v>1</v>
      </c>
    </row>
    <row r="195" customFormat="false" ht="35.05" hidden="false" customHeight="false" outlineLevel="0" collapsed="false">
      <c r="A195" s="12" t="s">
        <v>5378</v>
      </c>
      <c r="B195" s="12" t="s">
        <v>7086</v>
      </c>
      <c r="C195" s="12" t="s">
        <v>5380</v>
      </c>
      <c r="D195" s="12" t="s">
        <v>808</v>
      </c>
      <c r="E195" s="12" t="s">
        <v>808</v>
      </c>
      <c r="F195" s="13" t="s">
        <v>5381</v>
      </c>
      <c r="G195" s="12"/>
      <c r="H195" s="12" t="s">
        <v>5317</v>
      </c>
      <c r="I195" s="12" t="s">
        <v>394</v>
      </c>
      <c r="J195" s="12" t="s">
        <v>112</v>
      </c>
      <c r="K195" s="18" t="s">
        <v>7087</v>
      </c>
      <c r="L195" s="18" t="s">
        <v>112</v>
      </c>
      <c r="M195" s="18" t="s">
        <v>7088</v>
      </c>
      <c r="N195" s="18" t="s">
        <v>282</v>
      </c>
      <c r="O195" s="12" t="s">
        <v>282</v>
      </c>
      <c r="P195" s="12" t="s">
        <v>407</v>
      </c>
      <c r="Q195" s="12" t="s">
        <v>116</v>
      </c>
      <c r="R195" s="19" t="n">
        <f aca="false">COUNTIF(Dati!$B$2:$B$1216,A195)</f>
        <v>1</v>
      </c>
    </row>
    <row r="196" customFormat="false" ht="23.85" hidden="false" customHeight="false" outlineLevel="0" collapsed="false">
      <c r="A196" s="12" t="s">
        <v>1079</v>
      </c>
      <c r="B196" s="12" t="s">
        <v>7089</v>
      </c>
      <c r="C196" s="12" t="s">
        <v>1081</v>
      </c>
      <c r="D196" s="12" t="s">
        <v>181</v>
      </c>
      <c r="E196" s="12" t="s">
        <v>181</v>
      </c>
      <c r="F196" s="13" t="s">
        <v>1082</v>
      </c>
      <c r="G196" s="12"/>
      <c r="H196" s="12" t="s">
        <v>948</v>
      </c>
      <c r="I196" s="12" t="s">
        <v>110</v>
      </c>
      <c r="J196" s="12" t="s">
        <v>281</v>
      </c>
      <c r="K196" s="18" t="s">
        <v>7090</v>
      </c>
      <c r="L196" s="18" t="s">
        <v>112</v>
      </c>
      <c r="M196" s="18" t="s">
        <v>112</v>
      </c>
      <c r="N196" s="18" t="s">
        <v>282</v>
      </c>
      <c r="O196" s="12" t="s">
        <v>282</v>
      </c>
      <c r="P196" s="12" t="s">
        <v>284</v>
      </c>
      <c r="Q196" s="12" t="s">
        <v>116</v>
      </c>
      <c r="R196" s="19" t="n">
        <f aca="false">COUNTIF(Dati!$B$2:$B$1216,A196)</f>
        <v>3</v>
      </c>
    </row>
    <row r="197" customFormat="false" ht="15" hidden="false" customHeight="false" outlineLevel="0" collapsed="false">
      <c r="A197" s="12" t="s">
        <v>5181</v>
      </c>
      <c r="B197" s="12" t="s">
        <v>5182</v>
      </c>
      <c r="C197" s="12" t="s">
        <v>5183</v>
      </c>
      <c r="D197" s="12" t="s">
        <v>181</v>
      </c>
      <c r="E197" s="12" t="s">
        <v>181</v>
      </c>
      <c r="F197" s="13" t="s">
        <v>5184</v>
      </c>
      <c r="G197" s="12"/>
      <c r="H197" s="12" t="s">
        <v>5161</v>
      </c>
      <c r="I197" s="12" t="s">
        <v>110</v>
      </c>
      <c r="J197" s="12" t="s">
        <v>281</v>
      </c>
      <c r="K197" s="18" t="s">
        <v>282</v>
      </c>
      <c r="L197" s="18" t="s">
        <v>112</v>
      </c>
      <c r="M197" s="18" t="s">
        <v>112</v>
      </c>
      <c r="N197" s="18" t="s">
        <v>282</v>
      </c>
      <c r="O197" s="12" t="s">
        <v>6608</v>
      </c>
      <c r="P197" s="12" t="s">
        <v>284</v>
      </c>
      <c r="Q197" s="12" t="s">
        <v>116</v>
      </c>
      <c r="R197" s="19" t="n">
        <f aca="false">COUNTIF(Dati!$B$2:$B$1216,A197)</f>
        <v>3</v>
      </c>
    </row>
    <row r="198" customFormat="false" ht="35.05" hidden="false" customHeight="false" outlineLevel="0" collapsed="false">
      <c r="A198" s="12" t="s">
        <v>6016</v>
      </c>
      <c r="B198" s="12" t="s">
        <v>2235</v>
      </c>
      <c r="C198" s="12" t="s">
        <v>7091</v>
      </c>
      <c r="D198" s="12" t="s">
        <v>2970</v>
      </c>
      <c r="E198" s="12" t="s">
        <v>2970</v>
      </c>
      <c r="F198" s="13" t="s">
        <v>6018</v>
      </c>
      <c r="G198" s="13" t="s">
        <v>7092</v>
      </c>
      <c r="H198" s="12" t="s">
        <v>7093</v>
      </c>
      <c r="I198" s="12" t="s">
        <v>679</v>
      </c>
      <c r="J198" s="12" t="s">
        <v>201</v>
      </c>
      <c r="K198" s="18" t="s">
        <v>7094</v>
      </c>
      <c r="L198" s="18" t="s">
        <v>6587</v>
      </c>
      <c r="M198" s="18" t="s">
        <v>7095</v>
      </c>
      <c r="N198" s="18" t="s">
        <v>7096</v>
      </c>
      <c r="O198" s="12" t="s">
        <v>6588</v>
      </c>
      <c r="P198" s="12" t="s">
        <v>498</v>
      </c>
      <c r="Q198" s="12" t="s">
        <v>116</v>
      </c>
      <c r="R198" s="19" t="n">
        <f aca="false">COUNTIF(Dati!$B$2:$B$1216,A198)</f>
        <v>2</v>
      </c>
    </row>
    <row r="199" customFormat="false" ht="35.05" hidden="false" customHeight="false" outlineLevel="0" collapsed="false">
      <c r="A199" s="12" t="s">
        <v>6402</v>
      </c>
      <c r="B199" s="12" t="s">
        <v>2235</v>
      </c>
      <c r="C199" s="12" t="s">
        <v>7097</v>
      </c>
      <c r="D199" s="12" t="s">
        <v>583</v>
      </c>
      <c r="E199" s="12" t="s">
        <v>583</v>
      </c>
      <c r="F199" s="13" t="s">
        <v>6404</v>
      </c>
      <c r="G199" s="13" t="s">
        <v>7092</v>
      </c>
      <c r="H199" s="12" t="s">
        <v>7093</v>
      </c>
      <c r="I199" s="12" t="s">
        <v>679</v>
      </c>
      <c r="J199" s="12" t="s">
        <v>201</v>
      </c>
      <c r="K199" s="18" t="s">
        <v>7094</v>
      </c>
      <c r="L199" s="18" t="s">
        <v>6587</v>
      </c>
      <c r="M199" s="18" t="s">
        <v>7095</v>
      </c>
      <c r="N199" s="18" t="s">
        <v>7096</v>
      </c>
      <c r="O199" s="12" t="s">
        <v>6588</v>
      </c>
      <c r="P199" s="12" t="s">
        <v>498</v>
      </c>
      <c r="Q199" s="12" t="s">
        <v>116</v>
      </c>
      <c r="R199" s="19" t="n">
        <f aca="false">COUNTIF(Dati!$B$2:$B$1216,A199)</f>
        <v>1</v>
      </c>
    </row>
    <row r="200" customFormat="false" ht="15" hidden="false" customHeight="false" outlineLevel="0" collapsed="false">
      <c r="A200" s="12" t="s">
        <v>5068</v>
      </c>
      <c r="B200" s="12" t="s">
        <v>5069</v>
      </c>
      <c r="C200" s="12" t="s">
        <v>5070</v>
      </c>
      <c r="D200" s="12" t="s">
        <v>583</v>
      </c>
      <c r="E200" s="12" t="s">
        <v>3964</v>
      </c>
      <c r="F200" s="13" t="s">
        <v>5071</v>
      </c>
      <c r="G200" s="12"/>
      <c r="H200" s="12" t="s">
        <v>4941</v>
      </c>
      <c r="I200" s="12" t="s">
        <v>110</v>
      </c>
      <c r="J200" s="12" t="s">
        <v>112</v>
      </c>
      <c r="K200" s="18" t="s">
        <v>282</v>
      </c>
      <c r="L200" s="18" t="s">
        <v>112</v>
      </c>
      <c r="M200" s="18" t="s">
        <v>112</v>
      </c>
      <c r="N200" s="18" t="s">
        <v>282</v>
      </c>
      <c r="O200" s="12" t="s">
        <v>282</v>
      </c>
      <c r="P200" s="12" t="s">
        <v>284</v>
      </c>
      <c r="Q200" s="12" t="s">
        <v>116</v>
      </c>
      <c r="R200" s="19" t="n">
        <f aca="false">COUNTIF(Dati!$B$2:$B$1216,A200)</f>
        <v>2</v>
      </c>
    </row>
    <row r="201" customFormat="false" ht="35.05" hidden="false" customHeight="false" outlineLevel="0" collapsed="false">
      <c r="A201" s="12" t="s">
        <v>4553</v>
      </c>
      <c r="B201" s="12" t="s">
        <v>7098</v>
      </c>
      <c r="C201" s="12" t="s">
        <v>7099</v>
      </c>
      <c r="D201" s="12" t="s">
        <v>773</v>
      </c>
      <c r="E201" s="12" t="s">
        <v>7100</v>
      </c>
      <c r="F201" s="13" t="s">
        <v>7101</v>
      </c>
      <c r="G201" s="12"/>
      <c r="H201" s="12" t="s">
        <v>4407</v>
      </c>
      <c r="I201" s="12" t="s">
        <v>679</v>
      </c>
      <c r="J201" s="12" t="s">
        <v>112</v>
      </c>
      <c r="K201" s="18" t="s">
        <v>7102</v>
      </c>
      <c r="L201" s="18" t="s">
        <v>112</v>
      </c>
      <c r="M201" s="18" t="s">
        <v>112</v>
      </c>
      <c r="N201" s="18" t="s">
        <v>7103</v>
      </c>
      <c r="O201" s="12" t="s">
        <v>7104</v>
      </c>
      <c r="P201" s="12" t="s">
        <v>498</v>
      </c>
      <c r="Q201" s="12" t="s">
        <v>499</v>
      </c>
      <c r="R201" s="19" t="n">
        <f aca="false">COUNTIF(Dati!$B$2:$B$1216,A201)</f>
        <v>10</v>
      </c>
    </row>
    <row r="202" customFormat="false" ht="35.05" hidden="false" customHeight="false" outlineLevel="0" collapsed="false">
      <c r="A202" s="12" t="s">
        <v>6027</v>
      </c>
      <c r="B202" s="12" t="s">
        <v>2235</v>
      </c>
      <c r="C202" s="12" t="s">
        <v>7105</v>
      </c>
      <c r="D202" s="12" t="s">
        <v>7106</v>
      </c>
      <c r="E202" s="12" t="s">
        <v>7106</v>
      </c>
      <c r="F202" s="13" t="s">
        <v>6030</v>
      </c>
      <c r="G202" s="13" t="s">
        <v>7092</v>
      </c>
      <c r="H202" s="12" t="s">
        <v>7093</v>
      </c>
      <c r="I202" s="12" t="s">
        <v>679</v>
      </c>
      <c r="J202" s="12" t="s">
        <v>201</v>
      </c>
      <c r="K202" s="18" t="s">
        <v>7094</v>
      </c>
      <c r="L202" s="18" t="s">
        <v>6587</v>
      </c>
      <c r="M202" s="18" t="s">
        <v>7095</v>
      </c>
      <c r="N202" s="18" t="s">
        <v>7096</v>
      </c>
      <c r="O202" s="12" t="s">
        <v>6588</v>
      </c>
      <c r="P202" s="12" t="s">
        <v>498</v>
      </c>
      <c r="Q202" s="12" t="s">
        <v>499</v>
      </c>
      <c r="R202" s="19" t="n">
        <f aca="false">COUNTIF(Dati!$B$2:$B$1216,A202)</f>
        <v>9</v>
      </c>
    </row>
    <row r="203" customFormat="false" ht="35.05" hidden="false" customHeight="false" outlineLevel="0" collapsed="false">
      <c r="A203" s="12" t="s">
        <v>6051</v>
      </c>
      <c r="B203" s="12" t="s">
        <v>2235</v>
      </c>
      <c r="C203" s="12" t="s">
        <v>7107</v>
      </c>
      <c r="D203" s="12" t="s">
        <v>7108</v>
      </c>
      <c r="E203" s="12" t="s">
        <v>7108</v>
      </c>
      <c r="F203" s="13" t="s">
        <v>6054</v>
      </c>
      <c r="G203" s="13" t="s">
        <v>7092</v>
      </c>
      <c r="H203" s="12" t="s">
        <v>7093</v>
      </c>
      <c r="I203" s="12" t="s">
        <v>679</v>
      </c>
      <c r="J203" s="12" t="s">
        <v>201</v>
      </c>
      <c r="K203" s="18" t="s">
        <v>7094</v>
      </c>
      <c r="L203" s="18" t="s">
        <v>6587</v>
      </c>
      <c r="M203" s="18" t="s">
        <v>7095</v>
      </c>
      <c r="N203" s="18" t="s">
        <v>7096</v>
      </c>
      <c r="O203" s="12" t="s">
        <v>6588</v>
      </c>
      <c r="P203" s="12" t="s">
        <v>498</v>
      </c>
      <c r="Q203" s="12" t="s">
        <v>499</v>
      </c>
      <c r="R203" s="19" t="n">
        <f aca="false">COUNTIF(Dati!$B$2:$B$1216,A203)</f>
        <v>5</v>
      </c>
    </row>
    <row r="204" customFormat="false" ht="35.05" hidden="false" customHeight="false" outlineLevel="0" collapsed="false">
      <c r="A204" s="12" t="s">
        <v>4442</v>
      </c>
      <c r="B204" s="12" t="s">
        <v>2235</v>
      </c>
      <c r="C204" s="12" t="s">
        <v>7109</v>
      </c>
      <c r="D204" s="12" t="s">
        <v>4444</v>
      </c>
      <c r="E204" s="12" t="s">
        <v>4444</v>
      </c>
      <c r="F204" s="13" t="s">
        <v>4445</v>
      </c>
      <c r="G204" s="13" t="s">
        <v>7092</v>
      </c>
      <c r="H204" s="12" t="s">
        <v>7110</v>
      </c>
      <c r="I204" s="12" t="s">
        <v>679</v>
      </c>
      <c r="J204" s="12" t="s">
        <v>201</v>
      </c>
      <c r="K204" s="18" t="s">
        <v>7094</v>
      </c>
      <c r="L204" s="18" t="s">
        <v>6587</v>
      </c>
      <c r="M204" s="18" t="s">
        <v>7095</v>
      </c>
      <c r="N204" s="18" t="s">
        <v>7096</v>
      </c>
      <c r="O204" s="12" t="s">
        <v>6588</v>
      </c>
      <c r="P204" s="12" t="s">
        <v>498</v>
      </c>
      <c r="Q204" s="12" t="s">
        <v>116</v>
      </c>
      <c r="R204" s="19" t="n">
        <f aca="false">COUNTIF(Dati!$B$2:$B$1216,A204)</f>
        <v>7</v>
      </c>
    </row>
    <row r="205" customFormat="false" ht="35.05" hidden="false" customHeight="false" outlineLevel="0" collapsed="false">
      <c r="A205" s="12" t="s">
        <v>2781</v>
      </c>
      <c r="B205" s="12" t="s">
        <v>2235</v>
      </c>
      <c r="C205" s="12" t="s">
        <v>7111</v>
      </c>
      <c r="D205" s="12" t="s">
        <v>2783</v>
      </c>
      <c r="E205" s="12" t="s">
        <v>2783</v>
      </c>
      <c r="F205" s="13" t="s">
        <v>2784</v>
      </c>
      <c r="G205" s="13" t="s">
        <v>7092</v>
      </c>
      <c r="H205" s="12" t="s">
        <v>7110</v>
      </c>
      <c r="I205" s="12" t="s">
        <v>679</v>
      </c>
      <c r="J205" s="12" t="s">
        <v>201</v>
      </c>
      <c r="K205" s="18" t="s">
        <v>7094</v>
      </c>
      <c r="L205" s="18" t="s">
        <v>6587</v>
      </c>
      <c r="M205" s="18" t="s">
        <v>7095</v>
      </c>
      <c r="N205" s="18" t="s">
        <v>7096</v>
      </c>
      <c r="O205" s="12" t="s">
        <v>6588</v>
      </c>
      <c r="P205" s="12" t="s">
        <v>498</v>
      </c>
      <c r="Q205" s="12" t="s">
        <v>116</v>
      </c>
      <c r="R205" s="19" t="n">
        <f aca="false">COUNTIF(Dati!$B$2:$B$1216,A205)</f>
        <v>8</v>
      </c>
    </row>
    <row r="206" customFormat="false" ht="15" hidden="false" customHeight="false" outlineLevel="0" collapsed="false">
      <c r="A206" s="12" t="s">
        <v>2078</v>
      </c>
      <c r="B206" s="12" t="s">
        <v>2079</v>
      </c>
      <c r="C206" s="12" t="s">
        <v>2080</v>
      </c>
      <c r="D206" s="12" t="s">
        <v>2081</v>
      </c>
      <c r="E206" s="12" t="s">
        <v>2081</v>
      </c>
      <c r="F206" s="13" t="s">
        <v>2082</v>
      </c>
      <c r="G206" s="12"/>
      <c r="H206" s="12" t="s">
        <v>1663</v>
      </c>
      <c r="I206" s="12" t="s">
        <v>110</v>
      </c>
      <c r="J206" s="12" t="s">
        <v>281</v>
      </c>
      <c r="K206" s="18" t="s">
        <v>7112</v>
      </c>
      <c r="L206" s="18" t="s">
        <v>112</v>
      </c>
      <c r="M206" s="18" t="s">
        <v>112</v>
      </c>
      <c r="N206" s="18" t="s">
        <v>282</v>
      </c>
      <c r="O206" s="12" t="s">
        <v>282</v>
      </c>
      <c r="P206" s="12" t="s">
        <v>284</v>
      </c>
      <c r="Q206" s="12" t="s">
        <v>499</v>
      </c>
      <c r="R206" s="19" t="n">
        <f aca="false">COUNTIF(Dati!$B$2:$B$1216,A206)</f>
        <v>1</v>
      </c>
    </row>
    <row r="207" customFormat="false" ht="35.05" hidden="false" customHeight="false" outlineLevel="0" collapsed="false">
      <c r="A207" s="12" t="s">
        <v>3949</v>
      </c>
      <c r="B207" s="12" t="s">
        <v>7113</v>
      </c>
      <c r="C207" s="12" t="s">
        <v>7114</v>
      </c>
      <c r="D207" s="12" t="s">
        <v>583</v>
      </c>
      <c r="E207" s="12" t="s">
        <v>7115</v>
      </c>
      <c r="F207" s="13" t="s">
        <v>3953</v>
      </c>
      <c r="G207" s="12"/>
      <c r="H207" s="12" t="s">
        <v>3908</v>
      </c>
      <c r="I207" s="12" t="s">
        <v>110</v>
      </c>
      <c r="J207" s="12" t="s">
        <v>112</v>
      </c>
      <c r="K207" s="18" t="s">
        <v>7116</v>
      </c>
      <c r="L207" s="18" t="s">
        <v>112</v>
      </c>
      <c r="M207" s="18" t="s">
        <v>112</v>
      </c>
      <c r="N207" s="18" t="s">
        <v>282</v>
      </c>
      <c r="O207" s="12" t="s">
        <v>282</v>
      </c>
      <c r="P207" s="12" t="s">
        <v>498</v>
      </c>
      <c r="Q207" s="12" t="s">
        <v>499</v>
      </c>
      <c r="R207" s="19" t="n">
        <f aca="false">COUNTIF(Dati!$B$2:$B$1216,A207)</f>
        <v>5</v>
      </c>
    </row>
    <row r="208" customFormat="false" ht="35.05" hidden="false" customHeight="false" outlineLevel="0" collapsed="false">
      <c r="A208" s="12" t="s">
        <v>6102</v>
      </c>
      <c r="B208" s="12" t="s">
        <v>2235</v>
      </c>
      <c r="C208" s="12" t="s">
        <v>7117</v>
      </c>
      <c r="D208" s="12" t="s">
        <v>583</v>
      </c>
      <c r="E208" s="12" t="s">
        <v>583</v>
      </c>
      <c r="F208" s="13" t="s">
        <v>6104</v>
      </c>
      <c r="G208" s="13" t="s">
        <v>7092</v>
      </c>
      <c r="H208" s="12" t="s">
        <v>7093</v>
      </c>
      <c r="I208" s="12" t="s">
        <v>679</v>
      </c>
      <c r="J208" s="12" t="s">
        <v>201</v>
      </c>
      <c r="K208" s="18" t="s">
        <v>7094</v>
      </c>
      <c r="L208" s="18" t="s">
        <v>6587</v>
      </c>
      <c r="M208" s="18" t="s">
        <v>7095</v>
      </c>
      <c r="N208" s="18" t="s">
        <v>7096</v>
      </c>
      <c r="O208" s="12" t="s">
        <v>6588</v>
      </c>
      <c r="P208" s="12" t="s">
        <v>498</v>
      </c>
      <c r="Q208" s="12" t="s">
        <v>116</v>
      </c>
      <c r="R208" s="19" t="n">
        <f aca="false">COUNTIF(Dati!$B$2:$B$1216,A208)</f>
        <v>2</v>
      </c>
    </row>
    <row r="209" customFormat="false" ht="35.05" hidden="false" customHeight="false" outlineLevel="0" collapsed="false">
      <c r="A209" s="12" t="s">
        <v>6113</v>
      </c>
      <c r="B209" s="12" t="s">
        <v>2235</v>
      </c>
      <c r="C209" s="12" t="s">
        <v>7118</v>
      </c>
      <c r="D209" s="12" t="s">
        <v>847</v>
      </c>
      <c r="E209" s="12" t="s">
        <v>847</v>
      </c>
      <c r="F209" s="13" t="s">
        <v>6115</v>
      </c>
      <c r="G209" s="13" t="s">
        <v>7092</v>
      </c>
      <c r="H209" s="12" t="s">
        <v>7093</v>
      </c>
      <c r="I209" s="12" t="s">
        <v>679</v>
      </c>
      <c r="J209" s="12" t="s">
        <v>201</v>
      </c>
      <c r="K209" s="18" t="s">
        <v>7094</v>
      </c>
      <c r="L209" s="18" t="s">
        <v>6587</v>
      </c>
      <c r="M209" s="18" t="s">
        <v>7095</v>
      </c>
      <c r="N209" s="18" t="s">
        <v>7096</v>
      </c>
      <c r="O209" s="12" t="s">
        <v>6588</v>
      </c>
      <c r="P209" s="12" t="s">
        <v>498</v>
      </c>
      <c r="Q209" s="12" t="s">
        <v>116</v>
      </c>
      <c r="R209" s="19" t="n">
        <f aca="false">COUNTIF(Dati!$B$2:$B$1216,A209)</f>
        <v>2</v>
      </c>
    </row>
    <row r="210" customFormat="false" ht="113.4" hidden="false" customHeight="false" outlineLevel="0" collapsed="false">
      <c r="A210" s="12" t="s">
        <v>7119</v>
      </c>
      <c r="B210" s="12" t="s">
        <v>2235</v>
      </c>
      <c r="C210" s="12" t="s">
        <v>7120</v>
      </c>
      <c r="D210" s="12" t="s">
        <v>7121</v>
      </c>
      <c r="E210" s="12" t="s">
        <v>181</v>
      </c>
      <c r="F210" s="13" t="s">
        <v>7092</v>
      </c>
      <c r="G210" s="13" t="s">
        <v>7122</v>
      </c>
      <c r="H210" s="12" t="s">
        <v>7123</v>
      </c>
      <c r="I210" s="12" t="s">
        <v>679</v>
      </c>
      <c r="J210" s="12" t="s">
        <v>201</v>
      </c>
      <c r="K210" s="18" t="s">
        <v>7124</v>
      </c>
      <c r="L210" s="18" t="s">
        <v>6587</v>
      </c>
      <c r="M210" s="18" t="s">
        <v>7125</v>
      </c>
      <c r="N210" s="18" t="s">
        <v>7096</v>
      </c>
      <c r="O210" s="12" t="s">
        <v>6588</v>
      </c>
      <c r="P210" s="12" t="s">
        <v>498</v>
      </c>
      <c r="Q210" s="12" t="s">
        <v>838</v>
      </c>
      <c r="R210" s="19" t="n">
        <f aca="false">COUNTIF(Dati!$B$2:$B$1216,A210)</f>
        <v>0</v>
      </c>
    </row>
    <row r="211" customFormat="false" ht="15" hidden="false" customHeight="false" outlineLevel="0" collapsed="false">
      <c r="A211" s="12" t="s">
        <v>2656</v>
      </c>
      <c r="B211" s="12" t="s">
        <v>2659</v>
      </c>
      <c r="C211" s="12" t="s">
        <v>2660</v>
      </c>
      <c r="D211" s="12" t="s">
        <v>181</v>
      </c>
      <c r="E211" s="12" t="s">
        <v>940</v>
      </c>
      <c r="F211" s="13" t="s">
        <v>2661</v>
      </c>
      <c r="G211" s="12"/>
      <c r="H211" s="12" t="s">
        <v>2657</v>
      </c>
      <c r="I211" s="12" t="s">
        <v>110</v>
      </c>
      <c r="J211" s="12" t="s">
        <v>281</v>
      </c>
      <c r="K211" s="18" t="s">
        <v>2666</v>
      </c>
      <c r="L211" s="18" t="s">
        <v>112</v>
      </c>
      <c r="M211" s="18" t="s">
        <v>112</v>
      </c>
      <c r="N211" s="18" t="s">
        <v>282</v>
      </c>
      <c r="O211" s="12" t="s">
        <v>282</v>
      </c>
      <c r="P211" s="12" t="s">
        <v>284</v>
      </c>
      <c r="Q211" s="12" t="s">
        <v>116</v>
      </c>
      <c r="R211" s="19" t="n">
        <f aca="false">COUNTIF(Dati!$B$2:$B$1216,A211)</f>
        <v>2</v>
      </c>
    </row>
    <row r="212" customFormat="false" ht="23.85" hidden="false" customHeight="false" outlineLevel="0" collapsed="false">
      <c r="A212" s="12" t="s">
        <v>2499</v>
      </c>
      <c r="B212" s="12" t="s">
        <v>2500</v>
      </c>
      <c r="C212" s="12" t="s">
        <v>2501</v>
      </c>
      <c r="D212" s="12" t="s">
        <v>7126</v>
      </c>
      <c r="E212" s="12" t="s">
        <v>181</v>
      </c>
      <c r="F212" s="13" t="s">
        <v>2502</v>
      </c>
      <c r="G212" s="12"/>
      <c r="H212" s="12" t="s">
        <v>2125</v>
      </c>
      <c r="I212" s="12" t="s">
        <v>110</v>
      </c>
      <c r="J212" s="12" t="s">
        <v>112</v>
      </c>
      <c r="K212" s="18" t="s">
        <v>7037</v>
      </c>
      <c r="L212" s="18" t="s">
        <v>112</v>
      </c>
      <c r="M212" s="18" t="s">
        <v>112</v>
      </c>
      <c r="N212" s="18" t="s">
        <v>282</v>
      </c>
      <c r="O212" s="12" t="s">
        <v>282</v>
      </c>
      <c r="P212" s="12" t="s">
        <v>284</v>
      </c>
      <c r="Q212" s="12" t="s">
        <v>838</v>
      </c>
      <c r="R212" s="19" t="n">
        <f aca="false">COUNTIF(Dati!$B$2:$B$1216,A212)</f>
        <v>2</v>
      </c>
    </row>
    <row r="213" customFormat="false" ht="15" hidden="false" customHeight="false" outlineLevel="0" collapsed="false">
      <c r="A213" s="12" t="s">
        <v>5082</v>
      </c>
      <c r="B213" s="12" t="s">
        <v>2500</v>
      </c>
      <c r="C213" s="12" t="s">
        <v>5083</v>
      </c>
      <c r="D213" s="12" t="s">
        <v>847</v>
      </c>
      <c r="E213" s="12" t="s">
        <v>847</v>
      </c>
      <c r="F213" s="13" t="s">
        <v>5084</v>
      </c>
      <c r="G213" s="12"/>
      <c r="H213" s="12" t="s">
        <v>4941</v>
      </c>
      <c r="I213" s="12" t="s">
        <v>110</v>
      </c>
      <c r="J213" s="12" t="s">
        <v>112</v>
      </c>
      <c r="K213" s="18" t="s">
        <v>282</v>
      </c>
      <c r="L213" s="18" t="s">
        <v>112</v>
      </c>
      <c r="M213" s="18" t="s">
        <v>112</v>
      </c>
      <c r="N213" s="18" t="s">
        <v>282</v>
      </c>
      <c r="O213" s="12" t="s">
        <v>282</v>
      </c>
      <c r="P213" s="12" t="s">
        <v>284</v>
      </c>
      <c r="Q213" s="12" t="s">
        <v>838</v>
      </c>
      <c r="R213" s="19" t="n">
        <f aca="false">COUNTIF(Dati!$B$2:$B$1216,A213)</f>
        <v>2</v>
      </c>
    </row>
    <row r="214" customFormat="false" ht="15" hidden="false" customHeight="false" outlineLevel="0" collapsed="false">
      <c r="A214" s="12" t="s">
        <v>3275</v>
      </c>
      <c r="B214" s="12" t="s">
        <v>2500</v>
      </c>
      <c r="C214" s="12" t="s">
        <v>3276</v>
      </c>
      <c r="D214" s="12" t="s">
        <v>847</v>
      </c>
      <c r="E214" s="12" t="s">
        <v>847</v>
      </c>
      <c r="F214" s="13" t="s">
        <v>3277</v>
      </c>
      <c r="G214" s="12"/>
      <c r="H214" s="12" t="s">
        <v>7127</v>
      </c>
      <c r="I214" s="12" t="s">
        <v>110</v>
      </c>
      <c r="J214" s="12" t="s">
        <v>112</v>
      </c>
      <c r="K214" s="18" t="s">
        <v>282</v>
      </c>
      <c r="L214" s="18" t="s">
        <v>112</v>
      </c>
      <c r="M214" s="18" t="s">
        <v>112</v>
      </c>
      <c r="N214" s="18" t="s">
        <v>282</v>
      </c>
      <c r="O214" s="12" t="s">
        <v>282</v>
      </c>
      <c r="P214" s="12" t="s">
        <v>284</v>
      </c>
      <c r="Q214" s="12" t="s">
        <v>838</v>
      </c>
      <c r="R214" s="19" t="n">
        <f aca="false">COUNTIF(Dati!$B$2:$B$1216,A214)</f>
        <v>2</v>
      </c>
    </row>
    <row r="215" customFormat="false" ht="79.85" hidden="false" customHeight="false" outlineLevel="0" collapsed="false">
      <c r="A215" s="12" t="s">
        <v>6123</v>
      </c>
      <c r="B215" s="12" t="s">
        <v>2500</v>
      </c>
      <c r="C215" s="12" t="s">
        <v>3276</v>
      </c>
      <c r="D215" s="12" t="s">
        <v>847</v>
      </c>
      <c r="E215" s="12" t="s">
        <v>847</v>
      </c>
      <c r="F215" s="13" t="s">
        <v>3277</v>
      </c>
      <c r="G215" s="13" t="s">
        <v>3277</v>
      </c>
      <c r="H215" s="12" t="s">
        <v>7128</v>
      </c>
      <c r="I215" s="12" t="s">
        <v>394</v>
      </c>
      <c r="J215" s="12" t="s">
        <v>617</v>
      </c>
      <c r="K215" s="18" t="s">
        <v>7129</v>
      </c>
      <c r="L215" s="18" t="s">
        <v>7130</v>
      </c>
      <c r="M215" s="18" t="s">
        <v>7131</v>
      </c>
      <c r="N215" s="18" t="s">
        <v>7132</v>
      </c>
      <c r="O215" s="12" t="s">
        <v>6588</v>
      </c>
      <c r="P215" s="12" t="s">
        <v>115</v>
      </c>
      <c r="Q215" s="12" t="s">
        <v>838</v>
      </c>
      <c r="R215" s="19" t="n">
        <f aca="false">COUNTIF(Dati!$B$2:$B$1216,A215)</f>
        <v>8</v>
      </c>
    </row>
    <row r="216" customFormat="false" ht="15" hidden="false" customHeight="false" outlineLevel="0" collapsed="false">
      <c r="A216" s="12" t="s">
        <v>5633</v>
      </c>
      <c r="B216" s="12" t="s">
        <v>2500</v>
      </c>
      <c r="C216" s="12" t="s">
        <v>5634</v>
      </c>
      <c r="D216" s="12" t="s">
        <v>7133</v>
      </c>
      <c r="E216" s="12" t="s">
        <v>847</v>
      </c>
      <c r="F216" s="13" t="s">
        <v>5635</v>
      </c>
      <c r="G216" s="12"/>
      <c r="H216" s="12" t="s">
        <v>5397</v>
      </c>
      <c r="I216" s="12" t="s">
        <v>110</v>
      </c>
      <c r="J216" s="12" t="s">
        <v>112</v>
      </c>
      <c r="K216" s="18" t="s">
        <v>282</v>
      </c>
      <c r="L216" s="18" t="s">
        <v>112</v>
      </c>
      <c r="M216" s="18" t="s">
        <v>112</v>
      </c>
      <c r="N216" s="18" t="s">
        <v>282</v>
      </c>
      <c r="O216" s="12" t="s">
        <v>7052</v>
      </c>
      <c r="P216" s="12" t="s">
        <v>284</v>
      </c>
      <c r="Q216" s="12" t="s">
        <v>838</v>
      </c>
      <c r="R216" s="19" t="n">
        <f aca="false">COUNTIF(Dati!$B$2:$B$1216,A216)</f>
        <v>3</v>
      </c>
    </row>
    <row r="217" customFormat="false" ht="35.05" hidden="false" customHeight="false" outlineLevel="0" collapsed="false">
      <c r="A217" s="12" t="s">
        <v>7134</v>
      </c>
      <c r="B217" s="12" t="s">
        <v>2500</v>
      </c>
      <c r="C217" s="12" t="s">
        <v>7135</v>
      </c>
      <c r="D217" s="12" t="s">
        <v>847</v>
      </c>
      <c r="E217" s="12" t="s">
        <v>847</v>
      </c>
      <c r="F217" s="13" t="s">
        <v>7136</v>
      </c>
      <c r="G217" s="13" t="s">
        <v>3277</v>
      </c>
      <c r="H217" s="12" t="s">
        <v>6599</v>
      </c>
      <c r="I217" s="12" t="s">
        <v>3261</v>
      </c>
      <c r="J217" s="12" t="s">
        <v>201</v>
      </c>
      <c r="K217" s="18" t="s">
        <v>7137</v>
      </c>
      <c r="L217" s="18" t="s">
        <v>6587</v>
      </c>
      <c r="M217" s="18" t="s">
        <v>282</v>
      </c>
      <c r="N217" s="18" t="s">
        <v>282</v>
      </c>
      <c r="O217" s="12" t="s">
        <v>6588</v>
      </c>
      <c r="P217" s="12" t="s">
        <v>498</v>
      </c>
      <c r="Q217" s="12" t="s">
        <v>838</v>
      </c>
      <c r="R217" s="19" t="n">
        <f aca="false">COUNTIF(Dati!$B$2:$B$1216,A217)</f>
        <v>0</v>
      </c>
    </row>
    <row r="218" customFormat="false" ht="15" hidden="false" customHeight="false" outlineLevel="0" collapsed="false">
      <c r="A218" s="12" t="s">
        <v>5096</v>
      </c>
      <c r="B218" s="12" t="s">
        <v>5097</v>
      </c>
      <c r="C218" s="12" t="s">
        <v>5098</v>
      </c>
      <c r="D218" s="12" t="s">
        <v>808</v>
      </c>
      <c r="E218" s="12" t="s">
        <v>5099</v>
      </c>
      <c r="F218" s="13" t="s">
        <v>5100</v>
      </c>
      <c r="G218" s="12"/>
      <c r="H218" s="12" t="s">
        <v>4941</v>
      </c>
      <c r="I218" s="12" t="s">
        <v>110</v>
      </c>
      <c r="J218" s="12" t="s">
        <v>281</v>
      </c>
      <c r="K218" s="18" t="s">
        <v>282</v>
      </c>
      <c r="L218" s="18" t="s">
        <v>112</v>
      </c>
      <c r="M218" s="18" t="s">
        <v>112</v>
      </c>
      <c r="N218" s="18" t="s">
        <v>282</v>
      </c>
      <c r="O218" s="12" t="s">
        <v>282</v>
      </c>
      <c r="P218" s="12" t="s">
        <v>284</v>
      </c>
      <c r="Q218" s="12" t="s">
        <v>499</v>
      </c>
      <c r="R218" s="19" t="n">
        <f aca="false">COUNTIF(Dati!$B$2:$B$1216,A218)</f>
        <v>2</v>
      </c>
    </row>
    <row r="219" customFormat="false" ht="35.05" hidden="false" customHeight="false" outlineLevel="0" collapsed="false">
      <c r="A219" s="12" t="s">
        <v>5112</v>
      </c>
      <c r="B219" s="12" t="s">
        <v>5113</v>
      </c>
      <c r="C219" s="12" t="s">
        <v>5114</v>
      </c>
      <c r="D219" s="12" t="s">
        <v>847</v>
      </c>
      <c r="E219" s="12" t="s">
        <v>5115</v>
      </c>
      <c r="F219" s="13" t="s">
        <v>5116</v>
      </c>
      <c r="G219" s="12"/>
      <c r="H219" s="12" t="s">
        <v>4941</v>
      </c>
      <c r="I219" s="12" t="s">
        <v>679</v>
      </c>
      <c r="J219" s="12" t="s">
        <v>2399</v>
      </c>
      <c r="K219" s="18" t="s">
        <v>5119</v>
      </c>
      <c r="L219" s="18" t="s">
        <v>7138</v>
      </c>
      <c r="M219" s="18" t="s">
        <v>7139</v>
      </c>
      <c r="N219" s="18" t="s">
        <v>7140</v>
      </c>
      <c r="O219" s="12" t="s">
        <v>282</v>
      </c>
      <c r="P219" s="12" t="s">
        <v>115</v>
      </c>
      <c r="Q219" s="12" t="s">
        <v>116</v>
      </c>
      <c r="R219" s="19" t="n">
        <f aca="false">COUNTIF(Dati!$B$2:$B$1216,A219)</f>
        <v>3</v>
      </c>
    </row>
    <row r="220" customFormat="false" ht="23.85" hidden="false" customHeight="false" outlineLevel="0" collapsed="false">
      <c r="A220" s="12" t="s">
        <v>769</v>
      </c>
      <c r="B220" s="12" t="s">
        <v>7141</v>
      </c>
      <c r="C220" s="12" t="s">
        <v>7142</v>
      </c>
      <c r="D220" s="12" t="s">
        <v>7143</v>
      </c>
      <c r="E220" s="12" t="s">
        <v>773</v>
      </c>
      <c r="F220" s="13" t="s">
        <v>774</v>
      </c>
      <c r="G220" s="12"/>
      <c r="H220" s="12" t="s">
        <v>757</v>
      </c>
      <c r="I220" s="12" t="s">
        <v>110</v>
      </c>
      <c r="J220" s="12" t="s">
        <v>281</v>
      </c>
      <c r="K220" s="18" t="s">
        <v>7144</v>
      </c>
      <c r="L220" s="18" t="s">
        <v>112</v>
      </c>
      <c r="M220" s="18" t="s">
        <v>112</v>
      </c>
      <c r="N220" s="18" t="s">
        <v>282</v>
      </c>
      <c r="O220" s="12" t="s">
        <v>282</v>
      </c>
      <c r="P220" s="12" t="s">
        <v>284</v>
      </c>
      <c r="Q220" s="12" t="s">
        <v>499</v>
      </c>
      <c r="R220" s="19" t="n">
        <f aca="false">COUNTIF(Dati!$B$2:$B$1216,A220)</f>
        <v>1</v>
      </c>
    </row>
    <row r="221" customFormat="false" ht="23.85" hidden="false" customHeight="false" outlineLevel="0" collapsed="false">
      <c r="A221" s="12" t="s">
        <v>782</v>
      </c>
      <c r="B221" s="12" t="s">
        <v>770</v>
      </c>
      <c r="C221" s="12" t="s">
        <v>783</v>
      </c>
      <c r="D221" s="12" t="s">
        <v>181</v>
      </c>
      <c r="E221" s="12" t="s">
        <v>181</v>
      </c>
      <c r="F221" s="13" t="s">
        <v>784</v>
      </c>
      <c r="G221" s="12"/>
      <c r="H221" s="12" t="s">
        <v>757</v>
      </c>
      <c r="I221" s="12" t="s">
        <v>110</v>
      </c>
      <c r="J221" s="12" t="s">
        <v>112</v>
      </c>
      <c r="K221" s="18" t="s">
        <v>7145</v>
      </c>
      <c r="L221" s="18" t="s">
        <v>112</v>
      </c>
      <c r="M221" s="18" t="s">
        <v>112</v>
      </c>
      <c r="N221" s="18" t="s">
        <v>282</v>
      </c>
      <c r="O221" s="12" t="s">
        <v>282</v>
      </c>
      <c r="P221" s="12" t="s">
        <v>284</v>
      </c>
      <c r="Q221" s="12" t="s">
        <v>116</v>
      </c>
      <c r="R221" s="19" t="n">
        <f aca="false">COUNTIF(Dati!$B$2:$B$1216,A221)</f>
        <v>4</v>
      </c>
    </row>
    <row r="222" customFormat="false" ht="23.85" hidden="false" customHeight="false" outlineLevel="0" collapsed="false">
      <c r="A222" s="12" t="s">
        <v>5335</v>
      </c>
      <c r="B222" s="12" t="s">
        <v>7146</v>
      </c>
      <c r="C222" s="12" t="s">
        <v>5336</v>
      </c>
      <c r="D222" s="12" t="s">
        <v>808</v>
      </c>
      <c r="E222" s="12" t="s">
        <v>5290</v>
      </c>
      <c r="F222" s="13" t="s">
        <v>5337</v>
      </c>
      <c r="G222" s="12"/>
      <c r="H222" s="12" t="s">
        <v>5317</v>
      </c>
      <c r="I222" s="12" t="s">
        <v>110</v>
      </c>
      <c r="J222" s="12" t="s">
        <v>281</v>
      </c>
      <c r="K222" s="18" t="s">
        <v>7147</v>
      </c>
      <c r="L222" s="18" t="s">
        <v>112</v>
      </c>
      <c r="M222" s="18" t="s">
        <v>112</v>
      </c>
      <c r="N222" s="18" t="s">
        <v>282</v>
      </c>
      <c r="O222" s="12" t="s">
        <v>282</v>
      </c>
      <c r="P222" s="12" t="s">
        <v>284</v>
      </c>
      <c r="Q222" s="12" t="s">
        <v>116</v>
      </c>
      <c r="R222" s="19" t="n">
        <f aca="false">COUNTIF(Dati!$B$2:$B$1216,A222)</f>
        <v>2</v>
      </c>
    </row>
    <row r="223" customFormat="false" ht="15" hidden="false" customHeight="false" outlineLevel="0" collapsed="false">
      <c r="A223" s="12" t="s">
        <v>4872</v>
      </c>
      <c r="B223" s="12" t="s">
        <v>7146</v>
      </c>
      <c r="C223" s="12" t="s">
        <v>7148</v>
      </c>
      <c r="D223" s="12" t="s">
        <v>583</v>
      </c>
      <c r="E223" s="12" t="s">
        <v>583</v>
      </c>
      <c r="F223" s="13" t="s">
        <v>4876</v>
      </c>
      <c r="G223" s="12"/>
      <c r="H223" s="12" t="s">
        <v>4873</v>
      </c>
      <c r="I223" s="12" t="s">
        <v>110</v>
      </c>
      <c r="J223" s="12" t="s">
        <v>281</v>
      </c>
      <c r="K223" s="18" t="s">
        <v>7149</v>
      </c>
      <c r="L223" s="18" t="s">
        <v>112</v>
      </c>
      <c r="M223" s="18" t="s">
        <v>112</v>
      </c>
      <c r="N223" s="18" t="s">
        <v>282</v>
      </c>
      <c r="O223" s="12" t="s">
        <v>6732</v>
      </c>
      <c r="P223" s="12" t="s">
        <v>284</v>
      </c>
      <c r="Q223" s="12" t="s">
        <v>116</v>
      </c>
      <c r="R223" s="19" t="n">
        <f aca="false">COUNTIF(Dati!$B$2:$B$1216,A223)</f>
        <v>1</v>
      </c>
    </row>
    <row r="224" customFormat="false" ht="23.85" hidden="false" customHeight="false" outlineLevel="0" collapsed="false">
      <c r="A224" s="12" t="s">
        <v>806</v>
      </c>
      <c r="B224" s="12" t="s">
        <v>770</v>
      </c>
      <c r="C224" s="12" t="s">
        <v>7150</v>
      </c>
      <c r="D224" s="12" t="s">
        <v>808</v>
      </c>
      <c r="E224" s="12" t="s">
        <v>808</v>
      </c>
      <c r="F224" s="13" t="s">
        <v>809</v>
      </c>
      <c r="G224" s="12"/>
      <c r="H224" s="12" t="s">
        <v>757</v>
      </c>
      <c r="I224" s="12" t="s">
        <v>110</v>
      </c>
      <c r="J224" s="12" t="s">
        <v>112</v>
      </c>
      <c r="K224" s="18" t="s">
        <v>7151</v>
      </c>
      <c r="L224" s="18" t="s">
        <v>112</v>
      </c>
      <c r="M224" s="18" t="s">
        <v>112</v>
      </c>
      <c r="N224" s="18" t="s">
        <v>282</v>
      </c>
      <c r="O224" s="12" t="s">
        <v>282</v>
      </c>
      <c r="P224" s="12" t="s">
        <v>284</v>
      </c>
      <c r="Q224" s="12" t="s">
        <v>116</v>
      </c>
      <c r="R224" s="19" t="n">
        <f aca="false">COUNTIF(Dati!$B$2:$B$1216,A224)</f>
        <v>1</v>
      </c>
    </row>
    <row r="225" customFormat="false" ht="15" hidden="false" customHeight="false" outlineLevel="0" collapsed="false">
      <c r="A225" s="12" t="s">
        <v>1421</v>
      </c>
      <c r="B225" s="12" t="s">
        <v>1422</v>
      </c>
      <c r="C225" s="12" t="s">
        <v>1423</v>
      </c>
      <c r="D225" s="12" t="s">
        <v>847</v>
      </c>
      <c r="E225" s="12" t="s">
        <v>1424</v>
      </c>
      <c r="F225" s="13" t="s">
        <v>1425</v>
      </c>
      <c r="G225" s="12"/>
      <c r="H225" s="12" t="s">
        <v>1371</v>
      </c>
      <c r="I225" s="12" t="s">
        <v>110</v>
      </c>
      <c r="J225" s="12" t="s">
        <v>112</v>
      </c>
      <c r="K225" s="18" t="s">
        <v>282</v>
      </c>
      <c r="L225" s="18" t="s">
        <v>112</v>
      </c>
      <c r="M225" s="18" t="s">
        <v>112</v>
      </c>
      <c r="N225" s="18" t="s">
        <v>282</v>
      </c>
      <c r="O225" s="12" t="s">
        <v>6608</v>
      </c>
      <c r="P225" s="12" t="s">
        <v>284</v>
      </c>
      <c r="Q225" s="12" t="s">
        <v>116</v>
      </c>
      <c r="R225" s="19" t="n">
        <f aca="false">COUNTIF(Dati!$B$2:$B$1216,A225)</f>
        <v>1</v>
      </c>
    </row>
    <row r="226" customFormat="false" ht="23.85" hidden="false" customHeight="false" outlineLevel="0" collapsed="false">
      <c r="A226" s="12" t="s">
        <v>3647</v>
      </c>
      <c r="B226" s="12" t="s">
        <v>3650</v>
      </c>
      <c r="C226" s="12" t="s">
        <v>3651</v>
      </c>
      <c r="D226" s="12" t="s">
        <v>7152</v>
      </c>
      <c r="E226" s="12" t="s">
        <v>3652</v>
      </c>
      <c r="F226" s="13" t="s">
        <v>3653</v>
      </c>
      <c r="G226" s="12"/>
      <c r="H226" s="12" t="s">
        <v>3648</v>
      </c>
      <c r="I226" s="12" t="s">
        <v>394</v>
      </c>
      <c r="J226" s="12" t="s">
        <v>112</v>
      </c>
      <c r="K226" s="18" t="s">
        <v>3656</v>
      </c>
      <c r="L226" s="18" t="s">
        <v>112</v>
      </c>
      <c r="M226" s="18" t="s">
        <v>112</v>
      </c>
      <c r="N226" s="18" t="s">
        <v>282</v>
      </c>
      <c r="O226" s="12" t="s">
        <v>6608</v>
      </c>
      <c r="P226" s="12" t="s">
        <v>115</v>
      </c>
      <c r="Q226" s="12" t="s">
        <v>116</v>
      </c>
      <c r="R226" s="19" t="n">
        <f aca="false">COUNTIF(Dati!$B$2:$B$1216,A226)</f>
        <v>2</v>
      </c>
    </row>
    <row r="227" customFormat="false" ht="23.85" hidden="false" customHeight="false" outlineLevel="0" collapsed="false">
      <c r="A227" s="12" t="s">
        <v>3663</v>
      </c>
      <c r="B227" s="12" t="s">
        <v>3650</v>
      </c>
      <c r="C227" s="12" t="s">
        <v>3664</v>
      </c>
      <c r="D227" s="12" t="s">
        <v>181</v>
      </c>
      <c r="E227" s="12" t="s">
        <v>3665</v>
      </c>
      <c r="F227" s="13" t="s">
        <v>3666</v>
      </c>
      <c r="G227" s="12"/>
      <c r="H227" s="12" t="s">
        <v>3648</v>
      </c>
      <c r="I227" s="12" t="s">
        <v>394</v>
      </c>
      <c r="J227" s="12" t="s">
        <v>112</v>
      </c>
      <c r="K227" s="18" t="s">
        <v>3669</v>
      </c>
      <c r="L227" s="18" t="s">
        <v>112</v>
      </c>
      <c r="M227" s="18" t="s">
        <v>112</v>
      </c>
      <c r="N227" s="18" t="s">
        <v>282</v>
      </c>
      <c r="O227" s="12" t="s">
        <v>6608</v>
      </c>
      <c r="P227" s="12" t="s">
        <v>407</v>
      </c>
      <c r="Q227" s="12" t="s">
        <v>116</v>
      </c>
      <c r="R227" s="19" t="n">
        <f aca="false">COUNTIF(Dati!$B$2:$B$1216,A227)</f>
        <v>1</v>
      </c>
    </row>
    <row r="228" customFormat="false" ht="15" hidden="false" customHeight="false" outlineLevel="0" collapsed="false">
      <c r="A228" s="12" t="s">
        <v>3672</v>
      </c>
      <c r="B228" s="12" t="s">
        <v>3673</v>
      </c>
      <c r="C228" s="12" t="s">
        <v>3674</v>
      </c>
      <c r="D228" s="12" t="s">
        <v>181</v>
      </c>
      <c r="E228" s="12" t="s">
        <v>294</v>
      </c>
      <c r="F228" s="13" t="s">
        <v>3675</v>
      </c>
      <c r="G228" s="12"/>
      <c r="H228" s="12" t="s">
        <v>3648</v>
      </c>
      <c r="I228" s="12" t="s">
        <v>394</v>
      </c>
      <c r="J228" s="12" t="s">
        <v>112</v>
      </c>
      <c r="K228" s="18" t="s">
        <v>1196</v>
      </c>
      <c r="L228" s="18" t="s">
        <v>112</v>
      </c>
      <c r="M228" s="18" t="s">
        <v>112</v>
      </c>
      <c r="N228" s="18" t="s">
        <v>282</v>
      </c>
      <c r="O228" s="12" t="s">
        <v>6608</v>
      </c>
      <c r="P228" s="12" t="s">
        <v>284</v>
      </c>
      <c r="Q228" s="12" t="s">
        <v>116</v>
      </c>
      <c r="R228" s="19" t="n">
        <f aca="false">COUNTIF(Dati!$B$2:$B$1216,A228)</f>
        <v>1</v>
      </c>
    </row>
    <row r="229" customFormat="false" ht="15" hidden="false" customHeight="false" outlineLevel="0" collapsed="false">
      <c r="A229" s="12" t="s">
        <v>2512</v>
      </c>
      <c r="B229" s="12" t="s">
        <v>2513</v>
      </c>
      <c r="C229" s="12" t="s">
        <v>2514</v>
      </c>
      <c r="D229" s="12" t="s">
        <v>181</v>
      </c>
      <c r="E229" s="12" t="s">
        <v>978</v>
      </c>
      <c r="F229" s="13" t="s">
        <v>2515</v>
      </c>
      <c r="G229" s="12"/>
      <c r="H229" s="12" t="s">
        <v>2125</v>
      </c>
      <c r="I229" s="12" t="s">
        <v>110</v>
      </c>
      <c r="J229" s="12" t="s">
        <v>112</v>
      </c>
      <c r="K229" s="18" t="s">
        <v>7153</v>
      </c>
      <c r="L229" s="18" t="s">
        <v>112</v>
      </c>
      <c r="M229" s="18" t="s">
        <v>112</v>
      </c>
      <c r="N229" s="18" t="s">
        <v>282</v>
      </c>
      <c r="O229" s="12" t="s">
        <v>282</v>
      </c>
      <c r="P229" s="12" t="s">
        <v>284</v>
      </c>
      <c r="Q229" s="12" t="s">
        <v>838</v>
      </c>
      <c r="R229" s="19" t="n">
        <f aca="false">COUNTIF(Dati!$B$2:$B$1216,A229)</f>
        <v>2</v>
      </c>
    </row>
    <row r="230" customFormat="false" ht="23.85" hidden="false" customHeight="false" outlineLevel="0" collapsed="false">
      <c r="A230" s="12" t="s">
        <v>6154</v>
      </c>
      <c r="B230" s="12" t="s">
        <v>2513</v>
      </c>
      <c r="C230" s="12" t="s">
        <v>6155</v>
      </c>
      <c r="D230" s="12" t="s">
        <v>1667</v>
      </c>
      <c r="E230" s="12" t="s">
        <v>6156</v>
      </c>
      <c r="F230" s="13" t="s">
        <v>6157</v>
      </c>
      <c r="G230" s="12"/>
      <c r="H230" s="12" t="s">
        <v>5753</v>
      </c>
      <c r="I230" s="12" t="s">
        <v>110</v>
      </c>
      <c r="J230" s="12" t="s">
        <v>112</v>
      </c>
      <c r="K230" s="18" t="s">
        <v>7154</v>
      </c>
      <c r="L230" s="18" t="s">
        <v>6587</v>
      </c>
      <c r="M230" s="18" t="s">
        <v>282</v>
      </c>
      <c r="N230" s="18" t="s">
        <v>7155</v>
      </c>
      <c r="O230" s="12" t="s">
        <v>282</v>
      </c>
      <c r="P230" s="12" t="s">
        <v>284</v>
      </c>
      <c r="Q230" s="12" t="s">
        <v>838</v>
      </c>
      <c r="R230" s="19" t="n">
        <f aca="false">COUNTIF(Dati!$B$2:$B$1216,A230)</f>
        <v>1</v>
      </c>
    </row>
    <row r="231" customFormat="false" ht="23.85" hidden="false" customHeight="false" outlineLevel="0" collapsed="false">
      <c r="A231" s="12" t="s">
        <v>4716</v>
      </c>
      <c r="B231" s="12" t="s">
        <v>2513</v>
      </c>
      <c r="C231" s="12" t="s">
        <v>4717</v>
      </c>
      <c r="D231" s="12" t="s">
        <v>181</v>
      </c>
      <c r="E231" s="12" t="s">
        <v>4718</v>
      </c>
      <c r="F231" s="13" t="s">
        <v>4719</v>
      </c>
      <c r="G231" s="12"/>
      <c r="H231" s="12" t="s">
        <v>4615</v>
      </c>
      <c r="I231" s="12" t="s">
        <v>110</v>
      </c>
      <c r="J231" s="12" t="s">
        <v>112</v>
      </c>
      <c r="K231" s="18" t="s">
        <v>7156</v>
      </c>
      <c r="L231" s="18" t="s">
        <v>112</v>
      </c>
      <c r="M231" s="18" t="s">
        <v>112</v>
      </c>
      <c r="N231" s="18" t="s">
        <v>282</v>
      </c>
      <c r="O231" s="12" t="s">
        <v>282</v>
      </c>
      <c r="P231" s="12" t="s">
        <v>284</v>
      </c>
      <c r="Q231" s="12" t="s">
        <v>838</v>
      </c>
      <c r="R231" s="19" t="n">
        <f aca="false">COUNTIF(Dati!$B$2:$B$1216,A231)</f>
        <v>1</v>
      </c>
    </row>
    <row r="232" customFormat="false" ht="15" hidden="false" customHeight="false" outlineLevel="0" collapsed="false">
      <c r="A232" s="12" t="s">
        <v>5643</v>
      </c>
      <c r="B232" s="12" t="s">
        <v>2513</v>
      </c>
      <c r="C232" s="12" t="s">
        <v>5644</v>
      </c>
      <c r="D232" s="12" t="s">
        <v>181</v>
      </c>
      <c r="E232" s="12" t="s">
        <v>5645</v>
      </c>
      <c r="F232" s="13" t="s">
        <v>5646</v>
      </c>
      <c r="G232" s="12"/>
      <c r="H232" s="12" t="s">
        <v>5397</v>
      </c>
      <c r="I232" s="12" t="s">
        <v>110</v>
      </c>
      <c r="J232" s="12" t="s">
        <v>112</v>
      </c>
      <c r="K232" s="18" t="s">
        <v>5649</v>
      </c>
      <c r="L232" s="18" t="s">
        <v>112</v>
      </c>
      <c r="M232" s="18" t="s">
        <v>112</v>
      </c>
      <c r="N232" s="18" t="s">
        <v>282</v>
      </c>
      <c r="O232" s="12" t="s">
        <v>7052</v>
      </c>
      <c r="P232" s="12" t="s">
        <v>284</v>
      </c>
      <c r="Q232" s="12" t="s">
        <v>838</v>
      </c>
      <c r="R232" s="19" t="n">
        <f aca="false">COUNTIF(Dati!$B$2:$B$1216,A232)</f>
        <v>1</v>
      </c>
    </row>
    <row r="233" customFormat="false" ht="35.05" hidden="false" customHeight="false" outlineLevel="0" collapsed="false">
      <c r="A233" s="12" t="s">
        <v>3282</v>
      </c>
      <c r="B233" s="12" t="s">
        <v>2513</v>
      </c>
      <c r="C233" s="12" t="s">
        <v>3283</v>
      </c>
      <c r="D233" s="12" t="s">
        <v>847</v>
      </c>
      <c r="E233" s="12" t="s">
        <v>3284</v>
      </c>
      <c r="F233" s="13" t="s">
        <v>3285</v>
      </c>
      <c r="G233" s="12"/>
      <c r="H233" s="12" t="s">
        <v>2850</v>
      </c>
      <c r="I233" s="12" t="s">
        <v>110</v>
      </c>
      <c r="J233" s="12" t="s">
        <v>201</v>
      </c>
      <c r="K233" s="18" t="s">
        <v>3289</v>
      </c>
      <c r="L233" s="18" t="s">
        <v>112</v>
      </c>
      <c r="M233" s="18" t="s">
        <v>112</v>
      </c>
      <c r="N233" s="18" t="s">
        <v>7157</v>
      </c>
      <c r="O233" s="12" t="s">
        <v>282</v>
      </c>
      <c r="P233" s="12" t="s">
        <v>284</v>
      </c>
      <c r="Q233" s="12" t="s">
        <v>838</v>
      </c>
      <c r="R233" s="19" t="n">
        <f aca="false">COUNTIF(Dati!$B$2:$B$1216,A233)</f>
        <v>10</v>
      </c>
    </row>
    <row r="234" customFormat="false" ht="15" hidden="false" customHeight="false" outlineLevel="0" collapsed="false">
      <c r="A234" s="12" t="s">
        <v>3998</v>
      </c>
      <c r="B234" s="12" t="s">
        <v>2513</v>
      </c>
      <c r="C234" s="12" t="s">
        <v>3999</v>
      </c>
      <c r="D234" s="12" t="s">
        <v>181</v>
      </c>
      <c r="E234" s="12" t="s">
        <v>4000</v>
      </c>
      <c r="F234" s="13" t="s">
        <v>4001</v>
      </c>
      <c r="G234" s="12"/>
      <c r="H234" s="12" t="s">
        <v>3908</v>
      </c>
      <c r="I234" s="12" t="s">
        <v>110</v>
      </c>
      <c r="J234" s="12" t="s">
        <v>112</v>
      </c>
      <c r="K234" s="18" t="s">
        <v>7158</v>
      </c>
      <c r="L234" s="18" t="s">
        <v>112</v>
      </c>
      <c r="M234" s="18" t="s">
        <v>112</v>
      </c>
      <c r="N234" s="18" t="s">
        <v>282</v>
      </c>
      <c r="O234" s="12" t="s">
        <v>282</v>
      </c>
      <c r="P234" s="12" t="s">
        <v>284</v>
      </c>
      <c r="Q234" s="12" t="s">
        <v>838</v>
      </c>
      <c r="R234" s="19" t="n">
        <f aca="false">COUNTIF(Dati!$B$2:$B$1216,A234)</f>
        <v>1</v>
      </c>
    </row>
    <row r="235" customFormat="false" ht="15" hidden="false" customHeight="false" outlineLevel="0" collapsed="false">
      <c r="A235" s="12" t="s">
        <v>5652</v>
      </c>
      <c r="B235" s="12" t="s">
        <v>2513</v>
      </c>
      <c r="C235" s="12" t="s">
        <v>5653</v>
      </c>
      <c r="D235" s="12" t="s">
        <v>181</v>
      </c>
      <c r="E235" s="12" t="s">
        <v>5654</v>
      </c>
      <c r="F235" s="13" t="s">
        <v>5655</v>
      </c>
      <c r="G235" s="12"/>
      <c r="H235" s="12" t="s">
        <v>5397</v>
      </c>
      <c r="I235" s="12" t="s">
        <v>110</v>
      </c>
      <c r="J235" s="12" t="s">
        <v>112</v>
      </c>
      <c r="K235" s="18" t="s">
        <v>5649</v>
      </c>
      <c r="L235" s="18" t="s">
        <v>112</v>
      </c>
      <c r="M235" s="18" t="s">
        <v>112</v>
      </c>
      <c r="N235" s="18" t="s">
        <v>282</v>
      </c>
      <c r="O235" s="12" t="s">
        <v>7052</v>
      </c>
      <c r="P235" s="12" t="s">
        <v>284</v>
      </c>
      <c r="Q235" s="12" t="s">
        <v>838</v>
      </c>
      <c r="R235" s="19" t="n">
        <f aca="false">COUNTIF(Dati!$B$2:$B$1216,A235)</f>
        <v>1</v>
      </c>
    </row>
    <row r="236" customFormat="false" ht="23.85" hidden="false" customHeight="false" outlineLevel="0" collapsed="false">
      <c r="A236" s="12" t="s">
        <v>6409</v>
      </c>
      <c r="B236" s="12" t="s">
        <v>6410</v>
      </c>
      <c r="C236" s="12" t="s">
        <v>6411</v>
      </c>
      <c r="D236" s="12" t="s">
        <v>847</v>
      </c>
      <c r="E236" s="12" t="s">
        <v>6412</v>
      </c>
      <c r="F236" s="13" t="s">
        <v>6413</v>
      </c>
      <c r="G236" s="12"/>
      <c r="H236" s="12" t="s">
        <v>6839</v>
      </c>
      <c r="I236" s="12" t="s">
        <v>110</v>
      </c>
      <c r="J236" s="12" t="s">
        <v>112</v>
      </c>
      <c r="K236" s="18" t="s">
        <v>7159</v>
      </c>
      <c r="L236" s="18" t="s">
        <v>6587</v>
      </c>
      <c r="M236" s="18" t="s">
        <v>282</v>
      </c>
      <c r="N236" s="18" t="s">
        <v>282</v>
      </c>
      <c r="O236" s="12" t="s">
        <v>6649</v>
      </c>
      <c r="P236" s="12" t="s">
        <v>284</v>
      </c>
      <c r="Q236" s="12" t="s">
        <v>116</v>
      </c>
      <c r="R236" s="19" t="n">
        <f aca="false">COUNTIF(Dati!$B$2:$B$1216,A236)</f>
        <v>1</v>
      </c>
    </row>
    <row r="237" customFormat="false" ht="15" hidden="false" customHeight="false" outlineLevel="0" collapsed="false">
      <c r="A237" s="12" t="s">
        <v>5194</v>
      </c>
      <c r="B237" s="12" t="s">
        <v>5195</v>
      </c>
      <c r="C237" s="12" t="s">
        <v>5196</v>
      </c>
      <c r="D237" s="12" t="s">
        <v>181</v>
      </c>
      <c r="E237" s="12" t="s">
        <v>5197</v>
      </c>
      <c r="F237" s="13" t="s">
        <v>5198</v>
      </c>
      <c r="G237" s="12"/>
      <c r="H237" s="12" t="s">
        <v>5161</v>
      </c>
      <c r="I237" s="12" t="s">
        <v>110</v>
      </c>
      <c r="J237" s="12" t="s">
        <v>281</v>
      </c>
      <c r="K237" s="18" t="s">
        <v>282</v>
      </c>
      <c r="L237" s="18" t="s">
        <v>112</v>
      </c>
      <c r="M237" s="18" t="s">
        <v>112</v>
      </c>
      <c r="N237" s="18" t="s">
        <v>282</v>
      </c>
      <c r="O237" s="12" t="s">
        <v>6608</v>
      </c>
      <c r="P237" s="12" t="s">
        <v>284</v>
      </c>
      <c r="Q237" s="12" t="s">
        <v>499</v>
      </c>
      <c r="R237" s="19" t="n">
        <f aca="false">COUNTIF(Dati!$B$2:$B$1216,A237)</f>
        <v>3</v>
      </c>
    </row>
    <row r="238" customFormat="false" ht="46.25" hidden="false" customHeight="false" outlineLevel="0" collapsed="false">
      <c r="A238" s="12" t="s">
        <v>816</v>
      </c>
      <c r="B238" s="12" t="s">
        <v>7160</v>
      </c>
      <c r="C238" s="12" t="s">
        <v>818</v>
      </c>
      <c r="D238" s="12" t="s">
        <v>583</v>
      </c>
      <c r="E238" s="12" t="s">
        <v>583</v>
      </c>
      <c r="F238" s="13" t="s">
        <v>819</v>
      </c>
      <c r="G238" s="13" t="s">
        <v>7161</v>
      </c>
      <c r="H238" s="12" t="s">
        <v>757</v>
      </c>
      <c r="I238" s="12" t="s">
        <v>394</v>
      </c>
      <c r="J238" s="12" t="s">
        <v>112</v>
      </c>
      <c r="K238" s="18" t="s">
        <v>7162</v>
      </c>
      <c r="L238" s="18" t="s">
        <v>7163</v>
      </c>
      <c r="M238" s="18" t="s">
        <v>7040</v>
      </c>
      <c r="N238" s="18" t="s">
        <v>7164</v>
      </c>
      <c r="O238" s="12" t="s">
        <v>6695</v>
      </c>
      <c r="P238" s="12" t="s">
        <v>498</v>
      </c>
      <c r="Q238" s="12" t="s">
        <v>116</v>
      </c>
      <c r="R238" s="19" t="n">
        <f aca="false">COUNTIF(Dati!$B$2:$B$1216,A238)</f>
        <v>2</v>
      </c>
    </row>
    <row r="239" customFormat="false" ht="15" hidden="false" customHeight="false" outlineLevel="0" collapsed="false">
      <c r="A239" s="12" t="s">
        <v>3680</v>
      </c>
      <c r="B239" s="12" t="s">
        <v>3681</v>
      </c>
      <c r="C239" s="12" t="s">
        <v>3682</v>
      </c>
      <c r="D239" s="12" t="s">
        <v>583</v>
      </c>
      <c r="E239" s="12" t="s">
        <v>3683</v>
      </c>
      <c r="F239" s="13" t="s">
        <v>3684</v>
      </c>
      <c r="G239" s="12"/>
      <c r="H239" s="12" t="s">
        <v>3648</v>
      </c>
      <c r="I239" s="12" t="s">
        <v>394</v>
      </c>
      <c r="J239" s="12" t="s">
        <v>112</v>
      </c>
      <c r="K239" s="18" t="s">
        <v>1196</v>
      </c>
      <c r="L239" s="18" t="s">
        <v>112</v>
      </c>
      <c r="M239" s="18" t="s">
        <v>112</v>
      </c>
      <c r="N239" s="18" t="s">
        <v>282</v>
      </c>
      <c r="O239" s="12" t="s">
        <v>6608</v>
      </c>
      <c r="P239" s="12" t="s">
        <v>284</v>
      </c>
      <c r="Q239" s="12" t="s">
        <v>499</v>
      </c>
      <c r="R239" s="19" t="n">
        <f aca="false">COUNTIF(Dati!$B$2:$B$1216,A239)</f>
        <v>1</v>
      </c>
    </row>
    <row r="240" customFormat="false" ht="91" hidden="false" customHeight="false" outlineLevel="0" collapsed="false">
      <c r="A240" s="12" t="s">
        <v>713</v>
      </c>
      <c r="B240" s="12" t="s">
        <v>7165</v>
      </c>
      <c r="C240" s="12" t="s">
        <v>7166</v>
      </c>
      <c r="D240" s="12" t="s">
        <v>7167</v>
      </c>
      <c r="E240" s="12" t="s">
        <v>716</v>
      </c>
      <c r="F240" s="13" t="s">
        <v>717</v>
      </c>
      <c r="G240" s="13" t="s">
        <v>7168</v>
      </c>
      <c r="H240" s="12" t="s">
        <v>6913</v>
      </c>
      <c r="I240" s="12" t="s">
        <v>679</v>
      </c>
      <c r="J240" s="12" t="s">
        <v>166</v>
      </c>
      <c r="K240" s="18" t="s">
        <v>7169</v>
      </c>
      <c r="L240" s="18" t="s">
        <v>7170</v>
      </c>
      <c r="M240" s="18" t="s">
        <v>7171</v>
      </c>
      <c r="N240" s="18" t="s">
        <v>7172</v>
      </c>
      <c r="O240" s="12" t="s">
        <v>6649</v>
      </c>
      <c r="P240" s="12" t="s">
        <v>115</v>
      </c>
      <c r="Q240" s="12" t="s">
        <v>116</v>
      </c>
      <c r="R240" s="19" t="n">
        <f aca="false">COUNTIF(Dati!$B$2:$B$1216,A240)</f>
        <v>7</v>
      </c>
    </row>
    <row r="241" customFormat="false" ht="23.85" hidden="false" customHeight="false" outlineLevel="0" collapsed="false">
      <c r="A241" s="12" t="s">
        <v>3701</v>
      </c>
      <c r="B241" s="12" t="s">
        <v>7173</v>
      </c>
      <c r="C241" s="12" t="s">
        <v>7174</v>
      </c>
      <c r="D241" s="12" t="s">
        <v>181</v>
      </c>
      <c r="E241" s="12" t="s">
        <v>3706</v>
      </c>
      <c r="F241" s="13" t="s">
        <v>3707</v>
      </c>
      <c r="G241" s="12"/>
      <c r="H241" s="12" t="s">
        <v>3702</v>
      </c>
      <c r="I241" s="12" t="s">
        <v>394</v>
      </c>
      <c r="J241" s="12" t="s">
        <v>112</v>
      </c>
      <c r="K241" s="18" t="s">
        <v>7175</v>
      </c>
      <c r="L241" s="18" t="s">
        <v>112</v>
      </c>
      <c r="M241" s="18" t="s">
        <v>7176</v>
      </c>
      <c r="N241" s="18" t="s">
        <v>7177</v>
      </c>
      <c r="O241" s="12" t="s">
        <v>6608</v>
      </c>
      <c r="P241" s="12" t="s">
        <v>115</v>
      </c>
      <c r="Q241" s="12" t="s">
        <v>116</v>
      </c>
      <c r="R241" s="19" t="n">
        <f aca="false">COUNTIF(Dati!$B$2:$B$1216,A241)</f>
        <v>6</v>
      </c>
    </row>
    <row r="242" customFormat="false" ht="35.05" hidden="false" customHeight="false" outlineLevel="0" collapsed="false">
      <c r="A242" s="12" t="s">
        <v>3725</v>
      </c>
      <c r="B242" s="12" t="s">
        <v>7173</v>
      </c>
      <c r="C242" s="12" t="s">
        <v>7178</v>
      </c>
      <c r="D242" s="12" t="s">
        <v>847</v>
      </c>
      <c r="E242" s="12" t="s">
        <v>978</v>
      </c>
      <c r="F242" s="13" t="s">
        <v>3727</v>
      </c>
      <c r="G242" s="12"/>
      <c r="H242" s="12" t="s">
        <v>3702</v>
      </c>
      <c r="I242" s="12" t="s">
        <v>394</v>
      </c>
      <c r="J242" s="12" t="s">
        <v>112</v>
      </c>
      <c r="K242" s="18" t="s">
        <v>7179</v>
      </c>
      <c r="L242" s="18" t="s">
        <v>112</v>
      </c>
      <c r="M242" s="18" t="s">
        <v>7176</v>
      </c>
      <c r="N242" s="18" t="s">
        <v>7180</v>
      </c>
      <c r="O242" s="12" t="s">
        <v>6608</v>
      </c>
      <c r="P242" s="12" t="s">
        <v>115</v>
      </c>
      <c r="Q242" s="12" t="s">
        <v>116</v>
      </c>
      <c r="R242" s="19" t="n">
        <f aca="false">COUNTIF(Dati!$B$2:$B$1216,A242)</f>
        <v>6</v>
      </c>
    </row>
    <row r="243" customFormat="false" ht="23.85" hidden="false" customHeight="false" outlineLevel="0" collapsed="false">
      <c r="A243" s="12" t="s">
        <v>2524</v>
      </c>
      <c r="B243" s="12" t="s">
        <v>2525</v>
      </c>
      <c r="C243" s="12" t="s">
        <v>7181</v>
      </c>
      <c r="D243" s="12" t="s">
        <v>181</v>
      </c>
      <c r="E243" s="12" t="s">
        <v>2527</v>
      </c>
      <c r="F243" s="13" t="s">
        <v>2528</v>
      </c>
      <c r="G243" s="12"/>
      <c r="H243" s="12" t="s">
        <v>2125</v>
      </c>
      <c r="I243" s="12" t="s">
        <v>679</v>
      </c>
      <c r="J243" s="12" t="s">
        <v>112</v>
      </c>
      <c r="K243" s="18" t="s">
        <v>7182</v>
      </c>
      <c r="L243" s="18" t="s">
        <v>112</v>
      </c>
      <c r="M243" s="18" t="s">
        <v>7183</v>
      </c>
      <c r="N243" s="18" t="s">
        <v>7184</v>
      </c>
      <c r="O243" s="12" t="s">
        <v>282</v>
      </c>
      <c r="P243" s="12" t="s">
        <v>498</v>
      </c>
      <c r="Q243" s="12" t="s">
        <v>116</v>
      </c>
      <c r="R243" s="19" t="n">
        <f aca="false">COUNTIF(Dati!$B$2:$B$1216,A243)</f>
        <v>1</v>
      </c>
    </row>
    <row r="244" customFormat="false" ht="15" hidden="false" customHeight="false" outlineLevel="0" collapsed="false">
      <c r="A244" s="12" t="s">
        <v>1577</v>
      </c>
      <c r="B244" s="12" t="s">
        <v>1578</v>
      </c>
      <c r="C244" s="12" t="s">
        <v>1579</v>
      </c>
      <c r="D244" s="12" t="s">
        <v>181</v>
      </c>
      <c r="E244" s="12" t="s">
        <v>1580</v>
      </c>
      <c r="F244" s="13" t="s">
        <v>1581</v>
      </c>
      <c r="G244" s="12"/>
      <c r="H244" s="12" t="s">
        <v>1556</v>
      </c>
      <c r="I244" s="12" t="s">
        <v>394</v>
      </c>
      <c r="J244" s="12" t="s">
        <v>112</v>
      </c>
      <c r="K244" s="18" t="s">
        <v>1584</v>
      </c>
      <c r="L244" s="18" t="s">
        <v>112</v>
      </c>
      <c r="M244" s="18" t="s">
        <v>112</v>
      </c>
      <c r="N244" s="18" t="s">
        <v>282</v>
      </c>
      <c r="O244" s="12" t="s">
        <v>6608</v>
      </c>
      <c r="P244" s="12" t="s">
        <v>115</v>
      </c>
      <c r="Q244" s="12" t="s">
        <v>116</v>
      </c>
      <c r="R244" s="19" t="n">
        <f aca="false">COUNTIF(Dati!$B$2:$B$1216,A244)</f>
        <v>2</v>
      </c>
    </row>
    <row r="245" customFormat="false" ht="15" hidden="false" customHeight="false" outlineLevel="0" collapsed="false">
      <c r="A245" s="12" t="s">
        <v>6163</v>
      </c>
      <c r="B245" s="12" t="s">
        <v>6164</v>
      </c>
      <c r="C245" s="12" t="s">
        <v>6165</v>
      </c>
      <c r="D245" s="12" t="s">
        <v>847</v>
      </c>
      <c r="E245" s="12" t="s">
        <v>6166</v>
      </c>
      <c r="F245" s="13" t="s">
        <v>6167</v>
      </c>
      <c r="G245" s="12"/>
      <c r="H245" s="12" t="s">
        <v>5753</v>
      </c>
      <c r="I245" s="12" t="s">
        <v>110</v>
      </c>
      <c r="J245" s="12" t="s">
        <v>112</v>
      </c>
      <c r="K245" s="18" t="s">
        <v>6856</v>
      </c>
      <c r="L245" s="18" t="s">
        <v>6587</v>
      </c>
      <c r="M245" s="18" t="s">
        <v>282</v>
      </c>
      <c r="N245" s="18" t="s">
        <v>282</v>
      </c>
      <c r="O245" s="12" t="s">
        <v>6588</v>
      </c>
      <c r="P245" s="12" t="s">
        <v>284</v>
      </c>
      <c r="Q245" s="12" t="s">
        <v>838</v>
      </c>
      <c r="R245" s="19" t="n">
        <f aca="false">COUNTIF(Dati!$B$2:$B$1216,A245)</f>
        <v>4</v>
      </c>
    </row>
    <row r="246" customFormat="false" ht="23.85" hidden="false" customHeight="false" outlineLevel="0" collapsed="false">
      <c r="A246" s="12" t="s">
        <v>2546</v>
      </c>
      <c r="B246" s="12" t="s">
        <v>1984</v>
      </c>
      <c r="C246" s="12" t="s">
        <v>2547</v>
      </c>
      <c r="D246" s="12" t="s">
        <v>181</v>
      </c>
      <c r="E246" s="12" t="s">
        <v>181</v>
      </c>
      <c r="F246" s="13" t="s">
        <v>2548</v>
      </c>
      <c r="G246" s="12"/>
      <c r="H246" s="12" t="s">
        <v>2125</v>
      </c>
      <c r="I246" s="12" t="s">
        <v>110</v>
      </c>
      <c r="J246" s="12" t="s">
        <v>112</v>
      </c>
      <c r="K246" s="18" t="s">
        <v>7185</v>
      </c>
      <c r="L246" s="18" t="s">
        <v>112</v>
      </c>
      <c r="M246" s="18" t="s">
        <v>112</v>
      </c>
      <c r="N246" s="18" t="s">
        <v>282</v>
      </c>
      <c r="O246" s="12" t="s">
        <v>282</v>
      </c>
      <c r="P246" s="12" t="s">
        <v>498</v>
      </c>
      <c r="Q246" s="12" t="s">
        <v>838</v>
      </c>
      <c r="R246" s="19" t="n">
        <f aca="false">COUNTIF(Dati!$B$2:$B$1216,A246)</f>
        <v>3</v>
      </c>
    </row>
    <row r="247" customFormat="false" ht="23.85" hidden="false" customHeight="false" outlineLevel="0" collapsed="false">
      <c r="A247" s="12" t="s">
        <v>2561</v>
      </c>
      <c r="B247" s="12" t="s">
        <v>1984</v>
      </c>
      <c r="C247" s="12" t="s">
        <v>7186</v>
      </c>
      <c r="D247" s="12" t="s">
        <v>181</v>
      </c>
      <c r="E247" s="12" t="s">
        <v>181</v>
      </c>
      <c r="F247" s="13" t="s">
        <v>2563</v>
      </c>
      <c r="G247" s="12"/>
      <c r="H247" s="12" t="s">
        <v>2125</v>
      </c>
      <c r="I247" s="12" t="s">
        <v>110</v>
      </c>
      <c r="J247" s="12" t="s">
        <v>112</v>
      </c>
      <c r="K247" s="18" t="s">
        <v>7037</v>
      </c>
      <c r="L247" s="18" t="s">
        <v>112</v>
      </c>
      <c r="M247" s="18" t="s">
        <v>112</v>
      </c>
      <c r="N247" s="18" t="s">
        <v>282</v>
      </c>
      <c r="O247" s="12" t="s">
        <v>282</v>
      </c>
      <c r="P247" s="12" t="s">
        <v>284</v>
      </c>
      <c r="Q247" s="12" t="s">
        <v>838</v>
      </c>
      <c r="R247" s="19" t="n">
        <f aca="false">COUNTIF(Dati!$B$2:$B$1216,A247)</f>
        <v>2</v>
      </c>
    </row>
    <row r="248" customFormat="false" ht="68.65" hidden="false" customHeight="false" outlineLevel="0" collapsed="false">
      <c r="A248" s="12" t="s">
        <v>6181</v>
      </c>
      <c r="B248" s="12" t="s">
        <v>1984</v>
      </c>
      <c r="C248" s="12" t="s">
        <v>7187</v>
      </c>
      <c r="D248" s="12" t="s">
        <v>181</v>
      </c>
      <c r="E248" s="12" t="s">
        <v>181</v>
      </c>
      <c r="F248" s="13" t="s">
        <v>6183</v>
      </c>
      <c r="G248" s="12"/>
      <c r="H248" s="12" t="s">
        <v>5753</v>
      </c>
      <c r="I248" s="12" t="s">
        <v>3261</v>
      </c>
      <c r="J248" s="12" t="s">
        <v>201</v>
      </c>
      <c r="K248" s="18" t="s">
        <v>7188</v>
      </c>
      <c r="L248" s="18" t="s">
        <v>6587</v>
      </c>
      <c r="M248" s="18" t="s">
        <v>282</v>
      </c>
      <c r="N248" s="18" t="s">
        <v>7189</v>
      </c>
      <c r="O248" s="12" t="s">
        <v>6588</v>
      </c>
      <c r="P248" s="12" t="s">
        <v>498</v>
      </c>
      <c r="Q248" s="12" t="s">
        <v>838</v>
      </c>
      <c r="R248" s="19" t="n">
        <f aca="false">COUNTIF(Dati!$B$2:$B$1216,A248)</f>
        <v>3</v>
      </c>
    </row>
    <row r="249" customFormat="false" ht="79.85" hidden="false" customHeight="false" outlineLevel="0" collapsed="false">
      <c r="A249" s="12" t="s">
        <v>6195</v>
      </c>
      <c r="B249" s="12" t="s">
        <v>1984</v>
      </c>
      <c r="C249" s="12" t="s">
        <v>6196</v>
      </c>
      <c r="D249" s="12" t="s">
        <v>181</v>
      </c>
      <c r="E249" s="12" t="s">
        <v>181</v>
      </c>
      <c r="F249" s="13" t="s">
        <v>6197</v>
      </c>
      <c r="G249" s="12"/>
      <c r="H249" s="12" t="s">
        <v>5753</v>
      </c>
      <c r="I249" s="12" t="s">
        <v>3261</v>
      </c>
      <c r="J249" s="12" t="s">
        <v>201</v>
      </c>
      <c r="K249" s="18" t="s">
        <v>7190</v>
      </c>
      <c r="L249" s="18" t="s">
        <v>6587</v>
      </c>
      <c r="M249" s="18" t="s">
        <v>282</v>
      </c>
      <c r="N249" s="18" t="s">
        <v>282</v>
      </c>
      <c r="O249" s="12" t="s">
        <v>6588</v>
      </c>
      <c r="P249" s="12" t="s">
        <v>498</v>
      </c>
      <c r="Q249" s="12" t="s">
        <v>838</v>
      </c>
      <c r="R249" s="19" t="n">
        <f aca="false">COUNTIF(Dati!$B$2:$B$1216,A249)</f>
        <v>2</v>
      </c>
    </row>
    <row r="250" customFormat="false" ht="23.85" hidden="false" customHeight="false" outlineLevel="0" collapsed="false">
      <c r="A250" s="12" t="s">
        <v>1983</v>
      </c>
      <c r="B250" s="12" t="s">
        <v>1984</v>
      </c>
      <c r="C250" s="12" t="s">
        <v>7191</v>
      </c>
      <c r="D250" s="12" t="s">
        <v>181</v>
      </c>
      <c r="E250" s="12" t="s">
        <v>181</v>
      </c>
      <c r="F250" s="13" t="s">
        <v>1986</v>
      </c>
      <c r="G250" s="12"/>
      <c r="H250" s="12" t="s">
        <v>1663</v>
      </c>
      <c r="I250" s="12" t="s">
        <v>110</v>
      </c>
      <c r="J250" s="12" t="s">
        <v>112</v>
      </c>
      <c r="K250" s="18" t="s">
        <v>7037</v>
      </c>
      <c r="L250" s="18" t="s">
        <v>112</v>
      </c>
      <c r="M250" s="18" t="s">
        <v>112</v>
      </c>
      <c r="N250" s="18" t="s">
        <v>282</v>
      </c>
      <c r="O250" s="12" t="s">
        <v>282</v>
      </c>
      <c r="P250" s="12" t="s">
        <v>284</v>
      </c>
      <c r="Q250" s="12" t="s">
        <v>838</v>
      </c>
      <c r="R250" s="19" t="n">
        <f aca="false">COUNTIF(Dati!$B$2:$B$1216,A250)</f>
        <v>2</v>
      </c>
    </row>
    <row r="251" customFormat="false" ht="15" hidden="false" customHeight="false" outlineLevel="0" collapsed="false">
      <c r="A251" s="12" t="s">
        <v>3313</v>
      </c>
      <c r="B251" s="12" t="s">
        <v>1984</v>
      </c>
      <c r="C251" s="12" t="s">
        <v>3314</v>
      </c>
      <c r="D251" s="12" t="s">
        <v>181</v>
      </c>
      <c r="E251" s="12" t="s">
        <v>181</v>
      </c>
      <c r="F251" s="13" t="s">
        <v>3315</v>
      </c>
      <c r="G251" s="12"/>
      <c r="H251" s="12" t="s">
        <v>2850</v>
      </c>
      <c r="I251" s="12" t="s">
        <v>110</v>
      </c>
      <c r="J251" s="12" t="s">
        <v>112</v>
      </c>
      <c r="K251" s="18" t="s">
        <v>282</v>
      </c>
      <c r="L251" s="18" t="s">
        <v>112</v>
      </c>
      <c r="M251" s="18" t="s">
        <v>112</v>
      </c>
      <c r="N251" s="18" t="s">
        <v>282</v>
      </c>
      <c r="O251" s="12" t="s">
        <v>282</v>
      </c>
      <c r="P251" s="12" t="s">
        <v>284</v>
      </c>
      <c r="Q251" s="12" t="s">
        <v>838</v>
      </c>
      <c r="R251" s="19" t="n">
        <f aca="false">COUNTIF(Dati!$B$2:$B$1216,A251)</f>
        <v>2</v>
      </c>
    </row>
    <row r="252" customFormat="false" ht="15" hidden="false" customHeight="false" outlineLevel="0" collapsed="false">
      <c r="A252" s="12" t="s">
        <v>4040</v>
      </c>
      <c r="B252" s="12" t="s">
        <v>1984</v>
      </c>
      <c r="C252" s="12" t="s">
        <v>4041</v>
      </c>
      <c r="D252" s="12" t="s">
        <v>847</v>
      </c>
      <c r="E252" s="12" t="s">
        <v>847</v>
      </c>
      <c r="F252" s="13" t="s">
        <v>4042</v>
      </c>
      <c r="G252" s="12"/>
      <c r="H252" s="12" t="s">
        <v>3908</v>
      </c>
      <c r="I252" s="12" t="s">
        <v>110</v>
      </c>
      <c r="J252" s="12" t="s">
        <v>112</v>
      </c>
      <c r="K252" s="18" t="s">
        <v>7192</v>
      </c>
      <c r="L252" s="18" t="s">
        <v>112</v>
      </c>
      <c r="M252" s="18" t="s">
        <v>112</v>
      </c>
      <c r="N252" s="18" t="s">
        <v>282</v>
      </c>
      <c r="O252" s="12" t="s">
        <v>282</v>
      </c>
      <c r="P252" s="12" t="s">
        <v>284</v>
      </c>
      <c r="Q252" s="12" t="s">
        <v>838</v>
      </c>
      <c r="R252" s="19" t="n">
        <f aca="false">COUNTIF(Dati!$B$2:$B$1216,A252)</f>
        <v>2</v>
      </c>
    </row>
    <row r="253" customFormat="false" ht="23.85" hidden="false" customHeight="false" outlineLevel="0" collapsed="false">
      <c r="A253" s="12" t="s">
        <v>2571</v>
      </c>
      <c r="B253" s="12" t="s">
        <v>1984</v>
      </c>
      <c r="C253" s="12" t="s">
        <v>2574</v>
      </c>
      <c r="D253" s="12" t="s">
        <v>7193</v>
      </c>
      <c r="E253" s="12" t="s">
        <v>847</v>
      </c>
      <c r="F253" s="13" t="s">
        <v>2573</v>
      </c>
      <c r="G253" s="12"/>
      <c r="H253" s="12" t="s">
        <v>2125</v>
      </c>
      <c r="I253" s="12" t="s">
        <v>110</v>
      </c>
      <c r="J253" s="12" t="s">
        <v>112</v>
      </c>
      <c r="K253" s="18" t="s">
        <v>7037</v>
      </c>
      <c r="L253" s="18" t="s">
        <v>112</v>
      </c>
      <c r="M253" s="18" t="s">
        <v>112</v>
      </c>
      <c r="N253" s="18" t="s">
        <v>282</v>
      </c>
      <c r="O253" s="12" t="s">
        <v>282</v>
      </c>
      <c r="P253" s="12" t="s">
        <v>284</v>
      </c>
      <c r="Q253" s="12" t="s">
        <v>838</v>
      </c>
      <c r="R253" s="19" t="n">
        <f aca="false">COUNTIF(Dati!$B$2:$B$1216,A253)</f>
        <v>2</v>
      </c>
    </row>
    <row r="254" customFormat="false" ht="35.05" hidden="false" customHeight="false" outlineLevel="0" collapsed="false">
      <c r="A254" s="12" t="s">
        <v>3812</v>
      </c>
      <c r="B254" s="12" t="s">
        <v>1984</v>
      </c>
      <c r="C254" s="12" t="s">
        <v>3813</v>
      </c>
      <c r="D254" s="12" t="s">
        <v>181</v>
      </c>
      <c r="E254" s="12" t="s">
        <v>181</v>
      </c>
      <c r="F254" s="13" t="s">
        <v>3814</v>
      </c>
      <c r="G254" s="12"/>
      <c r="H254" s="12" t="s">
        <v>3762</v>
      </c>
      <c r="I254" s="12" t="s">
        <v>679</v>
      </c>
      <c r="J254" s="12" t="s">
        <v>166</v>
      </c>
      <c r="K254" s="18" t="s">
        <v>7194</v>
      </c>
      <c r="L254" s="18" t="s">
        <v>112</v>
      </c>
      <c r="M254" s="18" t="s">
        <v>112</v>
      </c>
      <c r="N254" s="18" t="s">
        <v>7195</v>
      </c>
      <c r="O254" s="12" t="s">
        <v>282</v>
      </c>
      <c r="P254" s="12" t="s">
        <v>498</v>
      </c>
      <c r="Q254" s="12" t="s">
        <v>838</v>
      </c>
      <c r="R254" s="19" t="n">
        <f aca="false">COUNTIF(Dati!$B$2:$B$1216,A254)</f>
        <v>2</v>
      </c>
    </row>
    <row r="255" customFormat="false" ht="68.65" hidden="false" customHeight="false" outlineLevel="0" collapsed="false">
      <c r="A255" s="12" t="s">
        <v>7196</v>
      </c>
      <c r="B255" s="12" t="s">
        <v>1984</v>
      </c>
      <c r="C255" s="12" t="s">
        <v>7197</v>
      </c>
      <c r="D255" s="12" t="s">
        <v>847</v>
      </c>
      <c r="E255" s="12" t="s">
        <v>847</v>
      </c>
      <c r="F255" s="13" t="s">
        <v>7198</v>
      </c>
      <c r="G255" s="13" t="s">
        <v>7199</v>
      </c>
      <c r="H255" s="12" t="s">
        <v>6599</v>
      </c>
      <c r="I255" s="12" t="s">
        <v>3261</v>
      </c>
      <c r="J255" s="12" t="s">
        <v>201</v>
      </c>
      <c r="K255" s="18" t="s">
        <v>7188</v>
      </c>
      <c r="L255" s="18" t="s">
        <v>6587</v>
      </c>
      <c r="M255" s="18" t="s">
        <v>282</v>
      </c>
      <c r="N255" s="18" t="s">
        <v>282</v>
      </c>
      <c r="O255" s="12" t="s">
        <v>6588</v>
      </c>
      <c r="P255" s="12" t="s">
        <v>498</v>
      </c>
      <c r="Q255" s="12" t="s">
        <v>838</v>
      </c>
      <c r="R255" s="19" t="n">
        <f aca="false">COUNTIF(Dati!$B$2:$B$1216,A255)</f>
        <v>0</v>
      </c>
    </row>
    <row r="256" customFormat="false" ht="23.85" hidden="false" customHeight="false" outlineLevel="0" collapsed="false">
      <c r="A256" s="12" t="s">
        <v>5349</v>
      </c>
      <c r="B256" s="12" t="s">
        <v>5350</v>
      </c>
      <c r="C256" s="12" t="s">
        <v>5351</v>
      </c>
      <c r="D256" s="12" t="s">
        <v>847</v>
      </c>
      <c r="E256" s="12" t="s">
        <v>5352</v>
      </c>
      <c r="F256" s="13" t="s">
        <v>5353</v>
      </c>
      <c r="G256" s="12"/>
      <c r="H256" s="12" t="s">
        <v>5317</v>
      </c>
      <c r="I256" s="12" t="s">
        <v>110</v>
      </c>
      <c r="J256" s="12" t="s">
        <v>112</v>
      </c>
      <c r="K256" s="18" t="s">
        <v>6590</v>
      </c>
      <c r="L256" s="18" t="s">
        <v>112</v>
      </c>
      <c r="M256" s="18" t="s">
        <v>112</v>
      </c>
      <c r="N256" s="18" t="s">
        <v>282</v>
      </c>
      <c r="O256" s="12" t="s">
        <v>282</v>
      </c>
      <c r="P256" s="12" t="s">
        <v>284</v>
      </c>
      <c r="Q256" s="12" t="s">
        <v>838</v>
      </c>
      <c r="R256" s="19" t="n">
        <f aca="false">COUNTIF(Dati!$B$2:$B$1216,A256)</f>
        <v>2</v>
      </c>
    </row>
    <row r="257" customFormat="false" ht="15" hidden="false" customHeight="false" outlineLevel="0" collapsed="false">
      <c r="A257" s="12" t="s">
        <v>6420</v>
      </c>
      <c r="B257" s="12" t="s">
        <v>5350</v>
      </c>
      <c r="C257" s="12" t="s">
        <v>6423</v>
      </c>
      <c r="D257" s="12" t="s">
        <v>847</v>
      </c>
      <c r="E257" s="12" t="s">
        <v>5352</v>
      </c>
      <c r="F257" s="13" t="s">
        <v>6424</v>
      </c>
      <c r="G257" s="12"/>
      <c r="H257" s="12" t="s">
        <v>6422</v>
      </c>
      <c r="I257" s="12" t="s">
        <v>110</v>
      </c>
      <c r="J257" s="12" t="s">
        <v>112</v>
      </c>
      <c r="K257" s="18" t="s">
        <v>7200</v>
      </c>
      <c r="L257" s="18" t="s">
        <v>6587</v>
      </c>
      <c r="M257" s="18" t="s">
        <v>282</v>
      </c>
      <c r="N257" s="18" t="s">
        <v>282</v>
      </c>
      <c r="O257" s="12" t="s">
        <v>6588</v>
      </c>
      <c r="P257" s="12" t="s">
        <v>284</v>
      </c>
      <c r="Q257" s="12" t="s">
        <v>838</v>
      </c>
      <c r="R257" s="19" t="n">
        <f aca="false">COUNTIF(Dati!$B$2:$B$1216,A257)</f>
        <v>1</v>
      </c>
    </row>
    <row r="258" customFormat="false" ht="46.25" hidden="false" customHeight="false" outlineLevel="0" collapsed="false">
      <c r="A258" s="12" t="s">
        <v>4050</v>
      </c>
      <c r="B258" s="12" t="s">
        <v>4051</v>
      </c>
      <c r="C258" s="12" t="s">
        <v>4052</v>
      </c>
      <c r="D258" s="12" t="s">
        <v>181</v>
      </c>
      <c r="E258" s="12" t="s">
        <v>4053</v>
      </c>
      <c r="F258" s="13" t="s">
        <v>4054</v>
      </c>
      <c r="G258" s="12"/>
      <c r="H258" s="12" t="s">
        <v>3908</v>
      </c>
      <c r="I258" s="12" t="s">
        <v>394</v>
      </c>
      <c r="J258" s="12" t="s">
        <v>166</v>
      </c>
      <c r="K258" s="18" t="s">
        <v>7201</v>
      </c>
      <c r="L258" s="18" t="s">
        <v>112</v>
      </c>
      <c r="M258" s="18" t="s">
        <v>7202</v>
      </c>
      <c r="N258" s="18" t="s">
        <v>282</v>
      </c>
      <c r="O258" s="12" t="s">
        <v>6782</v>
      </c>
      <c r="P258" s="12" t="s">
        <v>115</v>
      </c>
      <c r="Q258" s="12" t="s">
        <v>116</v>
      </c>
      <c r="R258" s="19" t="n">
        <f aca="false">COUNTIF(Dati!$B$2:$B$1216,A258)</f>
        <v>10</v>
      </c>
    </row>
    <row r="259" customFormat="false" ht="46.25" hidden="false" customHeight="false" outlineLevel="0" collapsed="false">
      <c r="A259" s="12" t="s">
        <v>4093</v>
      </c>
      <c r="B259" s="12" t="s">
        <v>4051</v>
      </c>
      <c r="C259" s="12" t="s">
        <v>7203</v>
      </c>
      <c r="D259" s="12" t="s">
        <v>808</v>
      </c>
      <c r="E259" s="12" t="s">
        <v>4095</v>
      </c>
      <c r="F259" s="13" t="s">
        <v>4096</v>
      </c>
      <c r="G259" s="12"/>
      <c r="H259" s="12" t="s">
        <v>3908</v>
      </c>
      <c r="I259" s="12" t="s">
        <v>394</v>
      </c>
      <c r="J259" s="12" t="s">
        <v>166</v>
      </c>
      <c r="K259" s="18" t="s">
        <v>7204</v>
      </c>
      <c r="L259" s="18" t="s">
        <v>7205</v>
      </c>
      <c r="M259" s="18" t="s">
        <v>7206</v>
      </c>
      <c r="N259" s="18" t="s">
        <v>282</v>
      </c>
      <c r="O259" s="12" t="s">
        <v>6782</v>
      </c>
      <c r="P259" s="12" t="s">
        <v>407</v>
      </c>
      <c r="Q259" s="12" t="s">
        <v>116</v>
      </c>
      <c r="R259" s="19" t="n">
        <f aca="false">COUNTIF(Dati!$B$2:$B$1216,A259)</f>
        <v>4</v>
      </c>
    </row>
    <row r="260" customFormat="false" ht="35.05" hidden="false" customHeight="false" outlineLevel="0" collapsed="false">
      <c r="A260" s="12" t="s">
        <v>4116</v>
      </c>
      <c r="B260" s="12" t="s">
        <v>4051</v>
      </c>
      <c r="C260" s="12" t="s">
        <v>4117</v>
      </c>
      <c r="D260" s="12" t="s">
        <v>808</v>
      </c>
      <c r="E260" s="12" t="s">
        <v>4118</v>
      </c>
      <c r="F260" s="13" t="s">
        <v>4119</v>
      </c>
      <c r="G260" s="12"/>
      <c r="H260" s="12" t="s">
        <v>3908</v>
      </c>
      <c r="I260" s="12" t="s">
        <v>394</v>
      </c>
      <c r="J260" s="12" t="s">
        <v>112</v>
      </c>
      <c r="K260" s="18" t="s">
        <v>7207</v>
      </c>
      <c r="L260" s="18" t="s">
        <v>112</v>
      </c>
      <c r="M260" s="18" t="s">
        <v>112</v>
      </c>
      <c r="N260" s="18" t="s">
        <v>282</v>
      </c>
      <c r="O260" s="12" t="s">
        <v>6782</v>
      </c>
      <c r="P260" s="12" t="s">
        <v>115</v>
      </c>
      <c r="Q260" s="12" t="s">
        <v>116</v>
      </c>
      <c r="R260" s="19" t="n">
        <f aca="false">COUNTIF(Dati!$B$2:$B$1216,A260)</f>
        <v>1</v>
      </c>
    </row>
    <row r="261" customFormat="false" ht="23.85" hidden="false" customHeight="false" outlineLevel="0" collapsed="false">
      <c r="A261" s="12" t="s">
        <v>4127</v>
      </c>
      <c r="B261" s="12" t="s">
        <v>4051</v>
      </c>
      <c r="C261" s="12" t="s">
        <v>4128</v>
      </c>
      <c r="D261" s="12" t="s">
        <v>181</v>
      </c>
      <c r="E261" s="12" t="s">
        <v>4129</v>
      </c>
      <c r="F261" s="13" t="s">
        <v>4130</v>
      </c>
      <c r="G261" s="12"/>
      <c r="H261" s="12" t="s">
        <v>3908</v>
      </c>
      <c r="I261" s="12" t="s">
        <v>394</v>
      </c>
      <c r="J261" s="12" t="s">
        <v>112</v>
      </c>
      <c r="K261" s="18" t="s">
        <v>7208</v>
      </c>
      <c r="L261" s="18" t="s">
        <v>112</v>
      </c>
      <c r="M261" s="18" t="s">
        <v>112</v>
      </c>
      <c r="N261" s="18" t="s">
        <v>282</v>
      </c>
      <c r="O261" s="12" t="s">
        <v>6782</v>
      </c>
      <c r="P261" s="12" t="s">
        <v>115</v>
      </c>
      <c r="Q261" s="12" t="s">
        <v>116</v>
      </c>
      <c r="R261" s="19" t="n">
        <f aca="false">COUNTIF(Dati!$B$2:$B$1216,A261)</f>
        <v>1</v>
      </c>
    </row>
    <row r="262" customFormat="false" ht="35.05" hidden="false" customHeight="false" outlineLevel="0" collapsed="false">
      <c r="A262" s="12" t="s">
        <v>2582</v>
      </c>
      <c r="B262" s="12" t="s">
        <v>2583</v>
      </c>
      <c r="C262" s="12" t="s">
        <v>7209</v>
      </c>
      <c r="D262" s="12" t="s">
        <v>847</v>
      </c>
      <c r="E262" s="12" t="s">
        <v>847</v>
      </c>
      <c r="F262" s="13" t="s">
        <v>2585</v>
      </c>
      <c r="G262" s="12"/>
      <c r="H262" s="12" t="s">
        <v>2125</v>
      </c>
      <c r="I262" s="12" t="s">
        <v>679</v>
      </c>
      <c r="J262" s="12" t="s">
        <v>281</v>
      </c>
      <c r="K262" s="18" t="s">
        <v>7210</v>
      </c>
      <c r="L262" s="18" t="s">
        <v>112</v>
      </c>
      <c r="M262" s="18" t="s">
        <v>112</v>
      </c>
      <c r="N262" s="18" t="s">
        <v>7211</v>
      </c>
      <c r="O262" s="12" t="s">
        <v>282</v>
      </c>
      <c r="P262" s="12" t="s">
        <v>284</v>
      </c>
      <c r="Q262" s="12" t="s">
        <v>499</v>
      </c>
      <c r="R262" s="19" t="n">
        <f aca="false">COUNTIF(Dati!$B$2:$B$1216,A262)</f>
        <v>1</v>
      </c>
    </row>
    <row r="263" customFormat="false" ht="23.85" hidden="false" customHeight="false" outlineLevel="0" collapsed="false">
      <c r="A263" s="12" t="s">
        <v>828</v>
      </c>
      <c r="B263" s="12" t="s">
        <v>829</v>
      </c>
      <c r="C263" s="12" t="s">
        <v>831</v>
      </c>
      <c r="D263" s="12" t="s">
        <v>7212</v>
      </c>
      <c r="E263" s="12" t="s">
        <v>832</v>
      </c>
      <c r="F263" s="13" t="s">
        <v>833</v>
      </c>
      <c r="G263" s="12"/>
      <c r="H263" s="12" t="s">
        <v>757</v>
      </c>
      <c r="I263" s="12" t="s">
        <v>110</v>
      </c>
      <c r="J263" s="12" t="s">
        <v>112</v>
      </c>
      <c r="K263" s="18" t="s">
        <v>7037</v>
      </c>
      <c r="L263" s="18" t="s">
        <v>112</v>
      </c>
      <c r="M263" s="18" t="s">
        <v>112</v>
      </c>
      <c r="N263" s="18" t="s">
        <v>282</v>
      </c>
      <c r="O263" s="12" t="s">
        <v>282</v>
      </c>
      <c r="P263" s="12" t="s">
        <v>284</v>
      </c>
      <c r="Q263" s="12" t="s">
        <v>838</v>
      </c>
      <c r="R263" s="19" t="n">
        <f aca="false">COUNTIF(Dati!$B$2:$B$1216,A263)</f>
        <v>2</v>
      </c>
    </row>
    <row r="264" customFormat="false" ht="15" hidden="false" customHeight="false" outlineLevel="0" collapsed="false">
      <c r="A264" s="12" t="s">
        <v>4897</v>
      </c>
      <c r="B264" s="12" t="s">
        <v>7213</v>
      </c>
      <c r="C264" s="12" t="s">
        <v>7214</v>
      </c>
      <c r="D264" s="12" t="s">
        <v>181</v>
      </c>
      <c r="E264" s="12" t="s">
        <v>4900</v>
      </c>
      <c r="F264" s="13" t="s">
        <v>4901</v>
      </c>
      <c r="G264" s="12"/>
      <c r="H264" s="12" t="s">
        <v>4873</v>
      </c>
      <c r="I264" s="12" t="s">
        <v>394</v>
      </c>
      <c r="J264" s="12" t="s">
        <v>112</v>
      </c>
      <c r="K264" s="18" t="s">
        <v>7215</v>
      </c>
      <c r="L264" s="18" t="s">
        <v>112</v>
      </c>
      <c r="M264" s="18" t="s">
        <v>112</v>
      </c>
      <c r="N264" s="18" t="s">
        <v>282</v>
      </c>
      <c r="O264" s="12" t="s">
        <v>6732</v>
      </c>
      <c r="P264" s="12" t="s">
        <v>115</v>
      </c>
      <c r="Q264" s="12" t="s">
        <v>116</v>
      </c>
      <c r="R264" s="19" t="n">
        <f aca="false">COUNTIF(Dati!$B$2:$B$1216,A264)</f>
        <v>1</v>
      </c>
    </row>
    <row r="265" customFormat="false" ht="15" hidden="false" customHeight="false" outlineLevel="0" collapsed="false">
      <c r="A265" s="12" t="s">
        <v>4883</v>
      </c>
      <c r="B265" s="12" t="s">
        <v>4884</v>
      </c>
      <c r="C265" s="12" t="s">
        <v>7216</v>
      </c>
      <c r="D265" s="12" t="s">
        <v>583</v>
      </c>
      <c r="E265" s="12" t="s">
        <v>583</v>
      </c>
      <c r="F265" s="13" t="s">
        <v>4886</v>
      </c>
      <c r="G265" s="12"/>
      <c r="H265" s="12" t="s">
        <v>4873</v>
      </c>
      <c r="I265" s="12" t="s">
        <v>394</v>
      </c>
      <c r="J265" s="12" t="s">
        <v>112</v>
      </c>
      <c r="K265" s="18" t="s">
        <v>7217</v>
      </c>
      <c r="L265" s="18" t="s">
        <v>112</v>
      </c>
      <c r="M265" s="18" t="s">
        <v>112</v>
      </c>
      <c r="N265" s="18" t="s">
        <v>282</v>
      </c>
      <c r="O265" s="12" t="s">
        <v>6732</v>
      </c>
      <c r="P265" s="12" t="s">
        <v>115</v>
      </c>
      <c r="Q265" s="12" t="s">
        <v>116</v>
      </c>
      <c r="R265" s="19" t="n">
        <f aca="false">COUNTIF(Dati!$B$2:$B$1216,A265)</f>
        <v>2</v>
      </c>
    </row>
    <row r="266" customFormat="false" ht="35.05" hidden="false" customHeight="false" outlineLevel="0" collapsed="false">
      <c r="A266" s="12" t="s">
        <v>4485</v>
      </c>
      <c r="B266" s="12" t="s">
        <v>4486</v>
      </c>
      <c r="C266" s="12" t="s">
        <v>4487</v>
      </c>
      <c r="D266" s="12" t="s">
        <v>181</v>
      </c>
      <c r="E266" s="12" t="s">
        <v>4488</v>
      </c>
      <c r="F266" s="13" t="s">
        <v>4489</v>
      </c>
      <c r="G266" s="12"/>
      <c r="H266" s="12" t="s">
        <v>4407</v>
      </c>
      <c r="I266" s="12" t="s">
        <v>394</v>
      </c>
      <c r="J266" s="12" t="s">
        <v>112</v>
      </c>
      <c r="K266" s="18" t="s">
        <v>7218</v>
      </c>
      <c r="L266" s="18" t="s">
        <v>112</v>
      </c>
      <c r="M266" s="18" t="s">
        <v>7219</v>
      </c>
      <c r="N266" s="18" t="s">
        <v>282</v>
      </c>
      <c r="O266" s="12" t="s">
        <v>7220</v>
      </c>
      <c r="P266" s="12" t="s">
        <v>115</v>
      </c>
      <c r="Q266" s="12" t="s">
        <v>116</v>
      </c>
      <c r="R266" s="19" t="n">
        <f aca="false">COUNTIF(Dati!$B$2:$B$1216,A266)</f>
        <v>1</v>
      </c>
    </row>
    <row r="267" customFormat="false" ht="35.05" hidden="false" customHeight="false" outlineLevel="0" collapsed="false">
      <c r="A267" s="12" t="s">
        <v>4468</v>
      </c>
      <c r="B267" s="12" t="s">
        <v>7221</v>
      </c>
      <c r="C267" s="12" t="s">
        <v>7222</v>
      </c>
      <c r="D267" s="12" t="s">
        <v>847</v>
      </c>
      <c r="E267" s="12" t="s">
        <v>4471</v>
      </c>
      <c r="F267" s="13" t="s">
        <v>4472</v>
      </c>
      <c r="G267" s="12"/>
      <c r="H267" s="12" t="s">
        <v>4407</v>
      </c>
      <c r="I267" s="12" t="s">
        <v>394</v>
      </c>
      <c r="J267" s="12" t="s">
        <v>112</v>
      </c>
      <c r="K267" s="18" t="s">
        <v>7218</v>
      </c>
      <c r="L267" s="18" t="s">
        <v>112</v>
      </c>
      <c r="M267" s="18" t="s">
        <v>7219</v>
      </c>
      <c r="N267" s="18" t="s">
        <v>282</v>
      </c>
      <c r="O267" s="12" t="s">
        <v>7220</v>
      </c>
      <c r="P267" s="12" t="s">
        <v>115</v>
      </c>
      <c r="Q267" s="12" t="s">
        <v>499</v>
      </c>
      <c r="R267" s="19" t="n">
        <f aca="false">COUNTIF(Dati!$B$2:$B$1216,A267)</f>
        <v>2</v>
      </c>
    </row>
    <row r="268" customFormat="false" ht="35.05" hidden="false" customHeight="false" outlineLevel="0" collapsed="false">
      <c r="A268" s="12" t="s">
        <v>4494</v>
      </c>
      <c r="B268" s="12" t="s">
        <v>4486</v>
      </c>
      <c r="C268" s="12" t="s">
        <v>4495</v>
      </c>
      <c r="D268" s="12" t="s">
        <v>808</v>
      </c>
      <c r="E268" s="12" t="s">
        <v>4496</v>
      </c>
      <c r="F268" s="13" t="s">
        <v>4497</v>
      </c>
      <c r="G268" s="12"/>
      <c r="H268" s="12" t="s">
        <v>4407</v>
      </c>
      <c r="I268" s="12" t="s">
        <v>394</v>
      </c>
      <c r="J268" s="12" t="s">
        <v>112</v>
      </c>
      <c r="K268" s="18" t="s">
        <v>7218</v>
      </c>
      <c r="L268" s="18" t="s">
        <v>112</v>
      </c>
      <c r="M268" s="18" t="s">
        <v>7219</v>
      </c>
      <c r="N268" s="18" t="s">
        <v>282</v>
      </c>
      <c r="O268" s="12" t="s">
        <v>7220</v>
      </c>
      <c r="P268" s="12" t="s">
        <v>115</v>
      </c>
      <c r="Q268" s="12" t="s">
        <v>116</v>
      </c>
      <c r="R268" s="19" t="n">
        <f aca="false">COUNTIF(Dati!$B$2:$B$1216,A268)</f>
        <v>2</v>
      </c>
    </row>
    <row r="269" customFormat="false" ht="35.05" hidden="false" customHeight="false" outlineLevel="0" collapsed="false">
      <c r="A269" s="12" t="s">
        <v>4793</v>
      </c>
      <c r="B269" s="12" t="s">
        <v>4794</v>
      </c>
      <c r="C269" s="12" t="s">
        <v>7223</v>
      </c>
      <c r="D269" s="12" t="s">
        <v>181</v>
      </c>
      <c r="E269" s="12" t="s">
        <v>4796</v>
      </c>
      <c r="F269" s="13" t="s">
        <v>4797</v>
      </c>
      <c r="G269" s="12"/>
      <c r="H269" s="12" t="s">
        <v>4777</v>
      </c>
      <c r="I269" s="12" t="s">
        <v>394</v>
      </c>
      <c r="J269" s="12" t="s">
        <v>166</v>
      </c>
      <c r="K269" s="18" t="s">
        <v>7224</v>
      </c>
      <c r="L269" s="18" t="s">
        <v>112</v>
      </c>
      <c r="M269" s="18" t="s">
        <v>112</v>
      </c>
      <c r="N269" s="18" t="s">
        <v>282</v>
      </c>
      <c r="O269" s="12" t="s">
        <v>6732</v>
      </c>
      <c r="P269" s="12" t="s">
        <v>407</v>
      </c>
      <c r="Q269" s="12" t="s">
        <v>116</v>
      </c>
      <c r="R269" s="19" t="n">
        <f aca="false">COUNTIF(Dati!$B$2:$B$1216,A269)</f>
        <v>2</v>
      </c>
    </row>
    <row r="270" customFormat="false" ht="35.05" hidden="false" customHeight="false" outlineLevel="0" collapsed="false">
      <c r="A270" s="12" t="s">
        <v>4808</v>
      </c>
      <c r="B270" s="12" t="s">
        <v>4794</v>
      </c>
      <c r="C270" s="12" t="s">
        <v>7225</v>
      </c>
      <c r="D270" s="12" t="s">
        <v>181</v>
      </c>
      <c r="E270" s="12" t="s">
        <v>376</v>
      </c>
      <c r="F270" s="13" t="s">
        <v>4810</v>
      </c>
      <c r="G270" s="12"/>
      <c r="H270" s="12" t="s">
        <v>4777</v>
      </c>
      <c r="I270" s="12" t="s">
        <v>394</v>
      </c>
      <c r="J270" s="12" t="s">
        <v>166</v>
      </c>
      <c r="K270" s="18" t="s">
        <v>7224</v>
      </c>
      <c r="L270" s="18" t="s">
        <v>112</v>
      </c>
      <c r="M270" s="18" t="s">
        <v>112</v>
      </c>
      <c r="N270" s="18" t="s">
        <v>282</v>
      </c>
      <c r="O270" s="12" t="s">
        <v>6732</v>
      </c>
      <c r="P270" s="12" t="s">
        <v>407</v>
      </c>
      <c r="Q270" s="12" t="s">
        <v>116</v>
      </c>
      <c r="R270" s="19" t="n">
        <f aca="false">COUNTIF(Dati!$B$2:$B$1216,A270)</f>
        <v>2</v>
      </c>
    </row>
    <row r="271" customFormat="false" ht="23.85" hidden="false" customHeight="false" outlineLevel="0" collapsed="false">
      <c r="A271" s="12" t="s">
        <v>1249</v>
      </c>
      <c r="B271" s="12" t="s">
        <v>1250</v>
      </c>
      <c r="C271" s="12" t="s">
        <v>7226</v>
      </c>
      <c r="D271" s="12" t="s">
        <v>583</v>
      </c>
      <c r="E271" s="12" t="s">
        <v>1252</v>
      </c>
      <c r="F271" s="13" t="s">
        <v>1253</v>
      </c>
      <c r="G271" s="12"/>
      <c r="H271" s="12" t="s">
        <v>1152</v>
      </c>
      <c r="I271" s="12" t="s">
        <v>394</v>
      </c>
      <c r="J271" s="12" t="s">
        <v>112</v>
      </c>
      <c r="K271" s="18" t="s">
        <v>7227</v>
      </c>
      <c r="L271" s="18" t="s">
        <v>112</v>
      </c>
      <c r="M271" s="18" t="s">
        <v>112</v>
      </c>
      <c r="N271" s="18" t="s">
        <v>282</v>
      </c>
      <c r="O271" s="12" t="s">
        <v>6741</v>
      </c>
      <c r="P271" s="12" t="s">
        <v>115</v>
      </c>
      <c r="Q271" s="12" t="s">
        <v>116</v>
      </c>
      <c r="R271" s="19" t="n">
        <f aca="false">COUNTIF(Dati!$B$2:$B$1216,A271)</f>
        <v>1</v>
      </c>
    </row>
    <row r="272" customFormat="false" ht="23.85" hidden="false" customHeight="false" outlineLevel="0" collapsed="false">
      <c r="A272" s="12" t="s">
        <v>5044</v>
      </c>
      <c r="B272" s="12" t="s">
        <v>5045</v>
      </c>
      <c r="C272" s="12" t="s">
        <v>5046</v>
      </c>
      <c r="D272" s="12" t="s">
        <v>1239</v>
      </c>
      <c r="E272" s="12" t="s">
        <v>1239</v>
      </c>
      <c r="F272" s="13" t="s">
        <v>5047</v>
      </c>
      <c r="G272" s="12"/>
      <c r="H272" s="12" t="s">
        <v>4941</v>
      </c>
      <c r="I272" s="12" t="s">
        <v>394</v>
      </c>
      <c r="J272" s="12" t="s">
        <v>112</v>
      </c>
      <c r="K272" s="18" t="s">
        <v>5051</v>
      </c>
      <c r="L272" s="18" t="s">
        <v>112</v>
      </c>
      <c r="M272" s="18" t="s">
        <v>112</v>
      </c>
      <c r="N272" s="18" t="s">
        <v>7228</v>
      </c>
      <c r="O272" s="12" t="s">
        <v>282</v>
      </c>
      <c r="P272" s="12" t="s">
        <v>115</v>
      </c>
      <c r="Q272" s="12" t="s">
        <v>116</v>
      </c>
      <c r="R272" s="19" t="n">
        <f aca="false">COUNTIF(Dati!$B$2:$B$1216,A272)</f>
        <v>4</v>
      </c>
    </row>
    <row r="273" customFormat="false" ht="35.05" hidden="false" customHeight="false" outlineLevel="0" collapsed="false">
      <c r="A273" s="12" t="s">
        <v>1993</v>
      </c>
      <c r="B273" s="12" t="s">
        <v>1994</v>
      </c>
      <c r="C273" s="12" t="s">
        <v>1995</v>
      </c>
      <c r="D273" s="12" t="s">
        <v>2970</v>
      </c>
      <c r="E273" s="12" t="s">
        <v>1996</v>
      </c>
      <c r="F273" s="13" t="s">
        <v>1997</v>
      </c>
      <c r="G273" s="12"/>
      <c r="H273" s="12" t="s">
        <v>1663</v>
      </c>
      <c r="I273" s="12" t="s">
        <v>394</v>
      </c>
      <c r="J273" s="12" t="s">
        <v>112</v>
      </c>
      <c r="K273" s="18" t="s">
        <v>7229</v>
      </c>
      <c r="L273" s="18" t="s">
        <v>112</v>
      </c>
      <c r="M273" s="18" t="s">
        <v>112</v>
      </c>
      <c r="N273" s="18" t="s">
        <v>7230</v>
      </c>
      <c r="O273" s="12" t="s">
        <v>6608</v>
      </c>
      <c r="P273" s="12" t="s">
        <v>498</v>
      </c>
      <c r="Q273" s="12" t="s">
        <v>116</v>
      </c>
      <c r="R273" s="19" t="n">
        <f aca="false">COUNTIF(Dati!$B$2:$B$1216,A273)</f>
        <v>3</v>
      </c>
    </row>
    <row r="274" customFormat="false" ht="35.05" hidden="false" customHeight="false" outlineLevel="0" collapsed="false">
      <c r="A274" s="12" t="s">
        <v>4820</v>
      </c>
      <c r="B274" s="12" t="s">
        <v>7231</v>
      </c>
      <c r="C274" s="12" t="s">
        <v>7232</v>
      </c>
      <c r="D274" s="12" t="s">
        <v>808</v>
      </c>
      <c r="E274" s="12" t="s">
        <v>4823</v>
      </c>
      <c r="F274" s="13" t="s">
        <v>4824</v>
      </c>
      <c r="G274" s="12"/>
      <c r="H274" s="12" t="s">
        <v>4777</v>
      </c>
      <c r="I274" s="12" t="s">
        <v>394</v>
      </c>
      <c r="J274" s="12" t="s">
        <v>112</v>
      </c>
      <c r="K274" s="18" t="s">
        <v>7233</v>
      </c>
      <c r="L274" s="18" t="s">
        <v>112</v>
      </c>
      <c r="M274" s="18" t="s">
        <v>112</v>
      </c>
      <c r="N274" s="18" t="s">
        <v>282</v>
      </c>
      <c r="O274" s="12" t="s">
        <v>6732</v>
      </c>
      <c r="P274" s="12" t="s">
        <v>115</v>
      </c>
      <c r="Q274" s="12" t="s">
        <v>116</v>
      </c>
      <c r="R274" s="19" t="n">
        <f aca="false">COUNTIF(Dati!$B$2:$B$1216,A274)</f>
        <v>1</v>
      </c>
    </row>
    <row r="275" customFormat="false" ht="35.05" hidden="false" customHeight="false" outlineLevel="0" collapsed="false">
      <c r="A275" s="12" t="s">
        <v>4831</v>
      </c>
      <c r="B275" s="12" t="s">
        <v>7231</v>
      </c>
      <c r="C275" s="12" t="s">
        <v>7234</v>
      </c>
      <c r="D275" s="12" t="s">
        <v>808</v>
      </c>
      <c r="E275" s="12" t="s">
        <v>4833</v>
      </c>
      <c r="F275" s="13" t="s">
        <v>4834</v>
      </c>
      <c r="G275" s="12"/>
      <c r="H275" s="12" t="s">
        <v>4777</v>
      </c>
      <c r="I275" s="12" t="s">
        <v>394</v>
      </c>
      <c r="J275" s="12" t="s">
        <v>112</v>
      </c>
      <c r="K275" s="18" t="s">
        <v>7233</v>
      </c>
      <c r="L275" s="18" t="s">
        <v>112</v>
      </c>
      <c r="M275" s="18" t="s">
        <v>112</v>
      </c>
      <c r="N275" s="18" t="s">
        <v>282</v>
      </c>
      <c r="O275" s="12" t="s">
        <v>6732</v>
      </c>
      <c r="P275" s="12" t="s">
        <v>115</v>
      </c>
      <c r="Q275" s="12" t="s">
        <v>116</v>
      </c>
      <c r="R275" s="19" t="n">
        <f aca="false">COUNTIF(Dati!$B$2:$B$1216,A275)</f>
        <v>2</v>
      </c>
    </row>
    <row r="276" customFormat="false" ht="35.05" hidden="false" customHeight="false" outlineLevel="0" collapsed="false">
      <c r="A276" s="12" t="s">
        <v>4844</v>
      </c>
      <c r="B276" s="12" t="s">
        <v>7231</v>
      </c>
      <c r="C276" s="12" t="s">
        <v>4845</v>
      </c>
      <c r="D276" s="12" t="s">
        <v>808</v>
      </c>
      <c r="E276" s="12" t="s">
        <v>4846</v>
      </c>
      <c r="F276" s="13" t="s">
        <v>4847</v>
      </c>
      <c r="G276" s="12"/>
      <c r="H276" s="12" t="s">
        <v>4777</v>
      </c>
      <c r="I276" s="12" t="s">
        <v>394</v>
      </c>
      <c r="J276" s="12" t="s">
        <v>112</v>
      </c>
      <c r="K276" s="18" t="s">
        <v>7233</v>
      </c>
      <c r="L276" s="18" t="s">
        <v>112</v>
      </c>
      <c r="M276" s="18" t="s">
        <v>112</v>
      </c>
      <c r="N276" s="18" t="s">
        <v>282</v>
      </c>
      <c r="O276" s="12" t="s">
        <v>6732</v>
      </c>
      <c r="P276" s="12" t="s">
        <v>115</v>
      </c>
      <c r="Q276" s="12" t="s">
        <v>116</v>
      </c>
      <c r="R276" s="19" t="n">
        <f aca="false">COUNTIF(Dati!$B$2:$B$1216,A276)</f>
        <v>2</v>
      </c>
    </row>
    <row r="277" customFormat="false" ht="23.85" hidden="false" customHeight="false" outlineLevel="0" collapsed="false">
      <c r="A277" s="12" t="s">
        <v>3628</v>
      </c>
      <c r="B277" s="12" t="s">
        <v>3629</v>
      </c>
      <c r="C277" s="12" t="s">
        <v>3630</v>
      </c>
      <c r="D277" s="12" t="s">
        <v>181</v>
      </c>
      <c r="E277" s="12" t="s">
        <v>3631</v>
      </c>
      <c r="F277" s="13" t="s">
        <v>3632</v>
      </c>
      <c r="G277" s="12"/>
      <c r="H277" s="12" t="s">
        <v>3612</v>
      </c>
      <c r="I277" s="12" t="s">
        <v>394</v>
      </c>
      <c r="J277" s="12" t="s">
        <v>112</v>
      </c>
      <c r="K277" s="18" t="s">
        <v>3635</v>
      </c>
      <c r="L277" s="18" t="s">
        <v>112</v>
      </c>
      <c r="M277" s="18" t="s">
        <v>112</v>
      </c>
      <c r="N277" s="18" t="s">
        <v>282</v>
      </c>
      <c r="O277" s="12" t="s">
        <v>6608</v>
      </c>
      <c r="P277" s="12" t="s">
        <v>115</v>
      </c>
      <c r="Q277" s="12" t="s">
        <v>116</v>
      </c>
      <c r="R277" s="19" t="n">
        <f aca="false">COUNTIF(Dati!$B$2:$B$1216,A277)</f>
        <v>1</v>
      </c>
    </row>
    <row r="278" customFormat="false" ht="23.85" hidden="false" customHeight="false" outlineLevel="0" collapsed="false">
      <c r="A278" s="12" t="s">
        <v>3611</v>
      </c>
      <c r="B278" s="12" t="s">
        <v>3614</v>
      </c>
      <c r="C278" s="12" t="s">
        <v>3615</v>
      </c>
      <c r="D278" s="12" t="s">
        <v>7235</v>
      </c>
      <c r="E278" s="12" t="s">
        <v>3616</v>
      </c>
      <c r="F278" s="13" t="s">
        <v>3617</v>
      </c>
      <c r="G278" s="12"/>
      <c r="H278" s="12" t="s">
        <v>3612</v>
      </c>
      <c r="I278" s="12" t="s">
        <v>394</v>
      </c>
      <c r="J278" s="12" t="s">
        <v>112</v>
      </c>
      <c r="K278" s="18" t="s">
        <v>3620</v>
      </c>
      <c r="L278" s="18" t="s">
        <v>112</v>
      </c>
      <c r="M278" s="18" t="s">
        <v>112</v>
      </c>
      <c r="N278" s="18" t="s">
        <v>282</v>
      </c>
      <c r="O278" s="12" t="s">
        <v>6608</v>
      </c>
      <c r="P278" s="12" t="s">
        <v>115</v>
      </c>
      <c r="Q278" s="12" t="s">
        <v>116</v>
      </c>
      <c r="R278" s="19" t="n">
        <f aca="false">COUNTIF(Dati!$B$2:$B$1216,A278)</f>
        <v>5</v>
      </c>
    </row>
    <row r="279" customFormat="false" ht="15" hidden="false" customHeight="false" outlineLevel="0" collapsed="false">
      <c r="A279" s="12" t="s">
        <v>1501</v>
      </c>
      <c r="B279" s="12" t="s">
        <v>1502</v>
      </c>
      <c r="C279" s="12" t="s">
        <v>1503</v>
      </c>
      <c r="D279" s="12" t="s">
        <v>7236</v>
      </c>
      <c r="E279" s="12" t="s">
        <v>1504</v>
      </c>
      <c r="F279" s="13" t="s">
        <v>1505</v>
      </c>
      <c r="G279" s="12"/>
      <c r="H279" s="12" t="s">
        <v>1490</v>
      </c>
      <c r="I279" s="12" t="s">
        <v>394</v>
      </c>
      <c r="J279" s="12" t="s">
        <v>112</v>
      </c>
      <c r="K279" s="18" t="s">
        <v>1508</v>
      </c>
      <c r="L279" s="18" t="s">
        <v>112</v>
      </c>
      <c r="M279" s="18" t="s">
        <v>112</v>
      </c>
      <c r="N279" s="18" t="s">
        <v>282</v>
      </c>
      <c r="O279" s="12" t="s">
        <v>6608</v>
      </c>
      <c r="P279" s="12" t="s">
        <v>115</v>
      </c>
      <c r="Q279" s="12" t="s">
        <v>116</v>
      </c>
      <c r="R279" s="19" t="n">
        <f aca="false">COUNTIF(Dati!$B$2:$B$1216,A279)</f>
        <v>4</v>
      </c>
    </row>
    <row r="280" customFormat="false" ht="35.05" hidden="false" customHeight="false" outlineLevel="0" collapsed="false">
      <c r="A280" s="12" t="s">
        <v>844</v>
      </c>
      <c r="B280" s="12" t="s">
        <v>845</v>
      </c>
      <c r="C280" s="12" t="s">
        <v>7237</v>
      </c>
      <c r="D280" s="12" t="s">
        <v>7193</v>
      </c>
      <c r="E280" s="12" t="s">
        <v>847</v>
      </c>
      <c r="F280" s="13" t="s">
        <v>848</v>
      </c>
      <c r="G280" s="12"/>
      <c r="H280" s="12" t="s">
        <v>757</v>
      </c>
      <c r="I280" s="12" t="s">
        <v>110</v>
      </c>
      <c r="J280" s="12" t="s">
        <v>112</v>
      </c>
      <c r="K280" s="18" t="s">
        <v>7238</v>
      </c>
      <c r="L280" s="18" t="s">
        <v>112</v>
      </c>
      <c r="M280" s="18" t="s">
        <v>112</v>
      </c>
      <c r="N280" s="18" t="s">
        <v>7239</v>
      </c>
      <c r="O280" s="12" t="s">
        <v>282</v>
      </c>
      <c r="P280" s="12" t="s">
        <v>284</v>
      </c>
      <c r="Q280" s="12" t="s">
        <v>838</v>
      </c>
      <c r="R280" s="19" t="n">
        <f aca="false">COUNTIF(Dati!$B$2:$B$1216,A280)</f>
        <v>6</v>
      </c>
    </row>
    <row r="281" customFormat="false" ht="23.85" hidden="false" customHeight="false" outlineLevel="0" collapsed="false">
      <c r="A281" s="12" t="s">
        <v>1097</v>
      </c>
      <c r="B281" s="12" t="s">
        <v>845</v>
      </c>
      <c r="C281" s="12" t="s">
        <v>7240</v>
      </c>
      <c r="D281" s="12" t="s">
        <v>7193</v>
      </c>
      <c r="E281" s="12" t="s">
        <v>847</v>
      </c>
      <c r="F281" s="13" t="s">
        <v>1099</v>
      </c>
      <c r="G281" s="12"/>
      <c r="H281" s="12" t="s">
        <v>948</v>
      </c>
      <c r="I281" s="12" t="s">
        <v>110</v>
      </c>
      <c r="J281" s="12" t="s">
        <v>112</v>
      </c>
      <c r="K281" s="18" t="s">
        <v>7037</v>
      </c>
      <c r="L281" s="18" t="s">
        <v>112</v>
      </c>
      <c r="M281" s="18" t="s">
        <v>112</v>
      </c>
      <c r="N281" s="18" t="s">
        <v>282</v>
      </c>
      <c r="O281" s="12" t="s">
        <v>282</v>
      </c>
      <c r="P281" s="12" t="s">
        <v>284</v>
      </c>
      <c r="Q281" s="12" t="s">
        <v>838</v>
      </c>
      <c r="R281" s="19" t="n">
        <f aca="false">COUNTIF(Dati!$B$2:$B$1216,A281)</f>
        <v>3</v>
      </c>
    </row>
    <row r="282" customFormat="false" ht="57.45" hidden="false" customHeight="false" outlineLevel="0" collapsed="false">
      <c r="A282" s="12" t="s">
        <v>6483</v>
      </c>
      <c r="B282" s="12" t="s">
        <v>845</v>
      </c>
      <c r="C282" s="12" t="s">
        <v>6486</v>
      </c>
      <c r="D282" s="12" t="s">
        <v>181</v>
      </c>
      <c r="E282" s="12" t="s">
        <v>1593</v>
      </c>
      <c r="F282" s="13" t="s">
        <v>6487</v>
      </c>
      <c r="G282" s="12"/>
      <c r="H282" s="12" t="s">
        <v>7241</v>
      </c>
      <c r="I282" s="12" t="s">
        <v>3261</v>
      </c>
      <c r="J282" s="12" t="s">
        <v>617</v>
      </c>
      <c r="K282" s="18" t="s">
        <v>7242</v>
      </c>
      <c r="L282" s="18" t="s">
        <v>6587</v>
      </c>
      <c r="M282" s="18" t="s">
        <v>282</v>
      </c>
      <c r="N282" s="18" t="s">
        <v>282</v>
      </c>
      <c r="O282" s="12" t="s">
        <v>6588</v>
      </c>
      <c r="P282" s="12" t="s">
        <v>498</v>
      </c>
      <c r="Q282" s="12" t="s">
        <v>838</v>
      </c>
      <c r="R282" s="19" t="n">
        <f aca="false">COUNTIF(Dati!$B$2:$B$1216,A282)</f>
        <v>2</v>
      </c>
    </row>
    <row r="283" customFormat="false" ht="57.45" hidden="false" customHeight="false" outlineLevel="0" collapsed="false">
      <c r="A283" s="12" t="s">
        <v>6497</v>
      </c>
      <c r="B283" s="12" t="s">
        <v>845</v>
      </c>
      <c r="C283" s="12" t="s">
        <v>6498</v>
      </c>
      <c r="D283" s="12" t="s">
        <v>847</v>
      </c>
      <c r="E283" s="12" t="s">
        <v>847</v>
      </c>
      <c r="F283" s="13" t="s">
        <v>6499</v>
      </c>
      <c r="G283" s="13" t="s">
        <v>6208</v>
      </c>
      <c r="H283" s="12" t="s">
        <v>7241</v>
      </c>
      <c r="I283" s="12" t="s">
        <v>3261</v>
      </c>
      <c r="J283" s="12" t="s">
        <v>617</v>
      </c>
      <c r="K283" s="18" t="s">
        <v>7242</v>
      </c>
      <c r="L283" s="18" t="s">
        <v>6587</v>
      </c>
      <c r="M283" s="18" t="s">
        <v>282</v>
      </c>
      <c r="N283" s="18" t="s">
        <v>282</v>
      </c>
      <c r="O283" s="12" t="s">
        <v>6588</v>
      </c>
      <c r="P283" s="12" t="s">
        <v>498</v>
      </c>
      <c r="Q283" s="12" t="s">
        <v>838</v>
      </c>
      <c r="R283" s="19" t="n">
        <f aca="false">COUNTIF(Dati!$B$2:$B$1216,A283)</f>
        <v>6</v>
      </c>
    </row>
    <row r="284" customFormat="false" ht="23.85" hidden="false" customHeight="false" outlineLevel="0" collapsed="false">
      <c r="A284" s="12" t="s">
        <v>2593</v>
      </c>
      <c r="B284" s="12" t="s">
        <v>845</v>
      </c>
      <c r="C284" s="12" t="s">
        <v>7243</v>
      </c>
      <c r="D284" s="12" t="s">
        <v>7193</v>
      </c>
      <c r="E284" s="12" t="s">
        <v>847</v>
      </c>
      <c r="F284" s="13" t="s">
        <v>2595</v>
      </c>
      <c r="G284" s="12"/>
      <c r="H284" s="12" t="s">
        <v>2125</v>
      </c>
      <c r="I284" s="12" t="s">
        <v>110</v>
      </c>
      <c r="J284" s="12" t="s">
        <v>112</v>
      </c>
      <c r="K284" s="18" t="s">
        <v>7037</v>
      </c>
      <c r="L284" s="18" t="s">
        <v>112</v>
      </c>
      <c r="M284" s="18" t="s">
        <v>112</v>
      </c>
      <c r="N284" s="18" t="s">
        <v>282</v>
      </c>
      <c r="O284" s="12" t="s">
        <v>282</v>
      </c>
      <c r="P284" s="12" t="s">
        <v>284</v>
      </c>
      <c r="Q284" s="12" t="s">
        <v>838</v>
      </c>
      <c r="R284" s="19" t="n">
        <f aca="false">COUNTIF(Dati!$B$2:$B$1216,A284)</f>
        <v>4</v>
      </c>
    </row>
    <row r="285" customFormat="false" ht="15" hidden="false" customHeight="false" outlineLevel="0" collapsed="false">
      <c r="A285" s="12" t="s">
        <v>1454</v>
      </c>
      <c r="B285" s="12" t="s">
        <v>845</v>
      </c>
      <c r="C285" s="12" t="s">
        <v>1455</v>
      </c>
      <c r="D285" s="12" t="s">
        <v>847</v>
      </c>
      <c r="E285" s="12" t="s">
        <v>847</v>
      </c>
      <c r="F285" s="13" t="s">
        <v>1456</v>
      </c>
      <c r="G285" s="12"/>
      <c r="H285" s="12" t="s">
        <v>1371</v>
      </c>
      <c r="I285" s="12" t="s">
        <v>110</v>
      </c>
      <c r="J285" s="12" t="s">
        <v>112</v>
      </c>
      <c r="K285" s="18" t="s">
        <v>282</v>
      </c>
      <c r="L285" s="18" t="s">
        <v>112</v>
      </c>
      <c r="M285" s="18" t="s">
        <v>112</v>
      </c>
      <c r="N285" s="18" t="s">
        <v>282</v>
      </c>
      <c r="O285" s="12" t="s">
        <v>7052</v>
      </c>
      <c r="P285" s="12" t="s">
        <v>284</v>
      </c>
      <c r="Q285" s="12" t="s">
        <v>838</v>
      </c>
      <c r="R285" s="19" t="n">
        <f aca="false">COUNTIF(Dati!$B$2:$B$1216,A285)</f>
        <v>6</v>
      </c>
    </row>
    <row r="286" customFormat="false" ht="15" hidden="false" customHeight="false" outlineLevel="0" collapsed="false">
      <c r="A286" s="12" t="s">
        <v>2672</v>
      </c>
      <c r="B286" s="12" t="s">
        <v>845</v>
      </c>
      <c r="C286" s="12" t="s">
        <v>2673</v>
      </c>
      <c r="D286" s="12" t="s">
        <v>847</v>
      </c>
      <c r="E286" s="12" t="s">
        <v>847</v>
      </c>
      <c r="F286" s="13" t="s">
        <v>2674</v>
      </c>
      <c r="G286" s="12"/>
      <c r="H286" s="12" t="s">
        <v>2657</v>
      </c>
      <c r="I286" s="12" t="s">
        <v>110</v>
      </c>
      <c r="J286" s="12" t="s">
        <v>112</v>
      </c>
      <c r="K286" s="18" t="s">
        <v>282</v>
      </c>
      <c r="L286" s="18" t="s">
        <v>112</v>
      </c>
      <c r="M286" s="18" t="s">
        <v>112</v>
      </c>
      <c r="N286" s="18" t="s">
        <v>282</v>
      </c>
      <c r="O286" s="12" t="s">
        <v>282</v>
      </c>
      <c r="P286" s="12" t="s">
        <v>284</v>
      </c>
      <c r="Q286" s="12" t="s">
        <v>838</v>
      </c>
      <c r="R286" s="19" t="n">
        <f aca="false">COUNTIF(Dati!$B$2:$B$1216,A286)</f>
        <v>6</v>
      </c>
    </row>
    <row r="287" customFormat="false" ht="15" hidden="false" customHeight="false" outlineLevel="0" collapsed="false">
      <c r="A287" s="12" t="s">
        <v>5129</v>
      </c>
      <c r="B287" s="12" t="s">
        <v>845</v>
      </c>
      <c r="C287" s="12" t="s">
        <v>5130</v>
      </c>
      <c r="D287" s="12" t="s">
        <v>808</v>
      </c>
      <c r="E287" s="12" t="s">
        <v>808</v>
      </c>
      <c r="F287" s="13" t="s">
        <v>5131</v>
      </c>
      <c r="G287" s="12"/>
      <c r="H287" s="12" t="s">
        <v>4941</v>
      </c>
      <c r="I287" s="12" t="s">
        <v>110</v>
      </c>
      <c r="J287" s="12" t="s">
        <v>112</v>
      </c>
      <c r="K287" s="18" t="s">
        <v>282</v>
      </c>
      <c r="L287" s="18" t="s">
        <v>112</v>
      </c>
      <c r="M287" s="18" t="s">
        <v>112</v>
      </c>
      <c r="N287" s="18" t="s">
        <v>282</v>
      </c>
      <c r="O287" s="12" t="s">
        <v>282</v>
      </c>
      <c r="P287" s="12" t="s">
        <v>284</v>
      </c>
      <c r="Q287" s="12" t="s">
        <v>838</v>
      </c>
      <c r="R287" s="19" t="n">
        <f aca="false">COUNTIF(Dati!$B$2:$B$1216,A287)</f>
        <v>2</v>
      </c>
    </row>
    <row r="288" customFormat="false" ht="15" hidden="false" customHeight="false" outlineLevel="0" collapsed="false">
      <c r="A288" s="12" t="s">
        <v>5140</v>
      </c>
      <c r="B288" s="12" t="s">
        <v>845</v>
      </c>
      <c r="C288" s="12" t="s">
        <v>5141</v>
      </c>
      <c r="D288" s="12" t="s">
        <v>847</v>
      </c>
      <c r="E288" s="12" t="s">
        <v>847</v>
      </c>
      <c r="F288" s="13" t="s">
        <v>5142</v>
      </c>
      <c r="G288" s="12"/>
      <c r="H288" s="12" t="s">
        <v>4941</v>
      </c>
      <c r="I288" s="12" t="s">
        <v>110</v>
      </c>
      <c r="J288" s="12" t="s">
        <v>112</v>
      </c>
      <c r="K288" s="18" t="s">
        <v>282</v>
      </c>
      <c r="L288" s="18" t="s">
        <v>112</v>
      </c>
      <c r="M288" s="18" t="s">
        <v>112</v>
      </c>
      <c r="N288" s="18" t="s">
        <v>282</v>
      </c>
      <c r="O288" s="12" t="s">
        <v>282</v>
      </c>
      <c r="P288" s="12" t="s">
        <v>284</v>
      </c>
      <c r="Q288" s="12" t="s">
        <v>838</v>
      </c>
      <c r="R288" s="19" t="n">
        <f aca="false">COUNTIF(Dati!$B$2:$B$1216,A288)</f>
        <v>4</v>
      </c>
    </row>
    <row r="289" customFormat="false" ht="91" hidden="false" customHeight="false" outlineLevel="0" collapsed="false">
      <c r="A289" s="12" t="s">
        <v>6206</v>
      </c>
      <c r="B289" s="12" t="s">
        <v>845</v>
      </c>
      <c r="C289" s="12" t="s">
        <v>6207</v>
      </c>
      <c r="D289" s="12" t="s">
        <v>847</v>
      </c>
      <c r="E289" s="12" t="s">
        <v>847</v>
      </c>
      <c r="F289" s="13" t="s">
        <v>6208</v>
      </c>
      <c r="G289" s="13" t="s">
        <v>6208</v>
      </c>
      <c r="H289" s="12" t="s">
        <v>6585</v>
      </c>
      <c r="I289" s="12" t="s">
        <v>3261</v>
      </c>
      <c r="J289" s="12" t="s">
        <v>617</v>
      </c>
      <c r="K289" s="18" t="s">
        <v>7244</v>
      </c>
      <c r="L289" s="18" t="s">
        <v>6587</v>
      </c>
      <c r="M289" s="18" t="s">
        <v>7245</v>
      </c>
      <c r="N289" s="18" t="s">
        <v>7246</v>
      </c>
      <c r="O289" s="12" t="s">
        <v>6588</v>
      </c>
      <c r="P289" s="12" t="s">
        <v>115</v>
      </c>
      <c r="Q289" s="12" t="s">
        <v>838</v>
      </c>
      <c r="R289" s="19" t="n">
        <f aca="false">COUNTIF(Dati!$B$2:$B$1216,A289)</f>
        <v>6</v>
      </c>
    </row>
    <row r="290" customFormat="false" ht="15" hidden="false" customHeight="false" outlineLevel="0" collapsed="false">
      <c r="A290" s="12" t="s">
        <v>1591</v>
      </c>
      <c r="B290" s="12" t="s">
        <v>845</v>
      </c>
      <c r="C290" s="12" t="s">
        <v>1592</v>
      </c>
      <c r="D290" s="12" t="s">
        <v>181</v>
      </c>
      <c r="E290" s="12" t="s">
        <v>1593</v>
      </c>
      <c r="F290" s="13" t="s">
        <v>1594</v>
      </c>
      <c r="G290" s="12"/>
      <c r="H290" s="12" t="s">
        <v>1556</v>
      </c>
      <c r="I290" s="12" t="s">
        <v>110</v>
      </c>
      <c r="J290" s="12" t="s">
        <v>112</v>
      </c>
      <c r="K290" s="18" t="s">
        <v>282</v>
      </c>
      <c r="L290" s="18" t="s">
        <v>112</v>
      </c>
      <c r="M290" s="18" t="s">
        <v>112</v>
      </c>
      <c r="N290" s="18" t="s">
        <v>282</v>
      </c>
      <c r="O290" s="12" t="s">
        <v>7052</v>
      </c>
      <c r="P290" s="12" t="s">
        <v>284</v>
      </c>
      <c r="Q290" s="12" t="s">
        <v>838</v>
      </c>
      <c r="R290" s="19" t="n">
        <f aca="false">COUNTIF(Dati!$B$2:$B$1216,A290)</f>
        <v>2</v>
      </c>
    </row>
    <row r="291" customFormat="false" ht="15" hidden="false" customHeight="false" outlineLevel="0" collapsed="false">
      <c r="A291" s="12" t="s">
        <v>1602</v>
      </c>
      <c r="B291" s="12" t="s">
        <v>845</v>
      </c>
      <c r="C291" s="12" t="s">
        <v>1603</v>
      </c>
      <c r="D291" s="12" t="s">
        <v>847</v>
      </c>
      <c r="E291" s="12" t="s">
        <v>1604</v>
      </c>
      <c r="F291" s="13" t="s">
        <v>1605</v>
      </c>
      <c r="G291" s="12"/>
      <c r="H291" s="12" t="s">
        <v>1556</v>
      </c>
      <c r="I291" s="12" t="s">
        <v>110</v>
      </c>
      <c r="J291" s="12" t="s">
        <v>112</v>
      </c>
      <c r="K291" s="18" t="s">
        <v>282</v>
      </c>
      <c r="L291" s="18" t="s">
        <v>112</v>
      </c>
      <c r="M291" s="18" t="s">
        <v>112</v>
      </c>
      <c r="N291" s="18" t="s">
        <v>282</v>
      </c>
      <c r="O291" s="12" t="s">
        <v>7052</v>
      </c>
      <c r="P291" s="12" t="s">
        <v>284</v>
      </c>
      <c r="Q291" s="12" t="s">
        <v>838</v>
      </c>
      <c r="R291" s="19" t="n">
        <f aca="false">COUNTIF(Dati!$B$2:$B$1216,A291)</f>
        <v>3</v>
      </c>
    </row>
    <row r="292" customFormat="false" ht="46.25" hidden="false" customHeight="false" outlineLevel="0" collapsed="false">
      <c r="A292" s="12" t="s">
        <v>2013</v>
      </c>
      <c r="B292" s="12" t="s">
        <v>845</v>
      </c>
      <c r="C292" s="12" t="s">
        <v>7247</v>
      </c>
      <c r="D292" s="12" t="s">
        <v>7193</v>
      </c>
      <c r="E292" s="12" t="s">
        <v>847</v>
      </c>
      <c r="F292" s="13" t="s">
        <v>2015</v>
      </c>
      <c r="G292" s="12"/>
      <c r="H292" s="12" t="s">
        <v>1663</v>
      </c>
      <c r="I292" s="12" t="s">
        <v>110</v>
      </c>
      <c r="J292" s="12" t="s">
        <v>112</v>
      </c>
      <c r="K292" s="18" t="s">
        <v>7248</v>
      </c>
      <c r="L292" s="18" t="s">
        <v>112</v>
      </c>
      <c r="M292" s="18" t="s">
        <v>112</v>
      </c>
      <c r="N292" s="18" t="s">
        <v>7249</v>
      </c>
      <c r="O292" s="12" t="s">
        <v>282</v>
      </c>
      <c r="P292" s="12" t="s">
        <v>284</v>
      </c>
      <c r="Q292" s="12" t="s">
        <v>838</v>
      </c>
      <c r="R292" s="19" t="n">
        <f aca="false">COUNTIF(Dati!$B$2:$B$1216,A292)</f>
        <v>6</v>
      </c>
    </row>
    <row r="293" customFormat="false" ht="35.05" hidden="false" customHeight="false" outlineLevel="0" collapsed="false">
      <c r="A293" s="12" t="s">
        <v>5360</v>
      </c>
      <c r="B293" s="12" t="s">
        <v>845</v>
      </c>
      <c r="C293" s="12" t="s">
        <v>5361</v>
      </c>
      <c r="D293" s="12" t="s">
        <v>7193</v>
      </c>
      <c r="E293" s="12" t="s">
        <v>847</v>
      </c>
      <c r="F293" s="13" t="s">
        <v>5362</v>
      </c>
      <c r="G293" s="12"/>
      <c r="H293" s="12" t="s">
        <v>5317</v>
      </c>
      <c r="I293" s="12" t="s">
        <v>110</v>
      </c>
      <c r="J293" s="12" t="s">
        <v>112</v>
      </c>
      <c r="K293" s="18" t="s">
        <v>7250</v>
      </c>
      <c r="L293" s="18" t="s">
        <v>112</v>
      </c>
      <c r="M293" s="18" t="s">
        <v>112</v>
      </c>
      <c r="N293" s="18" t="s">
        <v>7251</v>
      </c>
      <c r="O293" s="12" t="s">
        <v>7252</v>
      </c>
      <c r="P293" s="12" t="s">
        <v>498</v>
      </c>
      <c r="Q293" s="12" t="s">
        <v>838</v>
      </c>
      <c r="R293" s="19" t="n">
        <f aca="false">COUNTIF(Dati!$B$2:$B$1216,A293)</f>
        <v>4</v>
      </c>
    </row>
    <row r="294" customFormat="false" ht="15" hidden="false" customHeight="false" outlineLevel="0" collapsed="false">
      <c r="A294" s="12" t="s">
        <v>3323</v>
      </c>
      <c r="B294" s="12" t="s">
        <v>845</v>
      </c>
      <c r="C294" s="12" t="s">
        <v>3324</v>
      </c>
      <c r="D294" s="12" t="s">
        <v>808</v>
      </c>
      <c r="E294" s="12" t="s">
        <v>808</v>
      </c>
      <c r="F294" s="13" t="s">
        <v>3325</v>
      </c>
      <c r="G294" s="12"/>
      <c r="H294" s="12" t="s">
        <v>2850</v>
      </c>
      <c r="I294" s="12" t="s">
        <v>110</v>
      </c>
      <c r="J294" s="12" t="s">
        <v>112</v>
      </c>
      <c r="K294" s="18" t="s">
        <v>282</v>
      </c>
      <c r="L294" s="18" t="s">
        <v>112</v>
      </c>
      <c r="M294" s="18" t="s">
        <v>112</v>
      </c>
      <c r="N294" s="18" t="s">
        <v>282</v>
      </c>
      <c r="O294" s="12" t="s">
        <v>282</v>
      </c>
      <c r="P294" s="12" t="s">
        <v>284</v>
      </c>
      <c r="Q294" s="12" t="s">
        <v>838</v>
      </c>
      <c r="R294" s="19" t="n">
        <f aca="false">COUNTIF(Dati!$B$2:$B$1216,A294)</f>
        <v>2</v>
      </c>
    </row>
    <row r="295" customFormat="false" ht="15" hidden="false" customHeight="false" outlineLevel="0" collapsed="false">
      <c r="A295" s="12" t="s">
        <v>3333</v>
      </c>
      <c r="B295" s="12" t="s">
        <v>845</v>
      </c>
      <c r="C295" s="12" t="s">
        <v>3334</v>
      </c>
      <c r="D295" s="12" t="s">
        <v>847</v>
      </c>
      <c r="E295" s="12" t="s">
        <v>847</v>
      </c>
      <c r="F295" s="13" t="s">
        <v>3335</v>
      </c>
      <c r="G295" s="12"/>
      <c r="H295" s="12" t="s">
        <v>2850</v>
      </c>
      <c r="I295" s="12" t="s">
        <v>110</v>
      </c>
      <c r="J295" s="12" t="s">
        <v>112</v>
      </c>
      <c r="K295" s="18" t="s">
        <v>282</v>
      </c>
      <c r="L295" s="18" t="s">
        <v>112</v>
      </c>
      <c r="M295" s="18" t="s">
        <v>112</v>
      </c>
      <c r="N295" s="18" t="s">
        <v>282</v>
      </c>
      <c r="O295" s="12" t="s">
        <v>282</v>
      </c>
      <c r="P295" s="12" t="s">
        <v>284</v>
      </c>
      <c r="Q295" s="12" t="s">
        <v>838</v>
      </c>
      <c r="R295" s="19" t="n">
        <f aca="false">COUNTIF(Dati!$B$2:$B$1216,A295)</f>
        <v>4</v>
      </c>
    </row>
    <row r="296" customFormat="false" ht="35.05" hidden="false" customHeight="false" outlineLevel="0" collapsed="false">
      <c r="A296" s="12" t="s">
        <v>3824</v>
      </c>
      <c r="B296" s="12" t="s">
        <v>845</v>
      </c>
      <c r="C296" s="12" t="s">
        <v>7253</v>
      </c>
      <c r="D296" s="12" t="s">
        <v>7193</v>
      </c>
      <c r="E296" s="12" t="s">
        <v>847</v>
      </c>
      <c r="F296" s="13" t="s">
        <v>3826</v>
      </c>
      <c r="G296" s="12"/>
      <c r="H296" s="12" t="s">
        <v>3762</v>
      </c>
      <c r="I296" s="12" t="s">
        <v>110</v>
      </c>
      <c r="J296" s="12" t="s">
        <v>112</v>
      </c>
      <c r="K296" s="18" t="s">
        <v>7254</v>
      </c>
      <c r="L296" s="18" t="s">
        <v>112</v>
      </c>
      <c r="M296" s="18" t="s">
        <v>112</v>
      </c>
      <c r="N296" s="18" t="s">
        <v>7255</v>
      </c>
      <c r="O296" s="12" t="s">
        <v>282</v>
      </c>
      <c r="P296" s="12" t="s">
        <v>284</v>
      </c>
      <c r="Q296" s="12" t="s">
        <v>838</v>
      </c>
      <c r="R296" s="19" t="n">
        <f aca="false">COUNTIF(Dati!$B$2:$B$1216,A296)</f>
        <v>6</v>
      </c>
    </row>
    <row r="297" customFormat="false" ht="57.45" hidden="false" customHeight="false" outlineLevel="0" collapsed="false">
      <c r="A297" s="12" t="s">
        <v>6430</v>
      </c>
      <c r="B297" s="12" t="s">
        <v>845</v>
      </c>
      <c r="C297" s="12" t="s">
        <v>6431</v>
      </c>
      <c r="D297" s="12" t="s">
        <v>181</v>
      </c>
      <c r="E297" s="12" t="s">
        <v>1593</v>
      </c>
      <c r="F297" s="13" t="s">
        <v>6432</v>
      </c>
      <c r="G297" s="12"/>
      <c r="H297" s="12" t="s">
        <v>7256</v>
      </c>
      <c r="I297" s="12" t="s">
        <v>3261</v>
      </c>
      <c r="J297" s="12" t="s">
        <v>617</v>
      </c>
      <c r="K297" s="18" t="s">
        <v>7242</v>
      </c>
      <c r="L297" s="18" t="s">
        <v>6587</v>
      </c>
      <c r="M297" s="18" t="s">
        <v>282</v>
      </c>
      <c r="N297" s="18" t="s">
        <v>7257</v>
      </c>
      <c r="O297" s="12" t="s">
        <v>6588</v>
      </c>
      <c r="P297" s="12" t="s">
        <v>498</v>
      </c>
      <c r="Q297" s="12" t="s">
        <v>838</v>
      </c>
      <c r="R297" s="19" t="n">
        <f aca="false">COUNTIF(Dati!$B$2:$B$1216,A297)</f>
        <v>2</v>
      </c>
    </row>
    <row r="298" customFormat="false" ht="68.65" hidden="false" customHeight="false" outlineLevel="0" collapsed="false">
      <c r="A298" s="12" t="s">
        <v>5210</v>
      </c>
      <c r="B298" s="12" t="s">
        <v>845</v>
      </c>
      <c r="C298" s="12" t="s">
        <v>6443</v>
      </c>
      <c r="D298" s="12" t="s">
        <v>847</v>
      </c>
      <c r="E298" s="12" t="s">
        <v>847</v>
      </c>
      <c r="F298" s="13" t="s">
        <v>5212</v>
      </c>
      <c r="G298" s="13" t="s">
        <v>6208</v>
      </c>
      <c r="H298" s="12" t="s">
        <v>7258</v>
      </c>
      <c r="I298" s="12" t="s">
        <v>3261</v>
      </c>
      <c r="J298" s="12" t="s">
        <v>617</v>
      </c>
      <c r="K298" s="18" t="s">
        <v>7259</v>
      </c>
      <c r="L298" s="18" t="s">
        <v>6587</v>
      </c>
      <c r="M298" s="18" t="s">
        <v>282</v>
      </c>
      <c r="N298" s="18" t="s">
        <v>7260</v>
      </c>
      <c r="O298" s="12" t="s">
        <v>6588</v>
      </c>
      <c r="P298" s="12" t="s">
        <v>498</v>
      </c>
      <c r="Q298" s="12" t="s">
        <v>838</v>
      </c>
      <c r="R298" s="19" t="n">
        <f aca="false">COUNTIF(Dati!$B$2:$B$1216,A298)</f>
        <v>6</v>
      </c>
    </row>
    <row r="299" customFormat="false" ht="35.05" hidden="false" customHeight="false" outlineLevel="0" collapsed="false">
      <c r="A299" s="12" t="s">
        <v>4137</v>
      </c>
      <c r="B299" s="12" t="s">
        <v>845</v>
      </c>
      <c r="C299" s="12" t="s">
        <v>7261</v>
      </c>
      <c r="D299" s="12" t="s">
        <v>7262</v>
      </c>
      <c r="E299" s="12" t="s">
        <v>808</v>
      </c>
      <c r="F299" s="13" t="s">
        <v>4139</v>
      </c>
      <c r="G299" s="12"/>
      <c r="H299" s="12" t="s">
        <v>3908</v>
      </c>
      <c r="I299" s="12" t="s">
        <v>110</v>
      </c>
      <c r="J299" s="12" t="s">
        <v>112</v>
      </c>
      <c r="K299" s="18" t="s">
        <v>7263</v>
      </c>
      <c r="L299" s="18" t="s">
        <v>112</v>
      </c>
      <c r="M299" s="18" t="s">
        <v>112</v>
      </c>
      <c r="N299" s="18" t="s">
        <v>7264</v>
      </c>
      <c r="O299" s="12" t="s">
        <v>7252</v>
      </c>
      <c r="P299" s="12" t="s">
        <v>498</v>
      </c>
      <c r="Q299" s="12" t="s">
        <v>838</v>
      </c>
      <c r="R299" s="19" t="n">
        <f aca="false">COUNTIF(Dati!$B$2:$B$1216,A299)</f>
        <v>2</v>
      </c>
    </row>
    <row r="300" customFormat="false" ht="35.05" hidden="false" customHeight="false" outlineLevel="0" collapsed="false">
      <c r="A300" s="12" t="s">
        <v>4149</v>
      </c>
      <c r="B300" s="12" t="s">
        <v>845</v>
      </c>
      <c r="C300" s="12" t="s">
        <v>7265</v>
      </c>
      <c r="D300" s="12" t="s">
        <v>7266</v>
      </c>
      <c r="E300" s="12" t="s">
        <v>1593</v>
      </c>
      <c r="F300" s="13" t="s">
        <v>4139</v>
      </c>
      <c r="G300" s="12"/>
      <c r="H300" s="12" t="s">
        <v>3908</v>
      </c>
      <c r="I300" s="12" t="s">
        <v>110</v>
      </c>
      <c r="J300" s="12" t="s">
        <v>112</v>
      </c>
      <c r="K300" s="18" t="s">
        <v>7263</v>
      </c>
      <c r="L300" s="18" t="s">
        <v>112</v>
      </c>
      <c r="M300" s="18" t="s">
        <v>112</v>
      </c>
      <c r="N300" s="18" t="s">
        <v>7264</v>
      </c>
      <c r="O300" s="12" t="s">
        <v>7252</v>
      </c>
      <c r="P300" s="12" t="s">
        <v>498</v>
      </c>
      <c r="Q300" s="12" t="s">
        <v>838</v>
      </c>
      <c r="R300" s="19" t="n">
        <f aca="false">COUNTIF(Dati!$B$2:$B$1216,A300)</f>
        <v>2</v>
      </c>
    </row>
    <row r="301" customFormat="false" ht="35.05" hidden="false" customHeight="false" outlineLevel="0" collapsed="false">
      <c r="A301" s="12" t="s">
        <v>4155</v>
      </c>
      <c r="B301" s="12" t="s">
        <v>845</v>
      </c>
      <c r="C301" s="12" t="s">
        <v>4156</v>
      </c>
      <c r="D301" s="12" t="s">
        <v>7267</v>
      </c>
      <c r="E301" s="12" t="s">
        <v>847</v>
      </c>
      <c r="F301" s="13" t="s">
        <v>4157</v>
      </c>
      <c r="G301" s="12"/>
      <c r="H301" s="12" t="s">
        <v>3908</v>
      </c>
      <c r="I301" s="12" t="s">
        <v>110</v>
      </c>
      <c r="J301" s="12" t="s">
        <v>112</v>
      </c>
      <c r="K301" s="18" t="s">
        <v>7263</v>
      </c>
      <c r="L301" s="18" t="s">
        <v>112</v>
      </c>
      <c r="M301" s="18" t="s">
        <v>112</v>
      </c>
      <c r="N301" s="18" t="s">
        <v>7264</v>
      </c>
      <c r="O301" s="12" t="s">
        <v>7252</v>
      </c>
      <c r="P301" s="12" t="s">
        <v>498</v>
      </c>
      <c r="Q301" s="12" t="s">
        <v>838</v>
      </c>
      <c r="R301" s="19" t="n">
        <f aca="false">COUNTIF(Dati!$B$2:$B$1216,A301)</f>
        <v>5</v>
      </c>
    </row>
    <row r="302" customFormat="false" ht="15" hidden="false" customHeight="false" outlineLevel="0" collapsed="false">
      <c r="A302" s="12" t="s">
        <v>4349</v>
      </c>
      <c r="B302" s="12" t="s">
        <v>845</v>
      </c>
      <c r="C302" s="12" t="s">
        <v>4350</v>
      </c>
      <c r="D302" s="12" t="s">
        <v>181</v>
      </c>
      <c r="E302" s="12" t="s">
        <v>181</v>
      </c>
      <c r="F302" s="13" t="s">
        <v>4351</v>
      </c>
      <c r="G302" s="12"/>
      <c r="H302" s="12" t="s">
        <v>4319</v>
      </c>
      <c r="I302" s="12" t="s">
        <v>110</v>
      </c>
      <c r="J302" s="12" t="s">
        <v>112</v>
      </c>
      <c r="K302" s="18" t="s">
        <v>282</v>
      </c>
      <c r="L302" s="18" t="s">
        <v>112</v>
      </c>
      <c r="M302" s="18" t="s">
        <v>112</v>
      </c>
      <c r="N302" s="18" t="s">
        <v>282</v>
      </c>
      <c r="O302" s="12" t="s">
        <v>282</v>
      </c>
      <c r="P302" s="12" t="s">
        <v>284</v>
      </c>
      <c r="Q302" s="12" t="s">
        <v>838</v>
      </c>
      <c r="R302" s="19" t="n">
        <f aca="false">COUNTIF(Dati!$B$2:$B$1216,A302)</f>
        <v>1</v>
      </c>
    </row>
    <row r="303" customFormat="false" ht="15" hidden="false" customHeight="false" outlineLevel="0" collapsed="false">
      <c r="A303" s="12" t="s">
        <v>4357</v>
      </c>
      <c r="B303" s="12" t="s">
        <v>845</v>
      </c>
      <c r="C303" s="12" t="s">
        <v>4358</v>
      </c>
      <c r="D303" s="12" t="s">
        <v>847</v>
      </c>
      <c r="E303" s="12" t="s">
        <v>847</v>
      </c>
      <c r="F303" s="13" t="s">
        <v>4359</v>
      </c>
      <c r="G303" s="12"/>
      <c r="H303" s="12" t="s">
        <v>4319</v>
      </c>
      <c r="I303" s="12" t="s">
        <v>110</v>
      </c>
      <c r="J303" s="12" t="s">
        <v>112</v>
      </c>
      <c r="K303" s="18" t="s">
        <v>282</v>
      </c>
      <c r="L303" s="18" t="s">
        <v>112</v>
      </c>
      <c r="M303" s="18" t="s">
        <v>112</v>
      </c>
      <c r="N303" s="18" t="s">
        <v>282</v>
      </c>
      <c r="O303" s="12" t="s">
        <v>282</v>
      </c>
      <c r="P303" s="12" t="s">
        <v>284</v>
      </c>
      <c r="Q303" s="12" t="s">
        <v>838</v>
      </c>
      <c r="R303" s="19" t="n">
        <f aca="false">COUNTIF(Dati!$B$2:$B$1216,A303)</f>
        <v>3</v>
      </c>
    </row>
    <row r="304" customFormat="false" ht="23.85" hidden="false" customHeight="false" outlineLevel="0" collapsed="false">
      <c r="A304" s="12" t="s">
        <v>4724</v>
      </c>
      <c r="B304" s="12" t="s">
        <v>845</v>
      </c>
      <c r="C304" s="12" t="s">
        <v>7268</v>
      </c>
      <c r="D304" s="12" t="s">
        <v>808</v>
      </c>
      <c r="E304" s="12" t="s">
        <v>808</v>
      </c>
      <c r="F304" s="13" t="s">
        <v>4726</v>
      </c>
      <c r="G304" s="12"/>
      <c r="H304" s="12" t="s">
        <v>4615</v>
      </c>
      <c r="I304" s="12" t="s">
        <v>110</v>
      </c>
      <c r="J304" s="12" t="s">
        <v>112</v>
      </c>
      <c r="K304" s="18" t="s">
        <v>7269</v>
      </c>
      <c r="L304" s="18" t="s">
        <v>112</v>
      </c>
      <c r="M304" s="18" t="s">
        <v>112</v>
      </c>
      <c r="N304" s="18" t="s">
        <v>282</v>
      </c>
      <c r="O304" s="12" t="s">
        <v>7252</v>
      </c>
      <c r="P304" s="12" t="s">
        <v>498</v>
      </c>
      <c r="Q304" s="12" t="s">
        <v>838</v>
      </c>
      <c r="R304" s="19" t="n">
        <f aca="false">COUNTIF(Dati!$B$2:$B$1216,A304)</f>
        <v>2</v>
      </c>
    </row>
    <row r="305" customFormat="false" ht="23.85" hidden="false" customHeight="false" outlineLevel="0" collapsed="false">
      <c r="A305" s="12" t="s">
        <v>4733</v>
      </c>
      <c r="B305" s="12" t="s">
        <v>845</v>
      </c>
      <c r="C305" s="12" t="s">
        <v>7270</v>
      </c>
      <c r="D305" s="12" t="s">
        <v>181</v>
      </c>
      <c r="E305" s="12" t="s">
        <v>1593</v>
      </c>
      <c r="F305" s="13" t="s">
        <v>4726</v>
      </c>
      <c r="G305" s="12"/>
      <c r="H305" s="12" t="s">
        <v>4615</v>
      </c>
      <c r="I305" s="12" t="s">
        <v>110</v>
      </c>
      <c r="J305" s="12" t="s">
        <v>112</v>
      </c>
      <c r="K305" s="18" t="s">
        <v>7269</v>
      </c>
      <c r="L305" s="18" t="s">
        <v>112</v>
      </c>
      <c r="M305" s="18" t="s">
        <v>112</v>
      </c>
      <c r="N305" s="18" t="s">
        <v>282</v>
      </c>
      <c r="O305" s="12" t="s">
        <v>7252</v>
      </c>
      <c r="P305" s="12" t="s">
        <v>498</v>
      </c>
      <c r="Q305" s="12" t="s">
        <v>838</v>
      </c>
      <c r="R305" s="19" t="n">
        <f aca="false">COUNTIF(Dati!$B$2:$B$1216,A305)</f>
        <v>2</v>
      </c>
    </row>
    <row r="306" customFormat="false" ht="23.85" hidden="false" customHeight="false" outlineLevel="0" collapsed="false">
      <c r="A306" s="12" t="s">
        <v>4740</v>
      </c>
      <c r="B306" s="12" t="s">
        <v>845</v>
      </c>
      <c r="C306" s="12" t="s">
        <v>4741</v>
      </c>
      <c r="D306" s="12" t="s">
        <v>847</v>
      </c>
      <c r="E306" s="12" t="s">
        <v>847</v>
      </c>
      <c r="F306" s="13" t="s">
        <v>4742</v>
      </c>
      <c r="G306" s="12"/>
      <c r="H306" s="12" t="s">
        <v>4615</v>
      </c>
      <c r="I306" s="12" t="s">
        <v>110</v>
      </c>
      <c r="J306" s="12" t="s">
        <v>112</v>
      </c>
      <c r="K306" s="18" t="s">
        <v>7269</v>
      </c>
      <c r="L306" s="18" t="s">
        <v>112</v>
      </c>
      <c r="M306" s="18" t="s">
        <v>112</v>
      </c>
      <c r="N306" s="18" t="s">
        <v>282</v>
      </c>
      <c r="O306" s="12" t="s">
        <v>7252</v>
      </c>
      <c r="P306" s="12" t="s">
        <v>498</v>
      </c>
      <c r="Q306" s="12" t="s">
        <v>838</v>
      </c>
      <c r="R306" s="19" t="n">
        <f aca="false">COUNTIF(Dati!$B$2:$B$1216,A306)</f>
        <v>2</v>
      </c>
    </row>
    <row r="307" customFormat="false" ht="15" hidden="false" customHeight="false" outlineLevel="0" collapsed="false">
      <c r="A307" s="12" t="s">
        <v>5217</v>
      </c>
      <c r="B307" s="12" t="s">
        <v>845</v>
      </c>
      <c r="C307" s="12" t="s">
        <v>5218</v>
      </c>
      <c r="D307" s="12" t="s">
        <v>181</v>
      </c>
      <c r="E307" s="12" t="s">
        <v>5219</v>
      </c>
      <c r="F307" s="13" t="s">
        <v>5220</v>
      </c>
      <c r="G307" s="12"/>
      <c r="H307" s="12" t="s">
        <v>5161</v>
      </c>
      <c r="I307" s="12" t="s">
        <v>110</v>
      </c>
      <c r="J307" s="12" t="s">
        <v>112</v>
      </c>
      <c r="K307" s="18" t="s">
        <v>282</v>
      </c>
      <c r="L307" s="18" t="s">
        <v>112</v>
      </c>
      <c r="M307" s="18" t="s">
        <v>112</v>
      </c>
      <c r="N307" s="18" t="s">
        <v>282</v>
      </c>
      <c r="O307" s="12" t="s">
        <v>7052</v>
      </c>
      <c r="P307" s="12" t="s">
        <v>284</v>
      </c>
      <c r="Q307" s="12" t="s">
        <v>838</v>
      </c>
      <c r="R307" s="19" t="n">
        <f aca="false">COUNTIF(Dati!$B$2:$B$1216,A307)</f>
        <v>3</v>
      </c>
    </row>
    <row r="308" customFormat="false" ht="15" hidden="false" customHeight="false" outlineLevel="0" collapsed="false">
      <c r="A308" s="12" t="s">
        <v>5230</v>
      </c>
      <c r="B308" s="12" t="s">
        <v>845</v>
      </c>
      <c r="C308" s="12" t="s">
        <v>5231</v>
      </c>
      <c r="D308" s="12" t="s">
        <v>847</v>
      </c>
      <c r="E308" s="12" t="s">
        <v>847</v>
      </c>
      <c r="F308" s="13" t="s">
        <v>5232</v>
      </c>
      <c r="G308" s="12"/>
      <c r="H308" s="12" t="s">
        <v>5161</v>
      </c>
      <c r="I308" s="12" t="s">
        <v>110</v>
      </c>
      <c r="J308" s="12" t="s">
        <v>112</v>
      </c>
      <c r="K308" s="18" t="s">
        <v>282</v>
      </c>
      <c r="L308" s="18" t="s">
        <v>112</v>
      </c>
      <c r="M308" s="18" t="s">
        <v>112</v>
      </c>
      <c r="N308" s="18" t="s">
        <v>282</v>
      </c>
      <c r="O308" s="12" t="s">
        <v>7052</v>
      </c>
      <c r="P308" s="12" t="s">
        <v>284</v>
      </c>
      <c r="Q308" s="12" t="s">
        <v>838</v>
      </c>
      <c r="R308" s="19" t="n">
        <f aca="false">COUNTIF(Dati!$B$2:$B$1216,A308)</f>
        <v>3</v>
      </c>
    </row>
    <row r="309" customFormat="false" ht="15" hidden="false" customHeight="false" outlineLevel="0" collapsed="false">
      <c r="A309" s="12" t="s">
        <v>5660</v>
      </c>
      <c r="B309" s="12" t="s">
        <v>845</v>
      </c>
      <c r="C309" s="12" t="s">
        <v>5661</v>
      </c>
      <c r="D309" s="12" t="s">
        <v>7133</v>
      </c>
      <c r="E309" s="12" t="s">
        <v>847</v>
      </c>
      <c r="F309" s="13" t="s">
        <v>5662</v>
      </c>
      <c r="G309" s="12"/>
      <c r="H309" s="12" t="s">
        <v>5397</v>
      </c>
      <c r="I309" s="12" t="s">
        <v>110</v>
      </c>
      <c r="J309" s="12" t="s">
        <v>112</v>
      </c>
      <c r="K309" s="18" t="s">
        <v>282</v>
      </c>
      <c r="L309" s="18" t="s">
        <v>112</v>
      </c>
      <c r="M309" s="18" t="s">
        <v>112</v>
      </c>
      <c r="N309" s="18" t="s">
        <v>282</v>
      </c>
      <c r="O309" s="12" t="s">
        <v>7052</v>
      </c>
      <c r="P309" s="12" t="s">
        <v>284</v>
      </c>
      <c r="Q309" s="12" t="s">
        <v>838</v>
      </c>
      <c r="R309" s="19" t="n">
        <f aca="false">COUNTIF(Dati!$B$2:$B$1216,A309)</f>
        <v>6</v>
      </c>
    </row>
    <row r="310" customFormat="false" ht="91" hidden="false" customHeight="false" outlineLevel="0" collapsed="false">
      <c r="A310" s="12" t="s">
        <v>7271</v>
      </c>
      <c r="B310" s="12" t="s">
        <v>845</v>
      </c>
      <c r="C310" s="12" t="s">
        <v>7272</v>
      </c>
      <c r="D310" s="12" t="s">
        <v>847</v>
      </c>
      <c r="E310" s="12" t="s">
        <v>847</v>
      </c>
      <c r="F310" s="13" t="s">
        <v>6208</v>
      </c>
      <c r="G310" s="13" t="s">
        <v>6208</v>
      </c>
      <c r="H310" s="12" t="s">
        <v>6599</v>
      </c>
      <c r="I310" s="12" t="s">
        <v>3261</v>
      </c>
      <c r="J310" s="12" t="s">
        <v>617</v>
      </c>
      <c r="K310" s="18" t="s">
        <v>7244</v>
      </c>
      <c r="L310" s="18" t="s">
        <v>6587</v>
      </c>
      <c r="M310" s="18" t="s">
        <v>282</v>
      </c>
      <c r="N310" s="18" t="s">
        <v>282</v>
      </c>
      <c r="O310" s="12" t="s">
        <v>7273</v>
      </c>
      <c r="P310" s="12" t="s">
        <v>498</v>
      </c>
      <c r="Q310" s="12" t="s">
        <v>838</v>
      </c>
      <c r="R310" s="19" t="n">
        <f aca="false">COUNTIF(Dati!$B$2:$B$1216,A310)</f>
        <v>0</v>
      </c>
    </row>
    <row r="311" customFormat="false" ht="91" hidden="false" customHeight="false" outlineLevel="0" collapsed="false">
      <c r="A311" s="12" t="s">
        <v>6231</v>
      </c>
      <c r="B311" s="12" t="s">
        <v>845</v>
      </c>
      <c r="C311" s="12" t="s">
        <v>6232</v>
      </c>
      <c r="D311" s="12" t="s">
        <v>847</v>
      </c>
      <c r="E311" s="12" t="s">
        <v>847</v>
      </c>
      <c r="F311" s="13" t="s">
        <v>6233</v>
      </c>
      <c r="G311" s="13" t="s">
        <v>6208</v>
      </c>
      <c r="H311" s="12" t="s">
        <v>7274</v>
      </c>
      <c r="I311" s="12" t="s">
        <v>3261</v>
      </c>
      <c r="J311" s="12" t="s">
        <v>617</v>
      </c>
      <c r="K311" s="18" t="s">
        <v>7244</v>
      </c>
      <c r="L311" s="18" t="s">
        <v>6587</v>
      </c>
      <c r="M311" s="18" t="s">
        <v>282</v>
      </c>
      <c r="N311" s="18" t="s">
        <v>7275</v>
      </c>
      <c r="O311" s="12" t="s">
        <v>6588</v>
      </c>
      <c r="P311" s="12" t="s">
        <v>498</v>
      </c>
      <c r="Q311" s="12" t="s">
        <v>838</v>
      </c>
      <c r="R311" s="19" t="n">
        <f aca="false">COUNTIF(Dati!$B$2:$B$1216,A311)</f>
        <v>3</v>
      </c>
    </row>
    <row r="312" customFormat="false" ht="23.85" hidden="false" customHeight="false" outlineLevel="0" collapsed="false">
      <c r="A312" s="12" t="s">
        <v>6464</v>
      </c>
      <c r="B312" s="12" t="s">
        <v>6465</v>
      </c>
      <c r="C312" s="12" t="s">
        <v>6466</v>
      </c>
      <c r="D312" s="12" t="s">
        <v>847</v>
      </c>
      <c r="E312" s="12" t="s">
        <v>847</v>
      </c>
      <c r="F312" s="13" t="s">
        <v>6467</v>
      </c>
      <c r="G312" s="12"/>
      <c r="H312" s="12" t="s">
        <v>7276</v>
      </c>
      <c r="I312" s="12" t="s">
        <v>110</v>
      </c>
      <c r="J312" s="12" t="s">
        <v>112</v>
      </c>
      <c r="K312" s="18" t="s">
        <v>7200</v>
      </c>
      <c r="L312" s="18" t="s">
        <v>6587</v>
      </c>
      <c r="M312" s="18" t="s">
        <v>282</v>
      </c>
      <c r="N312" s="18" t="s">
        <v>7277</v>
      </c>
      <c r="O312" s="12" t="s">
        <v>6588</v>
      </c>
      <c r="P312" s="12" t="s">
        <v>284</v>
      </c>
      <c r="Q312" s="12" t="s">
        <v>838</v>
      </c>
      <c r="R312" s="19" t="n">
        <f aca="false">COUNTIF(Dati!$B$2:$B$1216,A312)</f>
        <v>1</v>
      </c>
    </row>
    <row r="313" customFormat="false" ht="23.85" hidden="false" customHeight="false" outlineLevel="0" collapsed="false">
      <c r="A313" s="12" t="s">
        <v>1305</v>
      </c>
      <c r="B313" s="12" t="s">
        <v>1306</v>
      </c>
      <c r="C313" s="12" t="s">
        <v>7278</v>
      </c>
      <c r="D313" s="12" t="s">
        <v>181</v>
      </c>
      <c r="E313" s="12" t="s">
        <v>1308</v>
      </c>
      <c r="F313" s="13" t="s">
        <v>1309</v>
      </c>
      <c r="G313" s="12"/>
      <c r="H313" s="12" t="s">
        <v>1293</v>
      </c>
      <c r="I313" s="12" t="s">
        <v>394</v>
      </c>
      <c r="J313" s="12" t="s">
        <v>112</v>
      </c>
      <c r="K313" s="18" t="s">
        <v>7279</v>
      </c>
      <c r="L313" s="18" t="s">
        <v>112</v>
      </c>
      <c r="M313" s="18" t="s">
        <v>112</v>
      </c>
      <c r="N313" s="18" t="s">
        <v>282</v>
      </c>
      <c r="O313" s="12" t="s">
        <v>6732</v>
      </c>
      <c r="P313" s="12" t="s">
        <v>115</v>
      </c>
      <c r="Q313" s="12" t="s">
        <v>116</v>
      </c>
      <c r="R313" s="19" t="n">
        <f aca="false">COUNTIF(Dati!$B$2:$B$1216,A313)</f>
        <v>1</v>
      </c>
    </row>
    <row r="314" customFormat="false" ht="23.85" hidden="false" customHeight="false" outlineLevel="0" collapsed="false">
      <c r="A314" s="12" t="s">
        <v>2535</v>
      </c>
      <c r="B314" s="12" t="s">
        <v>1971</v>
      </c>
      <c r="C314" s="12" t="s">
        <v>2536</v>
      </c>
      <c r="D314" s="12" t="s">
        <v>7280</v>
      </c>
      <c r="E314" s="12" t="s">
        <v>181</v>
      </c>
      <c r="F314" s="13" t="s">
        <v>2537</v>
      </c>
      <c r="G314" s="12"/>
      <c r="H314" s="12" t="s">
        <v>2125</v>
      </c>
      <c r="I314" s="12" t="s">
        <v>110</v>
      </c>
      <c r="J314" s="12" t="s">
        <v>112</v>
      </c>
      <c r="K314" s="18" t="s">
        <v>7281</v>
      </c>
      <c r="L314" s="18" t="s">
        <v>112</v>
      </c>
      <c r="M314" s="18" t="s">
        <v>112</v>
      </c>
      <c r="N314" s="18" t="s">
        <v>282</v>
      </c>
      <c r="O314" s="12" t="s">
        <v>282</v>
      </c>
      <c r="P314" s="12" t="s">
        <v>284</v>
      </c>
      <c r="Q314" s="12" t="s">
        <v>838</v>
      </c>
      <c r="R314" s="19" t="n">
        <f aca="false">COUNTIF(Dati!$B$2:$B$1216,A314)</f>
        <v>2</v>
      </c>
    </row>
    <row r="315" customFormat="false" ht="23.85" hidden="false" customHeight="false" outlineLevel="0" collapsed="false">
      <c r="A315" s="12" t="s">
        <v>1970</v>
      </c>
      <c r="B315" s="12" t="s">
        <v>1971</v>
      </c>
      <c r="C315" s="12" t="s">
        <v>1972</v>
      </c>
      <c r="D315" s="12" t="s">
        <v>7280</v>
      </c>
      <c r="E315" s="12" t="s">
        <v>181</v>
      </c>
      <c r="F315" s="13" t="s">
        <v>1973</v>
      </c>
      <c r="G315" s="12"/>
      <c r="H315" s="12" t="s">
        <v>1663</v>
      </c>
      <c r="I315" s="12" t="s">
        <v>110</v>
      </c>
      <c r="J315" s="12" t="s">
        <v>112</v>
      </c>
      <c r="K315" s="18" t="s">
        <v>7281</v>
      </c>
      <c r="L315" s="18" t="s">
        <v>112</v>
      </c>
      <c r="M315" s="18" t="s">
        <v>112</v>
      </c>
      <c r="N315" s="18" t="s">
        <v>282</v>
      </c>
      <c r="O315" s="12" t="s">
        <v>282</v>
      </c>
      <c r="P315" s="12" t="s">
        <v>284</v>
      </c>
      <c r="Q315" s="12" t="s">
        <v>838</v>
      </c>
      <c r="R315" s="19" t="n">
        <f aca="false">COUNTIF(Dati!$B$2:$B$1216,A315)</f>
        <v>2</v>
      </c>
    </row>
    <row r="316" customFormat="false" ht="23.85" hidden="false" customHeight="false" outlineLevel="0" collapsed="false">
      <c r="A316" s="12" t="s">
        <v>1431</v>
      </c>
      <c r="B316" s="12" t="s">
        <v>1432</v>
      </c>
      <c r="C316" s="12" t="s">
        <v>1433</v>
      </c>
      <c r="D316" s="12" t="s">
        <v>7282</v>
      </c>
      <c r="E316" s="12" t="s">
        <v>1434</v>
      </c>
      <c r="F316" s="13" t="s">
        <v>1442</v>
      </c>
      <c r="G316" s="12"/>
      <c r="H316" s="12" t="s">
        <v>1371</v>
      </c>
      <c r="I316" s="12" t="s">
        <v>394</v>
      </c>
      <c r="J316" s="12" t="s">
        <v>112</v>
      </c>
      <c r="K316" s="18" t="s">
        <v>1439</v>
      </c>
      <c r="L316" s="18" t="s">
        <v>112</v>
      </c>
      <c r="M316" s="18" t="s">
        <v>112</v>
      </c>
      <c r="N316" s="18" t="s">
        <v>282</v>
      </c>
      <c r="O316" s="12" t="s">
        <v>6608</v>
      </c>
      <c r="P316" s="12" t="s">
        <v>115</v>
      </c>
      <c r="Q316" s="12" t="s">
        <v>116</v>
      </c>
      <c r="R316" s="19" t="n">
        <f aca="false">COUNTIF(Dati!$B$2:$B$1216,A316)</f>
        <v>4</v>
      </c>
    </row>
    <row r="317" customFormat="false" ht="23.85" hidden="false" customHeight="false" outlineLevel="0" collapsed="false">
      <c r="A317" s="12" t="s">
        <v>1316</v>
      </c>
      <c r="B317" s="12" t="s">
        <v>1317</v>
      </c>
      <c r="C317" s="12" t="s">
        <v>7283</v>
      </c>
      <c r="D317" s="12" t="s">
        <v>808</v>
      </c>
      <c r="E317" s="12" t="s">
        <v>1319</v>
      </c>
      <c r="F317" s="13" t="s">
        <v>1320</v>
      </c>
      <c r="G317" s="12"/>
      <c r="H317" s="12" t="s">
        <v>1293</v>
      </c>
      <c r="I317" s="12" t="s">
        <v>394</v>
      </c>
      <c r="J317" s="12" t="s">
        <v>112</v>
      </c>
      <c r="K317" s="18" t="s">
        <v>7284</v>
      </c>
      <c r="L317" s="18" t="s">
        <v>112</v>
      </c>
      <c r="M317" s="18" t="s">
        <v>112</v>
      </c>
      <c r="N317" s="18" t="s">
        <v>282</v>
      </c>
      <c r="O317" s="12" t="s">
        <v>6732</v>
      </c>
      <c r="P317" s="12" t="s">
        <v>115</v>
      </c>
      <c r="Q317" s="12" t="s">
        <v>116</v>
      </c>
      <c r="R317" s="19" t="n">
        <f aca="false">COUNTIF(Dati!$B$2:$B$1216,A317)</f>
        <v>1</v>
      </c>
    </row>
    <row r="318" customFormat="false" ht="35.05" hidden="false" customHeight="false" outlineLevel="0" collapsed="false">
      <c r="A318" s="12" t="s">
        <v>4504</v>
      </c>
      <c r="B318" s="12" t="s">
        <v>4505</v>
      </c>
      <c r="C318" s="12" t="s">
        <v>7285</v>
      </c>
      <c r="D318" s="12" t="s">
        <v>7286</v>
      </c>
      <c r="E318" s="12" t="s">
        <v>4507</v>
      </c>
      <c r="F318" s="13" t="s">
        <v>4508</v>
      </c>
      <c r="G318" s="12"/>
      <c r="H318" s="12" t="s">
        <v>4407</v>
      </c>
      <c r="I318" s="12" t="s">
        <v>394</v>
      </c>
      <c r="J318" s="12" t="s">
        <v>112</v>
      </c>
      <c r="K318" s="18" t="s">
        <v>7287</v>
      </c>
      <c r="L318" s="18" t="s">
        <v>112</v>
      </c>
      <c r="M318" s="18" t="s">
        <v>112</v>
      </c>
      <c r="N318" s="18" t="s">
        <v>282</v>
      </c>
      <c r="O318" s="12" t="s">
        <v>7288</v>
      </c>
      <c r="P318" s="12" t="s">
        <v>115</v>
      </c>
      <c r="Q318" s="12" t="s">
        <v>116</v>
      </c>
      <c r="R318" s="19" t="n">
        <f aca="false">COUNTIF(Dati!$B$2:$B$1216,A318)</f>
        <v>1</v>
      </c>
    </row>
    <row r="319" customFormat="false" ht="35.05" hidden="false" customHeight="false" outlineLevel="0" collapsed="false">
      <c r="A319" s="12" t="s">
        <v>4516</v>
      </c>
      <c r="B319" s="12" t="s">
        <v>4505</v>
      </c>
      <c r="C319" s="12" t="s">
        <v>7289</v>
      </c>
      <c r="D319" s="12" t="s">
        <v>7286</v>
      </c>
      <c r="E319" s="12" t="s">
        <v>4518</v>
      </c>
      <c r="F319" s="13" t="s">
        <v>4519</v>
      </c>
      <c r="G319" s="12"/>
      <c r="H319" s="12" t="s">
        <v>4407</v>
      </c>
      <c r="I319" s="12" t="s">
        <v>394</v>
      </c>
      <c r="J319" s="12" t="s">
        <v>112</v>
      </c>
      <c r="K319" s="18" t="s">
        <v>7287</v>
      </c>
      <c r="L319" s="18" t="s">
        <v>112</v>
      </c>
      <c r="M319" s="18" t="s">
        <v>112</v>
      </c>
      <c r="N319" s="18" t="s">
        <v>282</v>
      </c>
      <c r="O319" s="12" t="s">
        <v>7288</v>
      </c>
      <c r="P319" s="12" t="s">
        <v>115</v>
      </c>
      <c r="Q319" s="12" t="s">
        <v>116</v>
      </c>
      <c r="R319" s="19" t="n">
        <f aca="false">COUNTIF(Dati!$B$2:$B$1216,A319)</f>
        <v>1</v>
      </c>
    </row>
    <row r="320" customFormat="false" ht="23.85" hidden="false" customHeight="false" outlineLevel="0" collapsed="false">
      <c r="A320" s="12" t="s">
        <v>5679</v>
      </c>
      <c r="B320" s="12" t="s">
        <v>5680</v>
      </c>
      <c r="C320" s="12" t="s">
        <v>5681</v>
      </c>
      <c r="D320" s="12" t="s">
        <v>181</v>
      </c>
      <c r="E320" s="12" t="s">
        <v>3665</v>
      </c>
      <c r="F320" s="13" t="s">
        <v>5682</v>
      </c>
      <c r="G320" s="12"/>
      <c r="H320" s="12" t="s">
        <v>5397</v>
      </c>
      <c r="I320" s="12" t="s">
        <v>394</v>
      </c>
      <c r="J320" s="12" t="s">
        <v>112</v>
      </c>
      <c r="K320" s="18" t="s">
        <v>5685</v>
      </c>
      <c r="L320" s="18" t="s">
        <v>112</v>
      </c>
      <c r="M320" s="18" t="s">
        <v>112</v>
      </c>
      <c r="N320" s="18" t="s">
        <v>6867</v>
      </c>
      <c r="O320" s="12" t="s">
        <v>6608</v>
      </c>
      <c r="P320" s="12" t="s">
        <v>115</v>
      </c>
      <c r="Q320" s="12" t="s">
        <v>116</v>
      </c>
      <c r="R320" s="19" t="n">
        <f aca="false">COUNTIF(Dati!$B$2:$B$1216,A320)</f>
        <v>1</v>
      </c>
    </row>
    <row r="321" customFormat="false" ht="23.85" hidden="false" customHeight="false" outlineLevel="0" collapsed="false">
      <c r="A321" s="12" t="s">
        <v>5688</v>
      </c>
      <c r="B321" s="12" t="s">
        <v>5680</v>
      </c>
      <c r="C321" s="12" t="s">
        <v>5689</v>
      </c>
      <c r="D321" s="12" t="s">
        <v>1667</v>
      </c>
      <c r="E321" s="12" t="s">
        <v>5690</v>
      </c>
      <c r="F321" s="13" t="s">
        <v>5691</v>
      </c>
      <c r="G321" s="12"/>
      <c r="H321" s="12" t="s">
        <v>5397</v>
      </c>
      <c r="I321" s="12" t="s">
        <v>394</v>
      </c>
      <c r="J321" s="12" t="s">
        <v>112</v>
      </c>
      <c r="K321" s="18" t="s">
        <v>5694</v>
      </c>
      <c r="L321" s="18" t="s">
        <v>112</v>
      </c>
      <c r="M321" s="18" t="s">
        <v>112</v>
      </c>
      <c r="N321" s="18" t="s">
        <v>6867</v>
      </c>
      <c r="O321" s="12" t="s">
        <v>6608</v>
      </c>
      <c r="P321" s="12" t="s">
        <v>407</v>
      </c>
      <c r="Q321" s="12" t="s">
        <v>116</v>
      </c>
      <c r="R321" s="19" t="n">
        <f aca="false">COUNTIF(Dati!$B$2:$B$1216,A321)</f>
        <v>2</v>
      </c>
    </row>
    <row r="322" customFormat="false" ht="35.05" hidden="false" customHeight="false" outlineLevel="0" collapsed="false">
      <c r="A322" s="12" t="s">
        <v>4857</v>
      </c>
      <c r="B322" s="12" t="s">
        <v>7290</v>
      </c>
      <c r="C322" s="12" t="s">
        <v>7291</v>
      </c>
      <c r="D322" s="12" t="s">
        <v>583</v>
      </c>
      <c r="E322" s="12" t="s">
        <v>583</v>
      </c>
      <c r="F322" s="13" t="s">
        <v>4860</v>
      </c>
      <c r="G322" s="12"/>
      <c r="H322" s="12" t="s">
        <v>4777</v>
      </c>
      <c r="I322" s="12" t="s">
        <v>394</v>
      </c>
      <c r="J322" s="12" t="s">
        <v>112</v>
      </c>
      <c r="K322" s="18" t="s">
        <v>7292</v>
      </c>
      <c r="L322" s="18" t="s">
        <v>112</v>
      </c>
      <c r="M322" s="18" t="s">
        <v>112</v>
      </c>
      <c r="N322" s="18" t="s">
        <v>282</v>
      </c>
      <c r="O322" s="12" t="s">
        <v>6732</v>
      </c>
      <c r="P322" s="12" t="s">
        <v>115</v>
      </c>
      <c r="Q322" s="12" t="s">
        <v>116</v>
      </c>
      <c r="R322" s="19" t="n">
        <f aca="false">COUNTIF(Dati!$B$2:$B$1216,A322)</f>
        <v>4</v>
      </c>
    </row>
    <row r="323" customFormat="false" ht="23.85" hidden="false" customHeight="false" outlineLevel="0" collapsed="false">
      <c r="A323" s="12" t="s">
        <v>3849</v>
      </c>
      <c r="B323" s="12" t="s">
        <v>7293</v>
      </c>
      <c r="C323" s="12" t="s">
        <v>7294</v>
      </c>
      <c r="D323" s="12" t="s">
        <v>2899</v>
      </c>
      <c r="E323" s="12" t="s">
        <v>2899</v>
      </c>
      <c r="F323" s="13" t="s">
        <v>3852</v>
      </c>
      <c r="G323" s="12"/>
      <c r="H323" s="12" t="s">
        <v>3762</v>
      </c>
      <c r="I323" s="12" t="s">
        <v>394</v>
      </c>
      <c r="J323" s="12" t="s">
        <v>112</v>
      </c>
      <c r="K323" s="18" t="s">
        <v>7295</v>
      </c>
      <c r="L323" s="18" t="s">
        <v>112</v>
      </c>
      <c r="M323" s="18" t="s">
        <v>112</v>
      </c>
      <c r="N323" s="18" t="s">
        <v>282</v>
      </c>
      <c r="O323" s="12" t="s">
        <v>6608</v>
      </c>
      <c r="P323" s="12" t="s">
        <v>498</v>
      </c>
      <c r="Q323" s="12" t="s">
        <v>116</v>
      </c>
      <c r="R323" s="19" t="n">
        <f aca="false">COUNTIF(Dati!$B$2:$B$1216,A323)</f>
        <v>1</v>
      </c>
    </row>
    <row r="324" customFormat="false" ht="23.85" hidden="false" customHeight="false" outlineLevel="0" collapsed="false">
      <c r="A324" s="12" t="s">
        <v>3349</v>
      </c>
      <c r="B324" s="12" t="s">
        <v>3350</v>
      </c>
      <c r="C324" s="12" t="s">
        <v>3351</v>
      </c>
      <c r="D324" s="12" t="s">
        <v>1239</v>
      </c>
      <c r="E324" s="12" t="s">
        <v>3352</v>
      </c>
      <c r="F324" s="13" t="s">
        <v>3353</v>
      </c>
      <c r="G324" s="12"/>
      <c r="H324" s="12" t="s">
        <v>2850</v>
      </c>
      <c r="I324" s="12" t="s">
        <v>110</v>
      </c>
      <c r="J324" s="12" t="s">
        <v>112</v>
      </c>
      <c r="K324" s="18" t="s">
        <v>3359</v>
      </c>
      <c r="L324" s="18" t="s">
        <v>112</v>
      </c>
      <c r="M324" s="18" t="s">
        <v>112</v>
      </c>
      <c r="N324" s="18" t="s">
        <v>282</v>
      </c>
      <c r="O324" s="12" t="s">
        <v>282</v>
      </c>
      <c r="P324" s="12" t="s">
        <v>284</v>
      </c>
      <c r="Q324" s="12" t="s">
        <v>499</v>
      </c>
      <c r="R324" s="19" t="n">
        <f aca="false">COUNTIF(Dati!$B$2:$B$1216,A324)</f>
        <v>1</v>
      </c>
    </row>
    <row r="325" customFormat="false" ht="15" hidden="false" customHeight="false" outlineLevel="0" collapsed="false">
      <c r="A325" s="12" t="s">
        <v>2693</v>
      </c>
      <c r="B325" s="12" t="s">
        <v>2694</v>
      </c>
      <c r="C325" s="12" t="s">
        <v>2695</v>
      </c>
      <c r="D325" s="12" t="s">
        <v>181</v>
      </c>
      <c r="E325" s="12" t="s">
        <v>1188</v>
      </c>
      <c r="F325" s="13" t="s">
        <v>2696</v>
      </c>
      <c r="G325" s="12"/>
      <c r="H325" s="12" t="s">
        <v>2657</v>
      </c>
      <c r="I325" s="12" t="s">
        <v>110</v>
      </c>
      <c r="J325" s="12" t="s">
        <v>281</v>
      </c>
      <c r="K325" s="18" t="s">
        <v>282</v>
      </c>
      <c r="L325" s="18" t="s">
        <v>112</v>
      </c>
      <c r="M325" s="18" t="s">
        <v>112</v>
      </c>
      <c r="N325" s="18" t="s">
        <v>282</v>
      </c>
      <c r="O325" s="12" t="s">
        <v>282</v>
      </c>
      <c r="P325" s="12" t="s">
        <v>284</v>
      </c>
      <c r="Q325" s="12" t="s">
        <v>499</v>
      </c>
      <c r="R325" s="19" t="n">
        <f aca="false">COUNTIF(Dati!$B$2:$B$1216,A325)</f>
        <v>1</v>
      </c>
    </row>
    <row r="326" customFormat="false" ht="15" hidden="false" customHeight="false" outlineLevel="0" collapsed="false">
      <c r="A326" s="12" t="s">
        <v>3638</v>
      </c>
      <c r="B326" s="12" t="s">
        <v>3639</v>
      </c>
      <c r="C326" s="12" t="s">
        <v>3640</v>
      </c>
      <c r="D326" s="12" t="s">
        <v>847</v>
      </c>
      <c r="E326" s="12" t="s">
        <v>3641</v>
      </c>
      <c r="F326" s="13" t="s">
        <v>3642</v>
      </c>
      <c r="G326" s="12"/>
      <c r="H326" s="12" t="s">
        <v>3612</v>
      </c>
      <c r="I326" s="12" t="s">
        <v>394</v>
      </c>
      <c r="J326" s="12" t="s">
        <v>112</v>
      </c>
      <c r="K326" s="18" t="s">
        <v>1196</v>
      </c>
      <c r="L326" s="18" t="s">
        <v>112</v>
      </c>
      <c r="M326" s="18" t="s">
        <v>112</v>
      </c>
      <c r="N326" s="18" t="s">
        <v>282</v>
      </c>
      <c r="O326" s="12" t="s">
        <v>6608</v>
      </c>
      <c r="P326" s="12" t="s">
        <v>284</v>
      </c>
      <c r="Q326" s="12" t="s">
        <v>116</v>
      </c>
      <c r="R326" s="19" t="n">
        <f aca="false">COUNTIF(Dati!$B$2:$B$1216,A326)</f>
        <v>1</v>
      </c>
    </row>
    <row r="327" customFormat="false" ht="15" hidden="false" customHeight="false" outlineLevel="0" collapsed="false">
      <c r="A327" s="12" t="s">
        <v>3690</v>
      </c>
      <c r="B327" s="12" t="s">
        <v>3691</v>
      </c>
      <c r="C327" s="12" t="s">
        <v>3692</v>
      </c>
      <c r="D327" s="12" t="s">
        <v>808</v>
      </c>
      <c r="E327" s="12" t="s">
        <v>3693</v>
      </c>
      <c r="F327" s="13" t="s">
        <v>3694</v>
      </c>
      <c r="G327" s="12"/>
      <c r="H327" s="12" t="s">
        <v>3648</v>
      </c>
      <c r="I327" s="12" t="s">
        <v>394</v>
      </c>
      <c r="J327" s="12" t="s">
        <v>112</v>
      </c>
      <c r="K327" s="18" t="s">
        <v>3697</v>
      </c>
      <c r="L327" s="18" t="s">
        <v>112</v>
      </c>
      <c r="M327" s="18" t="s">
        <v>112</v>
      </c>
      <c r="N327" s="18" t="s">
        <v>282</v>
      </c>
      <c r="O327" s="12" t="s">
        <v>6608</v>
      </c>
      <c r="P327" s="12" t="s">
        <v>115</v>
      </c>
      <c r="Q327" s="12" t="s">
        <v>116</v>
      </c>
      <c r="R327" s="19" t="n">
        <f aca="false">COUNTIF(Dati!$B$2:$B$1216,A327)</f>
        <v>1</v>
      </c>
    </row>
    <row r="328" customFormat="false" ht="15" hidden="false" customHeight="false" outlineLevel="0" collapsed="false">
      <c r="A328" s="12" t="s">
        <v>5241</v>
      </c>
      <c r="B328" s="12" t="s">
        <v>5242</v>
      </c>
      <c r="C328" s="12" t="s">
        <v>5243</v>
      </c>
      <c r="D328" s="12" t="s">
        <v>7296</v>
      </c>
      <c r="E328" s="12" t="s">
        <v>5244</v>
      </c>
      <c r="F328" s="13" t="s">
        <v>5245</v>
      </c>
      <c r="G328" s="12"/>
      <c r="H328" s="12" t="s">
        <v>5161</v>
      </c>
      <c r="I328" s="12" t="s">
        <v>394</v>
      </c>
      <c r="J328" s="12" t="s">
        <v>281</v>
      </c>
      <c r="K328" s="18" t="s">
        <v>282</v>
      </c>
      <c r="L328" s="18" t="s">
        <v>112</v>
      </c>
      <c r="M328" s="18" t="s">
        <v>112</v>
      </c>
      <c r="N328" s="18" t="s">
        <v>282</v>
      </c>
      <c r="O328" s="12" t="s">
        <v>6608</v>
      </c>
      <c r="P328" s="12" t="s">
        <v>284</v>
      </c>
      <c r="Q328" s="12" t="s">
        <v>499</v>
      </c>
      <c r="R328" s="19" t="n">
        <f aca="false">COUNTIF(Dati!$B$2:$B$1216,A328)</f>
        <v>3</v>
      </c>
    </row>
    <row r="329" customFormat="false" ht="15" hidden="false" customHeight="false" outlineLevel="0" collapsed="false">
      <c r="A329" s="12" t="s">
        <v>5260</v>
      </c>
      <c r="B329" s="12" t="s">
        <v>5242</v>
      </c>
      <c r="C329" s="12" t="s">
        <v>5261</v>
      </c>
      <c r="D329" s="12" t="s">
        <v>7297</v>
      </c>
      <c r="E329" s="12" t="s">
        <v>330</v>
      </c>
      <c r="F329" s="13" t="s">
        <v>5262</v>
      </c>
      <c r="G329" s="12"/>
      <c r="H329" s="12" t="s">
        <v>5161</v>
      </c>
      <c r="I329" s="12" t="s">
        <v>394</v>
      </c>
      <c r="J329" s="12" t="s">
        <v>281</v>
      </c>
      <c r="K329" s="18" t="s">
        <v>282</v>
      </c>
      <c r="L329" s="18" t="s">
        <v>112</v>
      </c>
      <c r="M329" s="18" t="s">
        <v>112</v>
      </c>
      <c r="N329" s="18" t="s">
        <v>282</v>
      </c>
      <c r="O329" s="12" t="s">
        <v>6608</v>
      </c>
      <c r="P329" s="12" t="s">
        <v>284</v>
      </c>
      <c r="Q329" s="12" t="s">
        <v>499</v>
      </c>
      <c r="R329" s="19" t="n">
        <f aca="false">COUNTIF(Dati!$B$2:$B$1216,A329)</f>
        <v>1</v>
      </c>
    </row>
    <row r="330" customFormat="false" ht="35.05" hidden="false" customHeight="false" outlineLevel="0" collapsed="false">
      <c r="A330" s="12" t="s">
        <v>4524</v>
      </c>
      <c r="B330" s="12" t="s">
        <v>4525</v>
      </c>
      <c r="C330" s="12" t="s">
        <v>4526</v>
      </c>
      <c r="D330" s="12" t="s">
        <v>847</v>
      </c>
      <c r="E330" s="12" t="s">
        <v>847</v>
      </c>
      <c r="F330" s="13" t="s">
        <v>4527</v>
      </c>
      <c r="G330" s="12"/>
      <c r="H330" s="12" t="s">
        <v>4407</v>
      </c>
      <c r="I330" s="12" t="s">
        <v>394</v>
      </c>
      <c r="J330" s="12" t="s">
        <v>112</v>
      </c>
      <c r="K330" s="18" t="s">
        <v>7218</v>
      </c>
      <c r="L330" s="18" t="s">
        <v>112</v>
      </c>
      <c r="M330" s="18" t="s">
        <v>7219</v>
      </c>
      <c r="N330" s="18" t="s">
        <v>282</v>
      </c>
      <c r="O330" s="12" t="s">
        <v>7220</v>
      </c>
      <c r="P330" s="12" t="s">
        <v>115</v>
      </c>
      <c r="Q330" s="12" t="s">
        <v>116</v>
      </c>
      <c r="R330" s="19" t="n">
        <f aca="false">COUNTIF(Dati!$B$2:$B$1216,A330)</f>
        <v>2</v>
      </c>
    </row>
    <row r="331" customFormat="false" ht="46.25" hidden="false" customHeight="false" outlineLevel="0" collapsed="false">
      <c r="A331" s="12" t="s">
        <v>4535</v>
      </c>
      <c r="B331" s="12" t="s">
        <v>4525</v>
      </c>
      <c r="C331" s="12" t="s">
        <v>7298</v>
      </c>
      <c r="D331" s="12" t="s">
        <v>583</v>
      </c>
      <c r="E331" s="12" t="s">
        <v>583</v>
      </c>
      <c r="F331" s="13" t="s">
        <v>4538</v>
      </c>
      <c r="G331" s="12"/>
      <c r="H331" s="12" t="s">
        <v>4407</v>
      </c>
      <c r="I331" s="12" t="s">
        <v>394</v>
      </c>
      <c r="J331" s="12" t="s">
        <v>112</v>
      </c>
      <c r="K331" s="18" t="s">
        <v>7299</v>
      </c>
      <c r="L331" s="18" t="s">
        <v>7300</v>
      </c>
      <c r="M331" s="18" t="s">
        <v>112</v>
      </c>
      <c r="N331" s="18" t="s">
        <v>282</v>
      </c>
      <c r="O331" s="12" t="s">
        <v>282</v>
      </c>
      <c r="P331" s="12" t="s">
        <v>115</v>
      </c>
      <c r="Q331" s="12" t="s">
        <v>116</v>
      </c>
      <c r="R331" s="19" t="n">
        <f aca="false">COUNTIF(Dati!$B$2:$B$1216,A331)</f>
        <v>1</v>
      </c>
    </row>
    <row r="332" customFormat="false" ht="46.25" hidden="false" customHeight="false" outlineLevel="0" collapsed="false">
      <c r="A332" s="12" t="s">
        <v>4544</v>
      </c>
      <c r="B332" s="12" t="s">
        <v>4525</v>
      </c>
      <c r="C332" s="12" t="s">
        <v>7301</v>
      </c>
      <c r="D332" s="12" t="s">
        <v>808</v>
      </c>
      <c r="E332" s="12" t="s">
        <v>808</v>
      </c>
      <c r="F332" s="13" t="s">
        <v>4546</v>
      </c>
      <c r="G332" s="12"/>
      <c r="H332" s="12" t="s">
        <v>4407</v>
      </c>
      <c r="I332" s="12" t="s">
        <v>394</v>
      </c>
      <c r="J332" s="12" t="s">
        <v>112</v>
      </c>
      <c r="K332" s="18" t="s">
        <v>7299</v>
      </c>
      <c r="L332" s="18" t="s">
        <v>7302</v>
      </c>
      <c r="M332" s="18" t="s">
        <v>112</v>
      </c>
      <c r="N332" s="18" t="s">
        <v>282</v>
      </c>
      <c r="O332" s="12" t="s">
        <v>282</v>
      </c>
      <c r="P332" s="12" t="s">
        <v>115</v>
      </c>
      <c r="Q332" s="12" t="s">
        <v>116</v>
      </c>
      <c r="R332" s="19" t="n">
        <f aca="false">COUNTIF(Dati!$B$2:$B$1216,A332)</f>
        <v>1</v>
      </c>
    </row>
    <row r="333" customFormat="false" ht="35.05" hidden="false" customHeight="false" outlineLevel="0" collapsed="false">
      <c r="A333" s="12" t="s">
        <v>2039</v>
      </c>
      <c r="B333" s="12" t="s">
        <v>7303</v>
      </c>
      <c r="C333" s="12" t="s">
        <v>7304</v>
      </c>
      <c r="D333" s="12" t="s">
        <v>7305</v>
      </c>
      <c r="E333" s="12" t="s">
        <v>1750</v>
      </c>
      <c r="F333" s="13" t="s">
        <v>2042</v>
      </c>
      <c r="G333" s="12"/>
      <c r="H333" s="12" t="s">
        <v>1663</v>
      </c>
      <c r="I333" s="12" t="s">
        <v>679</v>
      </c>
      <c r="J333" s="12" t="s">
        <v>201</v>
      </c>
      <c r="K333" s="18" t="s">
        <v>7306</v>
      </c>
      <c r="L333" s="18" t="s">
        <v>7307</v>
      </c>
      <c r="M333" s="18" t="s">
        <v>7308</v>
      </c>
      <c r="N333" s="18" t="s">
        <v>282</v>
      </c>
      <c r="O333" s="12" t="s">
        <v>282</v>
      </c>
      <c r="P333" s="12" t="s">
        <v>498</v>
      </c>
      <c r="Q333" s="12" t="s">
        <v>116</v>
      </c>
      <c r="R333" s="19" t="n">
        <f aca="false">COUNTIF(Dati!$B$2:$B$1216,A333)</f>
        <v>1</v>
      </c>
    </row>
    <row r="334" customFormat="false" ht="35.05" hidden="false" customHeight="false" outlineLevel="0" collapsed="false">
      <c r="A334" s="12" t="s">
        <v>2051</v>
      </c>
      <c r="B334" s="12" t="s">
        <v>7303</v>
      </c>
      <c r="C334" s="12" t="s">
        <v>7309</v>
      </c>
      <c r="D334" s="12" t="s">
        <v>7310</v>
      </c>
      <c r="E334" s="12" t="s">
        <v>2053</v>
      </c>
      <c r="F334" s="13" t="s">
        <v>2054</v>
      </c>
      <c r="G334" s="12"/>
      <c r="H334" s="12" t="s">
        <v>1663</v>
      </c>
      <c r="I334" s="12" t="s">
        <v>679</v>
      </c>
      <c r="J334" s="12" t="s">
        <v>112</v>
      </c>
      <c r="K334" s="18" t="s">
        <v>7311</v>
      </c>
      <c r="L334" s="18" t="s">
        <v>112</v>
      </c>
      <c r="M334" s="18" t="s">
        <v>7312</v>
      </c>
      <c r="N334" s="18" t="s">
        <v>282</v>
      </c>
      <c r="O334" s="12" t="s">
        <v>282</v>
      </c>
      <c r="P334" s="12" t="s">
        <v>498</v>
      </c>
      <c r="Q334" s="12" t="s">
        <v>116</v>
      </c>
      <c r="R334" s="19" t="n">
        <f aca="false">COUNTIF(Dati!$B$2:$B$1216,A334)</f>
        <v>1</v>
      </c>
    </row>
    <row r="335" customFormat="false" ht="15" hidden="false" customHeight="false" outlineLevel="0" collapsed="false">
      <c r="A335" s="12" t="s">
        <v>2703</v>
      </c>
      <c r="B335" s="12" t="s">
        <v>2704</v>
      </c>
      <c r="C335" s="12" t="s">
        <v>2705</v>
      </c>
      <c r="D335" s="12" t="s">
        <v>181</v>
      </c>
      <c r="E335" s="12" t="s">
        <v>2706</v>
      </c>
      <c r="F335" s="13" t="s">
        <v>2707</v>
      </c>
      <c r="G335" s="12"/>
      <c r="H335" s="12" t="s">
        <v>2657</v>
      </c>
      <c r="I335" s="12" t="s">
        <v>110</v>
      </c>
      <c r="J335" s="12" t="s">
        <v>112</v>
      </c>
      <c r="K335" s="18" t="s">
        <v>2711</v>
      </c>
      <c r="L335" s="18" t="s">
        <v>112</v>
      </c>
      <c r="M335" s="18" t="s">
        <v>112</v>
      </c>
      <c r="N335" s="18" t="s">
        <v>282</v>
      </c>
      <c r="O335" s="12" t="s">
        <v>282</v>
      </c>
      <c r="P335" s="12" t="s">
        <v>284</v>
      </c>
      <c r="Q335" s="12" t="s">
        <v>499</v>
      </c>
      <c r="R335" s="19" t="n">
        <f aca="false">COUNTIF(Dati!$B$2:$B$1216,A335)</f>
        <v>1</v>
      </c>
    </row>
    <row r="336" customFormat="false" ht="57.45" hidden="false" customHeight="false" outlineLevel="0" collapsed="false">
      <c r="A336" s="12" t="s">
        <v>608</v>
      </c>
      <c r="B336" s="12" t="s">
        <v>609</v>
      </c>
      <c r="C336" s="12" t="s">
        <v>610</v>
      </c>
      <c r="D336" s="12" t="s">
        <v>847</v>
      </c>
      <c r="E336" s="12" t="s">
        <v>611</v>
      </c>
      <c r="F336" s="13" t="s">
        <v>612</v>
      </c>
      <c r="G336" s="12"/>
      <c r="H336" s="12" t="s">
        <v>7313</v>
      </c>
      <c r="I336" s="12" t="s">
        <v>110</v>
      </c>
      <c r="J336" s="12" t="s">
        <v>617</v>
      </c>
      <c r="K336" s="18" t="s">
        <v>7314</v>
      </c>
      <c r="L336" s="18" t="s">
        <v>6587</v>
      </c>
      <c r="M336" s="18" t="s">
        <v>7315</v>
      </c>
      <c r="N336" s="18" t="s">
        <v>282</v>
      </c>
      <c r="O336" s="12" t="s">
        <v>6649</v>
      </c>
      <c r="P336" s="12" t="s">
        <v>115</v>
      </c>
      <c r="Q336" s="12" t="s">
        <v>116</v>
      </c>
      <c r="R336" s="19" t="n">
        <f aca="false">COUNTIF(Dati!$B$2:$B$1216,A336)</f>
        <v>2</v>
      </c>
    </row>
    <row r="337" customFormat="false" ht="57.45" hidden="false" customHeight="false" outlineLevel="0" collapsed="false">
      <c r="A337" s="12" t="s">
        <v>6248</v>
      </c>
      <c r="B337" s="12" t="s">
        <v>6249</v>
      </c>
      <c r="C337" s="12" t="s">
        <v>6250</v>
      </c>
      <c r="D337" s="12" t="s">
        <v>5532</v>
      </c>
      <c r="E337" s="12" t="s">
        <v>5532</v>
      </c>
      <c r="F337" s="13" t="s">
        <v>6251</v>
      </c>
      <c r="G337" s="13" t="s">
        <v>7316</v>
      </c>
      <c r="H337" s="12" t="s">
        <v>5753</v>
      </c>
      <c r="I337" s="12" t="s">
        <v>110</v>
      </c>
      <c r="J337" s="12" t="s">
        <v>112</v>
      </c>
      <c r="K337" s="18" t="s">
        <v>7317</v>
      </c>
      <c r="L337" s="18" t="s">
        <v>6587</v>
      </c>
      <c r="M337" s="18" t="s">
        <v>282</v>
      </c>
      <c r="N337" s="18" t="s">
        <v>7318</v>
      </c>
      <c r="O337" s="12" t="s">
        <v>6649</v>
      </c>
      <c r="P337" s="12" t="s">
        <v>498</v>
      </c>
      <c r="Q337" s="12" t="s">
        <v>116</v>
      </c>
      <c r="R337" s="19" t="n">
        <f aca="false">COUNTIF(Dati!$B$2:$B$1216,A337)</f>
        <v>4</v>
      </c>
    </row>
    <row r="338" customFormat="false" ht="35.05" hidden="false" customHeight="false" outlineLevel="0" collapsed="false">
      <c r="A338" s="12" t="s">
        <v>1821</v>
      </c>
      <c r="B338" s="12" t="s">
        <v>1822</v>
      </c>
      <c r="C338" s="12" t="s">
        <v>1823</v>
      </c>
      <c r="D338" s="12" t="s">
        <v>1824</v>
      </c>
      <c r="E338" s="12" t="s">
        <v>1824</v>
      </c>
      <c r="F338" s="13" t="s">
        <v>1825</v>
      </c>
      <c r="G338" s="12"/>
      <c r="H338" s="12" t="s">
        <v>1663</v>
      </c>
      <c r="I338" s="12" t="s">
        <v>110</v>
      </c>
      <c r="J338" s="12" t="s">
        <v>281</v>
      </c>
      <c r="K338" s="18" t="s">
        <v>7319</v>
      </c>
      <c r="L338" s="18" t="s">
        <v>112</v>
      </c>
      <c r="M338" s="18" t="s">
        <v>112</v>
      </c>
      <c r="N338" s="18" t="s">
        <v>7320</v>
      </c>
      <c r="O338" s="12" t="s">
        <v>282</v>
      </c>
      <c r="P338" s="12" t="s">
        <v>284</v>
      </c>
      <c r="Q338" s="12" t="s">
        <v>499</v>
      </c>
      <c r="R338" s="19" t="n">
        <f aca="false">COUNTIF(Dati!$B$2:$B$1216,A338)</f>
        <v>5</v>
      </c>
    </row>
    <row r="339" customFormat="false" ht="23.85" hidden="false" customHeight="false" outlineLevel="0" collapsed="false">
      <c r="A339" s="12" t="s">
        <v>1924</v>
      </c>
      <c r="B339" s="12" t="s">
        <v>1925</v>
      </c>
      <c r="C339" s="12" t="s">
        <v>1926</v>
      </c>
      <c r="D339" s="12" t="s">
        <v>1927</v>
      </c>
      <c r="E339" s="12" t="s">
        <v>1927</v>
      </c>
      <c r="F339" s="13" t="s">
        <v>1928</v>
      </c>
      <c r="G339" s="12"/>
      <c r="H339" s="12" t="s">
        <v>1663</v>
      </c>
      <c r="I339" s="12" t="s">
        <v>110</v>
      </c>
      <c r="J339" s="12" t="s">
        <v>281</v>
      </c>
      <c r="K339" s="18" t="s">
        <v>7321</v>
      </c>
      <c r="L339" s="18" t="s">
        <v>112</v>
      </c>
      <c r="M339" s="18" t="s">
        <v>112</v>
      </c>
      <c r="N339" s="18" t="s">
        <v>282</v>
      </c>
      <c r="O339" s="12" t="s">
        <v>282</v>
      </c>
      <c r="P339" s="12" t="s">
        <v>284</v>
      </c>
      <c r="Q339" s="12" t="s">
        <v>499</v>
      </c>
      <c r="R339" s="19" t="n">
        <f aca="false">COUNTIF(Dati!$B$2:$B$1216,A339)</f>
        <v>4</v>
      </c>
    </row>
    <row r="340" customFormat="false" ht="35.05" hidden="false" customHeight="false" outlineLevel="0" collapsed="false">
      <c r="A340" s="12" t="s">
        <v>873</v>
      </c>
      <c r="B340" s="12" t="s">
        <v>874</v>
      </c>
      <c r="C340" s="12" t="s">
        <v>875</v>
      </c>
      <c r="D340" s="12" t="s">
        <v>181</v>
      </c>
      <c r="E340" s="12" t="s">
        <v>181</v>
      </c>
      <c r="F340" s="13" t="s">
        <v>876</v>
      </c>
      <c r="G340" s="12"/>
      <c r="H340" s="12" t="s">
        <v>757</v>
      </c>
      <c r="I340" s="12" t="s">
        <v>394</v>
      </c>
      <c r="J340" s="12" t="s">
        <v>112</v>
      </c>
      <c r="K340" s="18" t="s">
        <v>7322</v>
      </c>
      <c r="L340" s="18" t="s">
        <v>112</v>
      </c>
      <c r="M340" s="18" t="s">
        <v>7323</v>
      </c>
      <c r="N340" s="18" t="s">
        <v>7324</v>
      </c>
      <c r="O340" s="12" t="s">
        <v>6608</v>
      </c>
      <c r="P340" s="12" t="s">
        <v>115</v>
      </c>
      <c r="Q340" s="12" t="s">
        <v>116</v>
      </c>
      <c r="R340" s="19" t="n">
        <f aca="false">COUNTIF(Dati!$B$2:$B$1216,A340)</f>
        <v>2</v>
      </c>
    </row>
    <row r="341" customFormat="false" ht="23.85" hidden="false" customHeight="false" outlineLevel="0" collapsed="false">
      <c r="A341" s="12" t="s">
        <v>886</v>
      </c>
      <c r="B341" s="12" t="s">
        <v>7325</v>
      </c>
      <c r="C341" s="12" t="s">
        <v>7326</v>
      </c>
      <c r="D341" s="12" t="s">
        <v>889</v>
      </c>
      <c r="E341" s="12" t="s">
        <v>889</v>
      </c>
      <c r="F341" s="13" t="s">
        <v>890</v>
      </c>
      <c r="G341" s="12"/>
      <c r="H341" s="12" t="s">
        <v>757</v>
      </c>
      <c r="I341" s="12" t="s">
        <v>394</v>
      </c>
      <c r="J341" s="12" t="s">
        <v>281</v>
      </c>
      <c r="K341" s="18" t="s">
        <v>7327</v>
      </c>
      <c r="L341" s="18" t="s">
        <v>112</v>
      </c>
      <c r="M341" s="18" t="s">
        <v>112</v>
      </c>
      <c r="N341" s="18" t="s">
        <v>282</v>
      </c>
      <c r="O341" s="12" t="s">
        <v>282</v>
      </c>
      <c r="P341" s="12" t="s">
        <v>498</v>
      </c>
      <c r="Q341" s="12" t="s">
        <v>499</v>
      </c>
      <c r="R341" s="19" t="n">
        <f aca="false">COUNTIF(Dati!$B$2:$B$1216,A341)</f>
        <v>1</v>
      </c>
    </row>
    <row r="342" customFormat="false" ht="23.85" hidden="false" customHeight="false" outlineLevel="0" collapsed="false">
      <c r="A342" s="12" t="s">
        <v>897</v>
      </c>
      <c r="B342" s="12" t="s">
        <v>7328</v>
      </c>
      <c r="C342" s="12" t="s">
        <v>7329</v>
      </c>
      <c r="D342" s="12" t="s">
        <v>808</v>
      </c>
      <c r="E342" s="12" t="s">
        <v>808</v>
      </c>
      <c r="F342" s="13" t="s">
        <v>900</v>
      </c>
      <c r="G342" s="12"/>
      <c r="H342" s="12" t="s">
        <v>757</v>
      </c>
      <c r="I342" s="12" t="s">
        <v>394</v>
      </c>
      <c r="J342" s="12" t="s">
        <v>112</v>
      </c>
      <c r="K342" s="18" t="s">
        <v>7330</v>
      </c>
      <c r="L342" s="18" t="s">
        <v>112</v>
      </c>
      <c r="M342" s="18" t="s">
        <v>7331</v>
      </c>
      <c r="N342" s="18" t="s">
        <v>7332</v>
      </c>
      <c r="O342" s="12" t="s">
        <v>6608</v>
      </c>
      <c r="P342" s="12" t="s">
        <v>115</v>
      </c>
      <c r="Q342" s="12" t="s">
        <v>116</v>
      </c>
      <c r="R342" s="19" t="n">
        <f aca="false">COUNTIF(Dati!$B$2:$B$1216,A342)</f>
        <v>5</v>
      </c>
    </row>
    <row r="343" customFormat="false" ht="46.25" hidden="false" customHeight="false" outlineLevel="0" collapsed="false">
      <c r="A343" s="12" t="s">
        <v>912</v>
      </c>
      <c r="B343" s="12" t="s">
        <v>7333</v>
      </c>
      <c r="C343" s="12" t="s">
        <v>7334</v>
      </c>
      <c r="D343" s="12" t="s">
        <v>181</v>
      </c>
      <c r="E343" s="12" t="s">
        <v>915</v>
      </c>
      <c r="F343" s="13" t="s">
        <v>916</v>
      </c>
      <c r="G343" s="13" t="s">
        <v>7335</v>
      </c>
      <c r="H343" s="12" t="s">
        <v>757</v>
      </c>
      <c r="I343" s="12" t="s">
        <v>394</v>
      </c>
      <c r="J343" s="12" t="s">
        <v>112</v>
      </c>
      <c r="K343" s="18" t="s">
        <v>7336</v>
      </c>
      <c r="L343" s="18" t="s">
        <v>112</v>
      </c>
      <c r="M343" s="18" t="s">
        <v>7331</v>
      </c>
      <c r="N343" s="18" t="s">
        <v>7337</v>
      </c>
      <c r="O343" s="12" t="s">
        <v>6608</v>
      </c>
      <c r="P343" s="12" t="s">
        <v>115</v>
      </c>
      <c r="Q343" s="12" t="s">
        <v>116</v>
      </c>
      <c r="R343" s="19" t="n">
        <f aca="false">COUNTIF(Dati!$B$2:$B$1216,A343)</f>
        <v>5</v>
      </c>
    </row>
    <row r="344" customFormat="false" ht="57.45" hidden="false" customHeight="false" outlineLevel="0" collapsed="false">
      <c r="A344" s="12" t="s">
        <v>4176</v>
      </c>
      <c r="B344" s="12" t="s">
        <v>4177</v>
      </c>
      <c r="C344" s="12" t="s">
        <v>7338</v>
      </c>
      <c r="D344" s="12" t="s">
        <v>2970</v>
      </c>
      <c r="E344" s="12" t="s">
        <v>4179</v>
      </c>
      <c r="F344" s="13" t="s">
        <v>4180</v>
      </c>
      <c r="G344" s="12"/>
      <c r="H344" s="12" t="s">
        <v>3908</v>
      </c>
      <c r="I344" s="12" t="s">
        <v>110</v>
      </c>
      <c r="J344" s="12" t="s">
        <v>112</v>
      </c>
      <c r="K344" s="18" t="s">
        <v>7339</v>
      </c>
      <c r="L344" s="18" t="s">
        <v>112</v>
      </c>
      <c r="M344" s="18" t="s">
        <v>112</v>
      </c>
      <c r="N344" s="18" t="s">
        <v>3995</v>
      </c>
      <c r="O344" s="12" t="s">
        <v>7340</v>
      </c>
      <c r="P344" s="12" t="s">
        <v>498</v>
      </c>
      <c r="Q344" s="12" t="s">
        <v>838</v>
      </c>
      <c r="R344" s="19" t="n">
        <f aca="false">COUNTIF(Dati!$B$2:$B$1216,A344)</f>
        <v>7</v>
      </c>
    </row>
    <row r="345" customFormat="false" ht="57.45" hidden="false" customHeight="false" outlineLevel="0" collapsed="false">
      <c r="A345" s="12" t="s">
        <v>3981</v>
      </c>
      <c r="B345" s="12" t="s">
        <v>4177</v>
      </c>
      <c r="C345" s="12" t="s">
        <v>7341</v>
      </c>
      <c r="D345" s="12" t="s">
        <v>808</v>
      </c>
      <c r="E345" s="12" t="s">
        <v>808</v>
      </c>
      <c r="F345" s="13" t="s">
        <v>7342</v>
      </c>
      <c r="G345" s="12"/>
      <c r="H345" s="12" t="s">
        <v>3908</v>
      </c>
      <c r="I345" s="12" t="s">
        <v>110</v>
      </c>
      <c r="J345" s="12" t="s">
        <v>112</v>
      </c>
      <c r="K345" s="18" t="s">
        <v>7343</v>
      </c>
      <c r="L345" s="18" t="s">
        <v>7344</v>
      </c>
      <c r="M345" s="18" t="s">
        <v>112</v>
      </c>
      <c r="N345" s="18" t="s">
        <v>3995</v>
      </c>
      <c r="O345" s="12" t="s">
        <v>7340</v>
      </c>
      <c r="P345" s="12" t="s">
        <v>498</v>
      </c>
      <c r="Q345" s="12" t="s">
        <v>499</v>
      </c>
      <c r="R345" s="19" t="n">
        <f aca="false">COUNTIF(Dati!$B$2:$B$1216,A345)</f>
        <v>4</v>
      </c>
    </row>
    <row r="346" customFormat="false" ht="57.45" hidden="false" customHeight="false" outlineLevel="0" collapsed="false">
      <c r="A346" s="12" t="s">
        <v>4204</v>
      </c>
      <c r="B346" s="12" t="s">
        <v>4177</v>
      </c>
      <c r="C346" s="12" t="s">
        <v>7345</v>
      </c>
      <c r="D346" s="12" t="s">
        <v>181</v>
      </c>
      <c r="E346" s="12" t="s">
        <v>915</v>
      </c>
      <c r="F346" s="13" t="s">
        <v>7346</v>
      </c>
      <c r="G346" s="13" t="s">
        <v>7347</v>
      </c>
      <c r="H346" s="12" t="s">
        <v>3908</v>
      </c>
      <c r="I346" s="12" t="s">
        <v>110</v>
      </c>
      <c r="J346" s="12" t="s">
        <v>112</v>
      </c>
      <c r="K346" s="18" t="s">
        <v>7348</v>
      </c>
      <c r="L346" s="18" t="s">
        <v>112</v>
      </c>
      <c r="M346" s="18" t="s">
        <v>112</v>
      </c>
      <c r="N346" s="18" t="s">
        <v>3995</v>
      </c>
      <c r="O346" s="12" t="s">
        <v>7349</v>
      </c>
      <c r="P346" s="12" t="s">
        <v>498</v>
      </c>
      <c r="Q346" s="12" t="s">
        <v>499</v>
      </c>
      <c r="R346" s="19" t="n">
        <f aca="false">COUNTIF(Dati!$B$2:$B$1216,A346)</f>
        <v>3</v>
      </c>
    </row>
    <row r="347" customFormat="false" ht="35.05" hidden="false" customHeight="false" outlineLevel="0" collapsed="false">
      <c r="A347" s="12" t="s">
        <v>4630</v>
      </c>
      <c r="B347" s="12" t="s">
        <v>7350</v>
      </c>
      <c r="C347" s="12" t="s">
        <v>7351</v>
      </c>
      <c r="D347" s="12" t="s">
        <v>2970</v>
      </c>
      <c r="E347" s="12" t="s">
        <v>4633</v>
      </c>
      <c r="F347" s="13" t="s">
        <v>4634</v>
      </c>
      <c r="G347" s="12"/>
      <c r="H347" s="12" t="s">
        <v>4615</v>
      </c>
      <c r="I347" s="12" t="s">
        <v>394</v>
      </c>
      <c r="J347" s="12" t="s">
        <v>112</v>
      </c>
      <c r="K347" s="18" t="s">
        <v>7352</v>
      </c>
      <c r="L347" s="18" t="s">
        <v>112</v>
      </c>
      <c r="M347" s="18" t="s">
        <v>112</v>
      </c>
      <c r="N347" s="18" t="s">
        <v>282</v>
      </c>
      <c r="O347" s="12" t="s">
        <v>6732</v>
      </c>
      <c r="P347" s="12" t="s">
        <v>115</v>
      </c>
      <c r="Q347" s="12" t="s">
        <v>116</v>
      </c>
      <c r="R347" s="19" t="n">
        <f aca="false">COUNTIF(Dati!$B$2:$B$1216,A347)</f>
        <v>2</v>
      </c>
    </row>
    <row r="348" customFormat="false" ht="35.05" hidden="false" customHeight="false" outlineLevel="0" collapsed="false">
      <c r="A348" s="12" t="s">
        <v>3362</v>
      </c>
      <c r="B348" s="12" t="s">
        <v>3363</v>
      </c>
      <c r="C348" s="12" t="s">
        <v>3364</v>
      </c>
      <c r="D348" s="12" t="s">
        <v>2899</v>
      </c>
      <c r="E348" s="12" t="s">
        <v>2899</v>
      </c>
      <c r="F348" s="13" t="s">
        <v>3365</v>
      </c>
      <c r="G348" s="12"/>
      <c r="H348" s="12" t="s">
        <v>2850</v>
      </c>
      <c r="I348" s="12" t="s">
        <v>110</v>
      </c>
      <c r="J348" s="12" t="s">
        <v>112</v>
      </c>
      <c r="K348" s="18" t="s">
        <v>3371</v>
      </c>
      <c r="L348" s="18" t="s">
        <v>7353</v>
      </c>
      <c r="M348" s="18" t="s">
        <v>7354</v>
      </c>
      <c r="N348" s="18" t="s">
        <v>7355</v>
      </c>
      <c r="O348" s="12" t="s">
        <v>282</v>
      </c>
      <c r="P348" s="12" t="s">
        <v>498</v>
      </c>
      <c r="Q348" s="12" t="s">
        <v>116</v>
      </c>
      <c r="R348" s="19" t="n">
        <f aca="false">COUNTIF(Dati!$B$2:$B$1216,A348)</f>
        <v>4</v>
      </c>
    </row>
    <row r="349" customFormat="false" ht="15" hidden="false" customHeight="false" outlineLevel="0" collapsed="false">
      <c r="A349" s="12" t="s">
        <v>3386</v>
      </c>
      <c r="B349" s="12" t="s">
        <v>3363</v>
      </c>
      <c r="C349" s="12" t="s">
        <v>3387</v>
      </c>
      <c r="D349" s="12" t="s">
        <v>1667</v>
      </c>
      <c r="E349" s="12" t="s">
        <v>1667</v>
      </c>
      <c r="F349" s="13" t="s">
        <v>3388</v>
      </c>
      <c r="G349" s="12"/>
      <c r="H349" s="12" t="s">
        <v>2850</v>
      </c>
      <c r="I349" s="12" t="s">
        <v>110</v>
      </c>
      <c r="J349" s="12" t="s">
        <v>112</v>
      </c>
      <c r="K349" s="18" t="s">
        <v>3393</v>
      </c>
      <c r="L349" s="18" t="s">
        <v>112</v>
      </c>
      <c r="M349" s="18" t="s">
        <v>112</v>
      </c>
      <c r="N349" s="18" t="s">
        <v>282</v>
      </c>
      <c r="O349" s="12" t="s">
        <v>282</v>
      </c>
      <c r="P349" s="12" t="s">
        <v>284</v>
      </c>
      <c r="Q349" s="12" t="s">
        <v>116</v>
      </c>
      <c r="R349" s="19" t="n">
        <f aca="false">COUNTIF(Dati!$B$2:$B$1216,A349)</f>
        <v>3</v>
      </c>
    </row>
    <row r="350" customFormat="false" ht="15" hidden="false" customHeight="false" outlineLevel="0" collapsed="false">
      <c r="A350" s="12" t="s">
        <v>3404</v>
      </c>
      <c r="B350" s="12" t="s">
        <v>3363</v>
      </c>
      <c r="C350" s="12" t="s">
        <v>3405</v>
      </c>
      <c r="D350" s="12" t="s">
        <v>773</v>
      </c>
      <c r="E350" s="12" t="s">
        <v>3406</v>
      </c>
      <c r="F350" s="13" t="s">
        <v>3407</v>
      </c>
      <c r="G350" s="12"/>
      <c r="H350" s="12" t="s">
        <v>2850</v>
      </c>
      <c r="I350" s="12" t="s">
        <v>110</v>
      </c>
      <c r="J350" s="12" t="s">
        <v>112</v>
      </c>
      <c r="K350" s="18" t="s">
        <v>3263</v>
      </c>
      <c r="L350" s="18" t="s">
        <v>112</v>
      </c>
      <c r="M350" s="18" t="s">
        <v>112</v>
      </c>
      <c r="N350" s="18" t="s">
        <v>282</v>
      </c>
      <c r="O350" s="12" t="s">
        <v>282</v>
      </c>
      <c r="P350" s="12" t="s">
        <v>284</v>
      </c>
      <c r="Q350" s="12" t="s">
        <v>499</v>
      </c>
      <c r="R350" s="19" t="n">
        <f aca="false">COUNTIF(Dati!$B$2:$B$1216,A350)</f>
        <v>2</v>
      </c>
    </row>
    <row r="351" customFormat="false" ht="15" hidden="false" customHeight="false" outlineLevel="0" collapsed="false">
      <c r="A351" s="12" t="s">
        <v>3418</v>
      </c>
      <c r="B351" s="12" t="s">
        <v>3363</v>
      </c>
      <c r="C351" s="12" t="s">
        <v>3419</v>
      </c>
      <c r="D351" s="12" t="s">
        <v>1239</v>
      </c>
      <c r="E351" s="12" t="s">
        <v>3420</v>
      </c>
      <c r="F351" s="13" t="s">
        <v>3421</v>
      </c>
      <c r="G351" s="12"/>
      <c r="H351" s="12" t="s">
        <v>2850</v>
      </c>
      <c r="I351" s="12" t="s">
        <v>110</v>
      </c>
      <c r="J351" s="12" t="s">
        <v>112</v>
      </c>
      <c r="K351" s="18" t="s">
        <v>3393</v>
      </c>
      <c r="L351" s="18" t="s">
        <v>112</v>
      </c>
      <c r="M351" s="18" t="s">
        <v>112</v>
      </c>
      <c r="N351" s="18" t="s">
        <v>282</v>
      </c>
      <c r="O351" s="12" t="s">
        <v>282</v>
      </c>
      <c r="P351" s="12" t="s">
        <v>284</v>
      </c>
      <c r="Q351" s="12" t="s">
        <v>499</v>
      </c>
      <c r="R351" s="19" t="n">
        <f aca="false">COUNTIF(Dati!$B$2:$B$1216,A351)</f>
        <v>6</v>
      </c>
    </row>
    <row r="352" customFormat="false" ht="15" hidden="false" customHeight="false" outlineLevel="0" collapsed="false">
      <c r="A352" s="12" t="s">
        <v>3450</v>
      </c>
      <c r="B352" s="12" t="s">
        <v>3363</v>
      </c>
      <c r="C352" s="12" t="s">
        <v>3451</v>
      </c>
      <c r="D352" s="12" t="s">
        <v>2970</v>
      </c>
      <c r="E352" s="12" t="s">
        <v>3452</v>
      </c>
      <c r="F352" s="13" t="s">
        <v>3453</v>
      </c>
      <c r="G352" s="12"/>
      <c r="H352" s="12" t="s">
        <v>2850</v>
      </c>
      <c r="I352" s="12" t="s">
        <v>110</v>
      </c>
      <c r="J352" s="12" t="s">
        <v>112</v>
      </c>
      <c r="K352" s="18" t="s">
        <v>3263</v>
      </c>
      <c r="L352" s="18" t="s">
        <v>112</v>
      </c>
      <c r="M352" s="18" t="s">
        <v>112</v>
      </c>
      <c r="N352" s="18" t="s">
        <v>282</v>
      </c>
      <c r="O352" s="12" t="s">
        <v>282</v>
      </c>
      <c r="P352" s="12" t="s">
        <v>284</v>
      </c>
      <c r="Q352" s="12" t="s">
        <v>499</v>
      </c>
      <c r="R352" s="19" t="n">
        <f aca="false">COUNTIF(Dati!$B$2:$B$1216,A352)</f>
        <v>5</v>
      </c>
    </row>
    <row r="353" customFormat="false" ht="15" hidden="false" customHeight="false" outlineLevel="0" collapsed="false">
      <c r="A353" s="12" t="s">
        <v>3474</v>
      </c>
      <c r="B353" s="12" t="s">
        <v>3363</v>
      </c>
      <c r="C353" s="12" t="s">
        <v>3475</v>
      </c>
      <c r="D353" s="12" t="s">
        <v>583</v>
      </c>
      <c r="E353" s="12" t="s">
        <v>3476</v>
      </c>
      <c r="F353" s="13" t="s">
        <v>3477</v>
      </c>
      <c r="G353" s="12"/>
      <c r="H353" s="12" t="s">
        <v>2850</v>
      </c>
      <c r="I353" s="12" t="s">
        <v>110</v>
      </c>
      <c r="J353" s="12" t="s">
        <v>112</v>
      </c>
      <c r="K353" s="18" t="s">
        <v>3263</v>
      </c>
      <c r="L353" s="18" t="s">
        <v>112</v>
      </c>
      <c r="M353" s="18" t="s">
        <v>112</v>
      </c>
      <c r="N353" s="18" t="s">
        <v>282</v>
      </c>
      <c r="O353" s="12" t="s">
        <v>282</v>
      </c>
      <c r="P353" s="12" t="s">
        <v>284</v>
      </c>
      <c r="Q353" s="12" t="s">
        <v>499</v>
      </c>
      <c r="R353" s="19" t="n">
        <f aca="false">COUNTIF(Dati!$B$2:$B$1216,A353)</f>
        <v>7</v>
      </c>
    </row>
    <row r="354" customFormat="false" ht="35.05" hidden="false" customHeight="false" outlineLevel="0" collapsed="false">
      <c r="A354" s="12" t="s">
        <v>3505</v>
      </c>
      <c r="B354" s="12" t="s">
        <v>3363</v>
      </c>
      <c r="C354" s="12" t="s">
        <v>3506</v>
      </c>
      <c r="D354" s="12" t="s">
        <v>808</v>
      </c>
      <c r="E354" s="12" t="s">
        <v>3507</v>
      </c>
      <c r="F354" s="13" t="s">
        <v>3508</v>
      </c>
      <c r="G354" s="13" t="s">
        <v>7356</v>
      </c>
      <c r="H354" s="12" t="s">
        <v>2850</v>
      </c>
      <c r="I354" s="12" t="s">
        <v>3261</v>
      </c>
      <c r="J354" s="12" t="s">
        <v>617</v>
      </c>
      <c r="K354" s="18" t="s">
        <v>3511</v>
      </c>
      <c r="L354" s="18" t="s">
        <v>112</v>
      </c>
      <c r="M354" s="18" t="s">
        <v>7357</v>
      </c>
      <c r="N354" s="18" t="s">
        <v>282</v>
      </c>
      <c r="O354" s="12" t="s">
        <v>7358</v>
      </c>
      <c r="P354" s="12" t="s">
        <v>115</v>
      </c>
      <c r="Q354" s="12" t="s">
        <v>116</v>
      </c>
      <c r="R354" s="19" t="n">
        <f aca="false">COUNTIF(Dati!$B$2:$B$1216,A354)</f>
        <v>3</v>
      </c>
    </row>
    <row r="355" customFormat="false" ht="35.05" hidden="false" customHeight="false" outlineLevel="0" collapsed="false">
      <c r="A355" s="12" t="s">
        <v>3519</v>
      </c>
      <c r="B355" s="12" t="s">
        <v>3363</v>
      </c>
      <c r="C355" s="12" t="s">
        <v>3532</v>
      </c>
      <c r="D355" s="12" t="s">
        <v>181</v>
      </c>
      <c r="E355" s="12" t="s">
        <v>3533</v>
      </c>
      <c r="F355" s="13" t="s">
        <v>3534</v>
      </c>
      <c r="G355" s="13" t="s">
        <v>7359</v>
      </c>
      <c r="H355" s="12" t="s">
        <v>2850</v>
      </c>
      <c r="I355" s="12" t="s">
        <v>3261</v>
      </c>
      <c r="J355" s="12" t="s">
        <v>617</v>
      </c>
      <c r="K355" s="18" t="s">
        <v>3511</v>
      </c>
      <c r="L355" s="18" t="s">
        <v>7360</v>
      </c>
      <c r="M355" s="18" t="s">
        <v>7357</v>
      </c>
      <c r="N355" s="18" t="s">
        <v>7361</v>
      </c>
      <c r="O355" s="12" t="s">
        <v>7358</v>
      </c>
      <c r="P355" s="12" t="s">
        <v>115</v>
      </c>
      <c r="Q355" s="12" t="s">
        <v>499</v>
      </c>
      <c r="R355" s="19" t="n">
        <f aca="false">COUNTIF(Dati!$B$2:$B$1216,A355)</f>
        <v>13</v>
      </c>
    </row>
    <row r="356" customFormat="false" ht="68.65" hidden="false" customHeight="false" outlineLevel="0" collapsed="false">
      <c r="A356" s="12" t="s">
        <v>3569</v>
      </c>
      <c r="B356" s="12" t="s">
        <v>3363</v>
      </c>
      <c r="C356" s="12" t="s">
        <v>3570</v>
      </c>
      <c r="D356" s="12" t="s">
        <v>847</v>
      </c>
      <c r="E356" s="12" t="s">
        <v>3571</v>
      </c>
      <c r="F356" s="13" t="s">
        <v>3572</v>
      </c>
      <c r="G356" s="13" t="s">
        <v>7356</v>
      </c>
      <c r="H356" s="12" t="s">
        <v>2850</v>
      </c>
      <c r="I356" s="12" t="s">
        <v>3261</v>
      </c>
      <c r="J356" s="12" t="s">
        <v>617</v>
      </c>
      <c r="K356" s="18" t="s">
        <v>7362</v>
      </c>
      <c r="L356" s="18" t="s">
        <v>7363</v>
      </c>
      <c r="M356" s="18" t="s">
        <v>7357</v>
      </c>
      <c r="N356" s="18" t="s">
        <v>7364</v>
      </c>
      <c r="O356" s="12" t="s">
        <v>7358</v>
      </c>
      <c r="P356" s="12" t="s">
        <v>115</v>
      </c>
      <c r="Q356" s="12" t="s">
        <v>116</v>
      </c>
      <c r="R356" s="19" t="n">
        <f aca="false">COUNTIF(Dati!$B$2:$B$1216,A356)</f>
        <v>7</v>
      </c>
    </row>
    <row r="357" customFormat="false" ht="23.85" hidden="false" customHeight="false" outlineLevel="0" collapsed="false">
      <c r="A357" s="12" t="s">
        <v>1514</v>
      </c>
      <c r="B357" s="12" t="s">
        <v>1515</v>
      </c>
      <c r="C357" s="12" t="s">
        <v>1517</v>
      </c>
      <c r="D357" s="12" t="s">
        <v>7365</v>
      </c>
      <c r="E357" s="12" t="s">
        <v>1518</v>
      </c>
      <c r="F357" s="13" t="s">
        <v>1519</v>
      </c>
      <c r="G357" s="12"/>
      <c r="H357" s="12" t="s">
        <v>1490</v>
      </c>
      <c r="I357" s="12" t="s">
        <v>679</v>
      </c>
      <c r="J357" s="12" t="s">
        <v>166</v>
      </c>
      <c r="K357" s="18" t="s">
        <v>1523</v>
      </c>
      <c r="L357" s="18" t="s">
        <v>112</v>
      </c>
      <c r="M357" s="18" t="s">
        <v>112</v>
      </c>
      <c r="N357" s="18" t="s">
        <v>282</v>
      </c>
      <c r="O357" s="12" t="s">
        <v>6608</v>
      </c>
      <c r="P357" s="12" t="s">
        <v>115</v>
      </c>
      <c r="Q357" s="12" t="s">
        <v>116</v>
      </c>
      <c r="R357" s="19" t="n">
        <f aca="false">COUNTIF(Dati!$B$2:$B$1216,A357)</f>
        <v>1</v>
      </c>
    </row>
    <row r="358" customFormat="false" ht="46.25" hidden="false" customHeight="false" outlineLevel="0" collapsed="false">
      <c r="A358" s="12" t="s">
        <v>4215</v>
      </c>
      <c r="B358" s="12" t="s">
        <v>4216</v>
      </c>
      <c r="C358" s="12" t="s">
        <v>7366</v>
      </c>
      <c r="D358" s="12" t="s">
        <v>2899</v>
      </c>
      <c r="E358" s="12" t="s">
        <v>4218</v>
      </c>
      <c r="F358" s="13" t="s">
        <v>4219</v>
      </c>
      <c r="G358" s="12"/>
      <c r="H358" s="12" t="s">
        <v>3908</v>
      </c>
      <c r="I358" s="12" t="s">
        <v>394</v>
      </c>
      <c r="J358" s="12" t="s">
        <v>112</v>
      </c>
      <c r="K358" s="18" t="s">
        <v>7367</v>
      </c>
      <c r="L358" s="18" t="s">
        <v>7368</v>
      </c>
      <c r="M358" s="18" t="s">
        <v>112</v>
      </c>
      <c r="N358" s="18" t="s">
        <v>282</v>
      </c>
      <c r="O358" s="12" t="s">
        <v>282</v>
      </c>
      <c r="P358" s="12" t="s">
        <v>115</v>
      </c>
      <c r="Q358" s="12" t="s">
        <v>116</v>
      </c>
      <c r="R358" s="19" t="n">
        <f aca="false">COUNTIF(Dati!$B$2:$B$1216,A358)</f>
        <v>3</v>
      </c>
    </row>
    <row r="359" customFormat="false" ht="23.85" hidden="false" customHeight="false" outlineLevel="0" collapsed="false">
      <c r="A359" s="12" t="s">
        <v>5701</v>
      </c>
      <c r="B359" s="12" t="s">
        <v>5702</v>
      </c>
      <c r="C359" s="12" t="s">
        <v>5703</v>
      </c>
      <c r="D359" s="12" t="s">
        <v>808</v>
      </c>
      <c r="E359" s="12" t="s">
        <v>5704</v>
      </c>
      <c r="F359" s="13" t="s">
        <v>5705</v>
      </c>
      <c r="G359" s="12"/>
      <c r="H359" s="12" t="s">
        <v>5397</v>
      </c>
      <c r="I359" s="12" t="s">
        <v>394</v>
      </c>
      <c r="J359" s="12" t="s">
        <v>112</v>
      </c>
      <c r="K359" s="18" t="s">
        <v>5711</v>
      </c>
      <c r="L359" s="18" t="s">
        <v>7369</v>
      </c>
      <c r="M359" s="18" t="s">
        <v>7370</v>
      </c>
      <c r="N359" s="18" t="s">
        <v>282</v>
      </c>
      <c r="O359" s="12" t="s">
        <v>6608</v>
      </c>
      <c r="P359" s="12" t="s">
        <v>498</v>
      </c>
      <c r="Q359" s="12" t="s">
        <v>116</v>
      </c>
      <c r="R359" s="19" t="n">
        <f aca="false">COUNTIF(Dati!$B$2:$B$1216,A359)</f>
        <v>3</v>
      </c>
    </row>
    <row r="360" customFormat="false" ht="23.85" hidden="false" customHeight="false" outlineLevel="0" collapsed="false">
      <c r="A360" s="12" t="s">
        <v>5720</v>
      </c>
      <c r="B360" s="12" t="s">
        <v>5702</v>
      </c>
      <c r="C360" s="12" t="s">
        <v>5721</v>
      </c>
      <c r="D360" s="12" t="s">
        <v>181</v>
      </c>
      <c r="E360" s="12" t="s">
        <v>978</v>
      </c>
      <c r="F360" s="13" t="s">
        <v>5722</v>
      </c>
      <c r="G360" s="12"/>
      <c r="H360" s="12" t="s">
        <v>5397</v>
      </c>
      <c r="I360" s="12" t="s">
        <v>394</v>
      </c>
      <c r="J360" s="12" t="s">
        <v>112</v>
      </c>
      <c r="K360" s="18" t="s">
        <v>5711</v>
      </c>
      <c r="L360" s="18" t="s">
        <v>7369</v>
      </c>
      <c r="M360" s="18" t="s">
        <v>7370</v>
      </c>
      <c r="N360" s="18" t="s">
        <v>282</v>
      </c>
      <c r="O360" s="12" t="s">
        <v>6608</v>
      </c>
      <c r="P360" s="12" t="s">
        <v>498</v>
      </c>
      <c r="Q360" s="12" t="s">
        <v>116</v>
      </c>
      <c r="R360" s="19" t="n">
        <f aca="false">COUNTIF(Dati!$B$2:$B$1216,A360)</f>
        <v>2</v>
      </c>
    </row>
    <row r="361" customFormat="false" ht="15" hidden="false" customHeight="false" outlineLevel="0" collapsed="false">
      <c r="A361" s="12" t="s">
        <v>5268</v>
      </c>
      <c r="B361" s="12" t="s">
        <v>5269</v>
      </c>
      <c r="C361" s="12" t="s">
        <v>5270</v>
      </c>
      <c r="D361" s="12" t="s">
        <v>7371</v>
      </c>
      <c r="E361" s="12" t="s">
        <v>181</v>
      </c>
      <c r="F361" s="13" t="s">
        <v>5271</v>
      </c>
      <c r="G361" s="12"/>
      <c r="H361" s="12" t="s">
        <v>5161</v>
      </c>
      <c r="I361" s="12" t="s">
        <v>110</v>
      </c>
      <c r="J361" s="12" t="s">
        <v>112</v>
      </c>
      <c r="K361" s="18" t="s">
        <v>282</v>
      </c>
      <c r="L361" s="18" t="s">
        <v>112</v>
      </c>
      <c r="M361" s="18" t="s">
        <v>112</v>
      </c>
      <c r="N361" s="18" t="s">
        <v>282</v>
      </c>
      <c r="O361" s="12" t="s">
        <v>6608</v>
      </c>
      <c r="P361" s="12" t="s">
        <v>284</v>
      </c>
      <c r="Q361" s="12" t="s">
        <v>838</v>
      </c>
      <c r="R361" s="19" t="n">
        <f aca="false">COUNTIF(Dati!$B$2:$B$1216,A361)</f>
        <v>1</v>
      </c>
    </row>
    <row r="362" customFormat="false" ht="23.85" hidden="false" customHeight="false" outlineLevel="0" collapsed="false">
      <c r="A362" s="12" t="s">
        <v>5287</v>
      </c>
      <c r="B362" s="12" t="s">
        <v>5288</v>
      </c>
      <c r="C362" s="12" t="s">
        <v>5289</v>
      </c>
      <c r="D362" s="12" t="s">
        <v>7372</v>
      </c>
      <c r="E362" s="12" t="s">
        <v>5290</v>
      </c>
      <c r="F362" s="13" t="s">
        <v>5291</v>
      </c>
      <c r="G362" s="12"/>
      <c r="H362" s="12" t="s">
        <v>5161</v>
      </c>
      <c r="I362" s="12" t="s">
        <v>394</v>
      </c>
      <c r="J362" s="12" t="s">
        <v>112</v>
      </c>
      <c r="K362" s="18" t="s">
        <v>5294</v>
      </c>
      <c r="L362" s="18" t="s">
        <v>112</v>
      </c>
      <c r="M362" s="18" t="s">
        <v>112</v>
      </c>
      <c r="N362" s="18" t="s">
        <v>282</v>
      </c>
      <c r="O362" s="12" t="s">
        <v>6608</v>
      </c>
      <c r="P362" s="12" t="s">
        <v>115</v>
      </c>
      <c r="Q362" s="12" t="s">
        <v>116</v>
      </c>
      <c r="R362" s="19" t="n">
        <f aca="false">COUNTIF(Dati!$B$2:$B$1216,A362)</f>
        <v>1</v>
      </c>
    </row>
    <row r="363" customFormat="false" ht="23.85" hidden="false" customHeight="false" outlineLevel="0" collapsed="false">
      <c r="A363" s="12" t="s">
        <v>5297</v>
      </c>
      <c r="B363" s="12" t="s">
        <v>5288</v>
      </c>
      <c r="C363" s="12" t="s">
        <v>5298</v>
      </c>
      <c r="D363" s="12" t="s">
        <v>7373</v>
      </c>
      <c r="E363" s="12" t="s">
        <v>5299</v>
      </c>
      <c r="F363" s="13" t="s">
        <v>5300</v>
      </c>
      <c r="G363" s="12"/>
      <c r="H363" s="12" t="s">
        <v>5161</v>
      </c>
      <c r="I363" s="12" t="s">
        <v>394</v>
      </c>
      <c r="J363" s="12" t="s">
        <v>112</v>
      </c>
      <c r="K363" s="18" t="s">
        <v>5303</v>
      </c>
      <c r="L363" s="18" t="s">
        <v>112</v>
      </c>
      <c r="M363" s="18" t="s">
        <v>112</v>
      </c>
      <c r="N363" s="18" t="s">
        <v>282</v>
      </c>
      <c r="O363" s="12" t="s">
        <v>6608</v>
      </c>
      <c r="P363" s="12" t="s">
        <v>115</v>
      </c>
      <c r="Q363" s="12" t="s">
        <v>116</v>
      </c>
      <c r="R363" s="19" t="n">
        <f aca="false">COUNTIF(Dati!$B$2:$B$1216,A363)</f>
        <v>3</v>
      </c>
    </row>
    <row r="364" customFormat="false" ht="23.85" hidden="false" customHeight="false" outlineLevel="0" collapsed="false">
      <c r="A364" s="12" t="s">
        <v>5276</v>
      </c>
      <c r="B364" s="12" t="s">
        <v>5277</v>
      </c>
      <c r="C364" s="12" t="s">
        <v>5278</v>
      </c>
      <c r="D364" s="12" t="s">
        <v>7373</v>
      </c>
      <c r="E364" s="12" t="s">
        <v>5279</v>
      </c>
      <c r="F364" s="13" t="s">
        <v>5280</v>
      </c>
      <c r="G364" s="12"/>
      <c r="H364" s="12" t="s">
        <v>5161</v>
      </c>
      <c r="I364" s="12" t="s">
        <v>394</v>
      </c>
      <c r="J364" s="12" t="s">
        <v>112</v>
      </c>
      <c r="K364" s="18" t="s">
        <v>5283</v>
      </c>
      <c r="L364" s="18" t="s">
        <v>112</v>
      </c>
      <c r="M364" s="18" t="s">
        <v>112</v>
      </c>
      <c r="N364" s="18" t="s">
        <v>282</v>
      </c>
      <c r="O364" s="12" t="s">
        <v>6608</v>
      </c>
      <c r="P364" s="12" t="s">
        <v>115</v>
      </c>
      <c r="Q364" s="12" t="s">
        <v>116</v>
      </c>
      <c r="R364" s="19" t="n">
        <f aca="false">COUNTIF(Dati!$B$2:$B$1216,A364)</f>
        <v>3</v>
      </c>
    </row>
    <row r="365" customFormat="false" ht="23.85" hidden="false" customHeight="false" outlineLevel="0" collapsed="false">
      <c r="A365" s="12" t="s">
        <v>5307</v>
      </c>
      <c r="B365" s="12" t="s">
        <v>5288</v>
      </c>
      <c r="C365" s="12" t="s">
        <v>5308</v>
      </c>
      <c r="D365" s="12" t="s">
        <v>808</v>
      </c>
      <c r="E365" s="12" t="s">
        <v>5309</v>
      </c>
      <c r="F365" s="13" t="s">
        <v>5310</v>
      </c>
      <c r="G365" s="12"/>
      <c r="H365" s="12" t="s">
        <v>5161</v>
      </c>
      <c r="I365" s="12" t="s">
        <v>394</v>
      </c>
      <c r="J365" s="12" t="s">
        <v>112</v>
      </c>
      <c r="K365" s="18" t="s">
        <v>5313</v>
      </c>
      <c r="L365" s="18" t="s">
        <v>112</v>
      </c>
      <c r="M365" s="18" t="s">
        <v>112</v>
      </c>
      <c r="N365" s="18" t="s">
        <v>282</v>
      </c>
      <c r="O365" s="12" t="s">
        <v>6608</v>
      </c>
      <c r="P365" s="12" t="s">
        <v>115</v>
      </c>
      <c r="Q365" s="12" t="s">
        <v>116</v>
      </c>
      <c r="R365" s="19" t="n">
        <f aca="false">COUNTIF(Dati!$B$2:$B$1216,A365)</f>
        <v>1</v>
      </c>
    </row>
    <row r="366" customFormat="false" ht="15" hidden="false" customHeight="false" outlineLevel="0" collapsed="false">
      <c r="A366" s="12" t="s">
        <v>2816</v>
      </c>
      <c r="B366" s="12" t="s">
        <v>2817</v>
      </c>
      <c r="C366" s="12" t="s">
        <v>2818</v>
      </c>
      <c r="D366" s="12" t="s">
        <v>181</v>
      </c>
      <c r="E366" s="12" t="s">
        <v>181</v>
      </c>
      <c r="F366" s="13" t="s">
        <v>2819</v>
      </c>
      <c r="G366" s="12"/>
      <c r="H366" s="12" t="s">
        <v>2716</v>
      </c>
      <c r="I366" s="12" t="s">
        <v>110</v>
      </c>
      <c r="J366" s="12" t="s">
        <v>112</v>
      </c>
      <c r="K366" s="18" t="s">
        <v>282</v>
      </c>
      <c r="L366" s="18" t="s">
        <v>112</v>
      </c>
      <c r="M366" s="18" t="s">
        <v>112</v>
      </c>
      <c r="N366" s="18" t="s">
        <v>282</v>
      </c>
      <c r="O366" s="12" t="s">
        <v>7052</v>
      </c>
      <c r="P366" s="12" t="s">
        <v>284</v>
      </c>
      <c r="Q366" s="12" t="s">
        <v>838</v>
      </c>
      <c r="R366" s="19" t="n">
        <f aca="false">COUNTIF(Dati!$B$2:$B$1216,A366)</f>
        <v>1</v>
      </c>
    </row>
    <row r="367" customFormat="false" ht="15" hidden="false" customHeight="false" outlineLevel="0" collapsed="false">
      <c r="A367" s="12" t="s">
        <v>2826</v>
      </c>
      <c r="B367" s="12" t="s">
        <v>2817</v>
      </c>
      <c r="C367" s="12" t="s">
        <v>2827</v>
      </c>
      <c r="D367" s="12" t="s">
        <v>847</v>
      </c>
      <c r="E367" s="12" t="s">
        <v>847</v>
      </c>
      <c r="F367" s="13" t="s">
        <v>2828</v>
      </c>
      <c r="G367" s="12"/>
      <c r="H367" s="12" t="s">
        <v>2716</v>
      </c>
      <c r="I367" s="12" t="s">
        <v>110</v>
      </c>
      <c r="J367" s="12" t="s">
        <v>112</v>
      </c>
      <c r="K367" s="18" t="s">
        <v>282</v>
      </c>
      <c r="L367" s="18" t="s">
        <v>112</v>
      </c>
      <c r="M367" s="18" t="s">
        <v>112</v>
      </c>
      <c r="N367" s="18" t="s">
        <v>282</v>
      </c>
      <c r="O367" s="12" t="s">
        <v>7052</v>
      </c>
      <c r="P367" s="12" t="s">
        <v>284</v>
      </c>
      <c r="Q367" s="12" t="s">
        <v>838</v>
      </c>
      <c r="R367" s="19" t="n">
        <f aca="false">COUNTIF(Dati!$B$2:$B$1216,A367)</f>
        <v>3</v>
      </c>
    </row>
    <row r="368" customFormat="false" ht="35.05" hidden="false" customHeight="false" outlineLevel="0" collapsed="false">
      <c r="A368" s="12" t="s">
        <v>6303</v>
      </c>
      <c r="B368" s="12" t="s">
        <v>2817</v>
      </c>
      <c r="C368" s="12" t="s">
        <v>7374</v>
      </c>
      <c r="D368" s="12" t="s">
        <v>847</v>
      </c>
      <c r="E368" s="12" t="s">
        <v>847</v>
      </c>
      <c r="F368" s="13" t="s">
        <v>6305</v>
      </c>
      <c r="G368" s="12"/>
      <c r="H368" s="12" t="s">
        <v>5753</v>
      </c>
      <c r="I368" s="12" t="s">
        <v>3261</v>
      </c>
      <c r="J368" s="12" t="s">
        <v>281</v>
      </c>
      <c r="K368" s="18" t="s">
        <v>7375</v>
      </c>
      <c r="L368" s="18" t="s">
        <v>6587</v>
      </c>
      <c r="M368" s="18" t="s">
        <v>282</v>
      </c>
      <c r="N368" s="18" t="s">
        <v>282</v>
      </c>
      <c r="O368" s="12" t="s">
        <v>6588</v>
      </c>
      <c r="P368" s="12" t="s">
        <v>498</v>
      </c>
      <c r="Q368" s="12" t="s">
        <v>838</v>
      </c>
      <c r="R368" s="19" t="n">
        <f aca="false">COUNTIF(Dati!$B$2:$B$1216,A368)</f>
        <v>1</v>
      </c>
    </row>
    <row r="369" customFormat="false" ht="23.85" hidden="false" customHeight="false" outlineLevel="0" collapsed="false">
      <c r="A369" s="12" t="s">
        <v>6312</v>
      </c>
      <c r="B369" s="12" t="s">
        <v>2817</v>
      </c>
      <c r="C369" s="12" t="s">
        <v>6313</v>
      </c>
      <c r="D369" s="12" t="s">
        <v>808</v>
      </c>
      <c r="E369" s="12" t="s">
        <v>808</v>
      </c>
      <c r="F369" s="13" t="s">
        <v>6314</v>
      </c>
      <c r="G369" s="12"/>
      <c r="H369" s="12" t="s">
        <v>5753</v>
      </c>
      <c r="I369" s="12" t="s">
        <v>110</v>
      </c>
      <c r="J369" s="12" t="s">
        <v>112</v>
      </c>
      <c r="K369" s="18" t="s">
        <v>7376</v>
      </c>
      <c r="L369" s="18" t="s">
        <v>6587</v>
      </c>
      <c r="M369" s="18" t="s">
        <v>282</v>
      </c>
      <c r="N369" s="18" t="s">
        <v>282</v>
      </c>
      <c r="O369" s="12" t="s">
        <v>6588</v>
      </c>
      <c r="P369" s="12" t="s">
        <v>284</v>
      </c>
      <c r="Q369" s="12" t="s">
        <v>838</v>
      </c>
      <c r="R369" s="19" t="n">
        <f aca="false">COUNTIF(Dati!$B$2:$B$1216,A369)</f>
        <v>1</v>
      </c>
    </row>
    <row r="370" customFormat="false" ht="35.05" hidden="false" customHeight="false" outlineLevel="0" collapsed="false">
      <c r="A370" s="12" t="s">
        <v>4255</v>
      </c>
      <c r="B370" s="12" t="s">
        <v>7377</v>
      </c>
      <c r="C370" s="12" t="s">
        <v>7378</v>
      </c>
      <c r="D370" s="12" t="s">
        <v>7379</v>
      </c>
      <c r="E370" s="12" t="s">
        <v>808</v>
      </c>
      <c r="F370" s="13" t="s">
        <v>4258</v>
      </c>
      <c r="G370" s="12"/>
      <c r="H370" s="12" t="s">
        <v>3908</v>
      </c>
      <c r="I370" s="12" t="s">
        <v>394</v>
      </c>
      <c r="J370" s="12" t="s">
        <v>112</v>
      </c>
      <c r="K370" s="18" t="s">
        <v>7380</v>
      </c>
      <c r="L370" s="18" t="s">
        <v>112</v>
      </c>
      <c r="M370" s="18" t="s">
        <v>112</v>
      </c>
      <c r="N370" s="18" t="s">
        <v>282</v>
      </c>
      <c r="O370" s="12" t="s">
        <v>6782</v>
      </c>
      <c r="P370" s="12" t="s">
        <v>115</v>
      </c>
      <c r="Q370" s="12" t="s">
        <v>116</v>
      </c>
      <c r="R370" s="19" t="n">
        <f aca="false">COUNTIF(Dati!$B$2:$B$1216,A370)</f>
        <v>3</v>
      </c>
    </row>
    <row r="371" customFormat="false" ht="46.25" hidden="false" customHeight="false" outlineLevel="0" collapsed="false">
      <c r="A371" s="12" t="s">
        <v>4008</v>
      </c>
      <c r="B371" s="12" t="s">
        <v>7377</v>
      </c>
      <c r="C371" s="12" t="s">
        <v>7381</v>
      </c>
      <c r="D371" s="12" t="s">
        <v>7382</v>
      </c>
      <c r="E371" s="12" t="s">
        <v>7383</v>
      </c>
      <c r="F371" s="13" t="s">
        <v>7384</v>
      </c>
      <c r="G371" s="12"/>
      <c r="H371" s="12" t="s">
        <v>3908</v>
      </c>
      <c r="I371" s="12" t="s">
        <v>394</v>
      </c>
      <c r="J371" s="12" t="s">
        <v>112</v>
      </c>
      <c r="K371" s="18" t="s">
        <v>7385</v>
      </c>
      <c r="L371" s="18" t="s">
        <v>112</v>
      </c>
      <c r="M371" s="18" t="s">
        <v>112</v>
      </c>
      <c r="N371" s="18" t="s">
        <v>282</v>
      </c>
      <c r="O371" s="12" t="s">
        <v>6782</v>
      </c>
      <c r="P371" s="12" t="s">
        <v>115</v>
      </c>
      <c r="Q371" s="12" t="s">
        <v>116</v>
      </c>
      <c r="R371" s="19" t="n">
        <f aca="false">COUNTIF(Dati!$B$2:$B$1216,A371)</f>
        <v>10</v>
      </c>
    </row>
    <row r="372" customFormat="false" ht="35.05" hidden="false" customHeight="false" outlineLevel="0" collapsed="false">
      <c r="A372" s="12" t="s">
        <v>4268</v>
      </c>
      <c r="B372" s="12" t="s">
        <v>7377</v>
      </c>
      <c r="C372" s="12" t="s">
        <v>7386</v>
      </c>
      <c r="D372" s="12" t="s">
        <v>7387</v>
      </c>
      <c r="E372" s="12" t="s">
        <v>847</v>
      </c>
      <c r="F372" s="13" t="s">
        <v>4270</v>
      </c>
      <c r="G372" s="12"/>
      <c r="H372" s="12" t="s">
        <v>3908</v>
      </c>
      <c r="I372" s="12" t="s">
        <v>394</v>
      </c>
      <c r="J372" s="12" t="s">
        <v>112</v>
      </c>
      <c r="K372" s="18" t="s">
        <v>7388</v>
      </c>
      <c r="L372" s="18" t="s">
        <v>112</v>
      </c>
      <c r="M372" s="18" t="s">
        <v>112</v>
      </c>
      <c r="N372" s="18" t="s">
        <v>282</v>
      </c>
      <c r="O372" s="12" t="s">
        <v>6782</v>
      </c>
      <c r="P372" s="12" t="s">
        <v>115</v>
      </c>
      <c r="Q372" s="12" t="s">
        <v>116</v>
      </c>
      <c r="R372" s="19" t="n">
        <f aca="false">COUNTIF(Dati!$B$2:$B$1216,A372)</f>
        <v>6</v>
      </c>
    </row>
    <row r="373" customFormat="false" ht="23.85" hidden="false" customHeight="false" outlineLevel="0" collapsed="false">
      <c r="A373" s="12" t="s">
        <v>2062</v>
      </c>
      <c r="B373" s="12" t="s">
        <v>7389</v>
      </c>
      <c r="C373" s="12" t="s">
        <v>7390</v>
      </c>
      <c r="D373" s="12" t="s">
        <v>583</v>
      </c>
      <c r="E373" s="12" t="s">
        <v>583</v>
      </c>
      <c r="F373" s="13" t="s">
        <v>2065</v>
      </c>
      <c r="G373" s="12"/>
      <c r="H373" s="12" t="s">
        <v>1663</v>
      </c>
      <c r="I373" s="12" t="s">
        <v>394</v>
      </c>
      <c r="J373" s="12" t="s">
        <v>112</v>
      </c>
      <c r="K373" s="18" t="s">
        <v>7391</v>
      </c>
      <c r="L373" s="18" t="s">
        <v>112</v>
      </c>
      <c r="M373" s="18" t="s">
        <v>112</v>
      </c>
      <c r="N373" s="18" t="s">
        <v>282</v>
      </c>
      <c r="O373" s="12" t="s">
        <v>6608</v>
      </c>
      <c r="P373" s="12" t="s">
        <v>498</v>
      </c>
      <c r="Q373" s="12" t="s">
        <v>116</v>
      </c>
      <c r="R373" s="19" t="n">
        <f aca="false">COUNTIF(Dati!$B$2:$B$1216,A373)</f>
        <v>3</v>
      </c>
    </row>
    <row r="374" customFormat="false" ht="23.85" hidden="false" customHeight="false" outlineLevel="0" collapsed="false">
      <c r="A374" s="12" t="s">
        <v>2090</v>
      </c>
      <c r="B374" s="12" t="s">
        <v>2091</v>
      </c>
      <c r="C374" s="12" t="s">
        <v>2092</v>
      </c>
      <c r="D374" s="12" t="s">
        <v>2093</v>
      </c>
      <c r="E374" s="12" t="s">
        <v>2093</v>
      </c>
      <c r="F374" s="13" t="s">
        <v>2094</v>
      </c>
      <c r="G374" s="12"/>
      <c r="H374" s="12" t="s">
        <v>1663</v>
      </c>
      <c r="I374" s="12" t="s">
        <v>679</v>
      </c>
      <c r="J374" s="12" t="s">
        <v>281</v>
      </c>
      <c r="K374" s="18" t="s">
        <v>7392</v>
      </c>
      <c r="L374" s="18" t="s">
        <v>112</v>
      </c>
      <c r="M374" s="18" t="s">
        <v>112</v>
      </c>
      <c r="N374" s="18" t="s">
        <v>282</v>
      </c>
      <c r="O374" s="12" t="s">
        <v>282</v>
      </c>
      <c r="P374" s="12" t="s">
        <v>498</v>
      </c>
      <c r="Q374" s="12" t="s">
        <v>499</v>
      </c>
      <c r="R374" s="19" t="n">
        <f aca="false">COUNTIF(Dati!$B$2:$B$1216,A374)</f>
        <v>4</v>
      </c>
    </row>
    <row r="375" customFormat="false" ht="23.85" hidden="false" customHeight="false" outlineLevel="0" collapsed="false">
      <c r="A375" s="12" t="s">
        <v>4703</v>
      </c>
      <c r="B375" s="12" t="s">
        <v>7393</v>
      </c>
      <c r="C375" s="12" t="s">
        <v>7394</v>
      </c>
      <c r="D375" s="12" t="s">
        <v>847</v>
      </c>
      <c r="E375" s="12" t="s">
        <v>4706</v>
      </c>
      <c r="F375" s="13" t="s">
        <v>4707</v>
      </c>
      <c r="G375" s="12"/>
      <c r="H375" s="12" t="s">
        <v>4615</v>
      </c>
      <c r="I375" s="12" t="s">
        <v>394</v>
      </c>
      <c r="J375" s="12" t="s">
        <v>112</v>
      </c>
      <c r="K375" s="18" t="s">
        <v>7395</v>
      </c>
      <c r="L375" s="18" t="s">
        <v>112</v>
      </c>
      <c r="M375" s="18" t="s">
        <v>112</v>
      </c>
      <c r="N375" s="18" t="s">
        <v>282</v>
      </c>
      <c r="O375" s="12" t="s">
        <v>6863</v>
      </c>
      <c r="P375" s="12" t="s">
        <v>115</v>
      </c>
      <c r="Q375" s="12" t="s">
        <v>499</v>
      </c>
      <c r="R375" s="19" t="n">
        <f aca="false">COUNTIF(Dati!$B$2:$B$1216,A375)</f>
        <v>1</v>
      </c>
    </row>
    <row r="376" customFormat="false" ht="23.85" hidden="false" customHeight="false" outlineLevel="0" collapsed="false">
      <c r="A376" s="12" t="s">
        <v>1540</v>
      </c>
      <c r="B376" s="12" t="s">
        <v>1541</v>
      </c>
      <c r="C376" s="12" t="s">
        <v>1542</v>
      </c>
      <c r="D376" s="12" t="s">
        <v>808</v>
      </c>
      <c r="E376" s="12" t="s">
        <v>330</v>
      </c>
      <c r="F376" s="13" t="s">
        <v>1543</v>
      </c>
      <c r="G376" s="12"/>
      <c r="H376" s="12" t="s">
        <v>1490</v>
      </c>
      <c r="I376" s="12" t="s">
        <v>679</v>
      </c>
      <c r="J376" s="12" t="s">
        <v>166</v>
      </c>
      <c r="K376" s="18" t="s">
        <v>1548</v>
      </c>
      <c r="L376" s="18" t="s">
        <v>112</v>
      </c>
      <c r="M376" s="18" t="s">
        <v>112</v>
      </c>
      <c r="N376" s="18" t="s">
        <v>282</v>
      </c>
      <c r="O376" s="12" t="s">
        <v>6608</v>
      </c>
      <c r="P376" s="12" t="s">
        <v>498</v>
      </c>
      <c r="Q376" s="12" t="s">
        <v>116</v>
      </c>
      <c r="R376" s="19" t="n">
        <f aca="false">COUNTIF(Dati!$B$2:$B$1216,A376)</f>
        <v>2</v>
      </c>
    </row>
    <row r="377" customFormat="false" ht="113.4" hidden="false" customHeight="false" outlineLevel="0" collapsed="false">
      <c r="A377" s="12" t="s">
        <v>3601</v>
      </c>
      <c r="B377" s="12" t="s">
        <v>56</v>
      </c>
      <c r="C377" s="12" t="s">
        <v>7396</v>
      </c>
      <c r="D377" s="12" t="s">
        <v>7397</v>
      </c>
      <c r="E377" s="12" t="s">
        <v>3604</v>
      </c>
      <c r="F377" s="13" t="s">
        <v>6331</v>
      </c>
      <c r="G377" s="13" t="s">
        <v>7398</v>
      </c>
      <c r="H377" s="12" t="s">
        <v>7399</v>
      </c>
      <c r="I377" s="12" t="s">
        <v>679</v>
      </c>
      <c r="J377" s="12" t="s">
        <v>201</v>
      </c>
      <c r="K377" s="18" t="s">
        <v>7400</v>
      </c>
      <c r="L377" s="18" t="s">
        <v>6587</v>
      </c>
      <c r="M377" s="18" t="s">
        <v>7401</v>
      </c>
      <c r="N377" s="18" t="s">
        <v>7402</v>
      </c>
      <c r="O377" s="12" t="s">
        <v>7403</v>
      </c>
      <c r="P377" s="12" t="s">
        <v>498</v>
      </c>
      <c r="Q377" s="12" t="s">
        <v>838</v>
      </c>
      <c r="R377" s="19" t="n">
        <f aca="false">COUNTIF(Dati!$B$2:$B$1216,A377)</f>
        <v>5</v>
      </c>
    </row>
    <row r="378" customFormat="false" ht="113.4" hidden="false" customHeight="false" outlineLevel="0" collapsed="false">
      <c r="A378" s="12" t="s">
        <v>1292</v>
      </c>
      <c r="B378" s="12" t="s">
        <v>56</v>
      </c>
      <c r="C378" s="12" t="s">
        <v>7404</v>
      </c>
      <c r="D378" s="12" t="s">
        <v>7405</v>
      </c>
      <c r="E378" s="12" t="s">
        <v>181</v>
      </c>
      <c r="F378" s="13" t="s">
        <v>7406</v>
      </c>
      <c r="G378" s="13" t="s">
        <v>7398</v>
      </c>
      <c r="H378" s="12" t="s">
        <v>7407</v>
      </c>
      <c r="I378" s="12" t="s">
        <v>679</v>
      </c>
      <c r="J378" s="12" t="s">
        <v>201</v>
      </c>
      <c r="K378" s="18" t="s">
        <v>7400</v>
      </c>
      <c r="L378" s="18" t="s">
        <v>6587</v>
      </c>
      <c r="M378" s="18" t="s">
        <v>7408</v>
      </c>
      <c r="N378" s="18" t="s">
        <v>7402</v>
      </c>
      <c r="O378" s="12" t="s">
        <v>7409</v>
      </c>
      <c r="P378" s="12" t="s">
        <v>498</v>
      </c>
      <c r="Q378" s="12" t="s">
        <v>838</v>
      </c>
      <c r="R378" s="19" t="n">
        <f aca="false">COUNTIF(Dati!$B$2:$B$1216,A378)</f>
        <v>7</v>
      </c>
    </row>
    <row r="379" customFormat="false" ht="35.05" hidden="false" customHeight="false" outlineLevel="0" collapsed="false">
      <c r="A379" s="12" t="s">
        <v>2612</v>
      </c>
      <c r="B379" s="12" t="s">
        <v>56</v>
      </c>
      <c r="C379" s="12" t="s">
        <v>2613</v>
      </c>
      <c r="D379" s="12" t="s">
        <v>2614</v>
      </c>
      <c r="E379" s="12" t="s">
        <v>2614</v>
      </c>
      <c r="F379" s="13" t="s">
        <v>2615</v>
      </c>
      <c r="G379" s="13" t="s">
        <v>7410</v>
      </c>
      <c r="H379" s="12" t="s">
        <v>7411</v>
      </c>
      <c r="I379" s="12" t="s">
        <v>679</v>
      </c>
      <c r="J379" s="12" t="s">
        <v>281</v>
      </c>
      <c r="K379" s="18" t="s">
        <v>7412</v>
      </c>
      <c r="L379" s="18" t="s">
        <v>112</v>
      </c>
      <c r="M379" s="18" t="s">
        <v>7401</v>
      </c>
      <c r="N379" s="18" t="s">
        <v>5738</v>
      </c>
      <c r="O379" s="12" t="s">
        <v>7413</v>
      </c>
      <c r="P379" s="12" t="s">
        <v>498</v>
      </c>
      <c r="Q379" s="12" t="s">
        <v>116</v>
      </c>
      <c r="R379" s="19" t="n">
        <f aca="false">COUNTIF(Dati!$B$2:$B$1216,A379)</f>
        <v>1</v>
      </c>
    </row>
    <row r="380" customFormat="false" ht="23.85" hidden="false" customHeight="false" outlineLevel="0" collapsed="false">
      <c r="A380" s="12" t="s">
        <v>4284</v>
      </c>
      <c r="B380" s="12" t="s">
        <v>56</v>
      </c>
      <c r="C380" s="12" t="s">
        <v>7414</v>
      </c>
      <c r="D380" s="12" t="s">
        <v>7415</v>
      </c>
      <c r="E380" s="12" t="s">
        <v>4286</v>
      </c>
      <c r="F380" s="13" t="s">
        <v>4287</v>
      </c>
      <c r="G380" s="12"/>
      <c r="H380" s="12" t="s">
        <v>3908</v>
      </c>
      <c r="I380" s="12" t="s">
        <v>110</v>
      </c>
      <c r="J380" s="12" t="s">
        <v>281</v>
      </c>
      <c r="K380" s="18" t="s">
        <v>7416</v>
      </c>
      <c r="L380" s="18" t="s">
        <v>112</v>
      </c>
      <c r="M380" s="18" t="s">
        <v>112</v>
      </c>
      <c r="N380" s="18" t="s">
        <v>282</v>
      </c>
      <c r="O380" s="12" t="s">
        <v>282</v>
      </c>
      <c r="P380" s="12" t="s">
        <v>284</v>
      </c>
      <c r="Q380" s="12" t="s">
        <v>838</v>
      </c>
      <c r="R380" s="19" t="n">
        <f aca="false">COUNTIF(Dati!$B$2:$B$1216,A380)</f>
        <v>1</v>
      </c>
    </row>
    <row r="381" customFormat="false" ht="46.25" hidden="false" customHeight="false" outlineLevel="0" collapsed="false">
      <c r="A381" s="12" t="s">
        <v>4587</v>
      </c>
      <c r="B381" s="12" t="s">
        <v>4588</v>
      </c>
      <c r="C381" s="12" t="s">
        <v>7417</v>
      </c>
      <c r="D381" s="12" t="s">
        <v>7418</v>
      </c>
      <c r="E381" s="12" t="s">
        <v>1353</v>
      </c>
      <c r="F381" s="13" t="s">
        <v>4590</v>
      </c>
      <c r="G381" s="12"/>
      <c r="H381" s="12" t="s">
        <v>4407</v>
      </c>
      <c r="I381" s="12" t="s">
        <v>394</v>
      </c>
      <c r="J381" s="12" t="s">
        <v>166</v>
      </c>
      <c r="K381" s="18" t="s">
        <v>7419</v>
      </c>
      <c r="L381" s="18" t="s">
        <v>7420</v>
      </c>
      <c r="M381" s="18" t="s">
        <v>7421</v>
      </c>
      <c r="N381" s="18" t="s">
        <v>282</v>
      </c>
      <c r="O381" s="12" t="s">
        <v>7220</v>
      </c>
      <c r="P381" s="12" t="s">
        <v>407</v>
      </c>
      <c r="Q381" s="12" t="s">
        <v>116</v>
      </c>
      <c r="R381" s="19" t="n">
        <f aca="false">COUNTIF(Dati!$B$2:$B$1216,A381)</f>
        <v>2</v>
      </c>
    </row>
    <row r="382" customFormat="false" ht="57.45" hidden="false" customHeight="false" outlineLevel="0" collapsed="false">
      <c r="A382" s="12" t="s">
        <v>6336</v>
      </c>
      <c r="B382" s="12" t="s">
        <v>6337</v>
      </c>
      <c r="C382" s="12" t="s">
        <v>6338</v>
      </c>
      <c r="D382" s="12" t="s">
        <v>181</v>
      </c>
      <c r="E382" s="12" t="s">
        <v>6339</v>
      </c>
      <c r="F382" s="13" t="s">
        <v>6340</v>
      </c>
      <c r="G382" s="13" t="s">
        <v>7422</v>
      </c>
      <c r="H382" s="12" t="s">
        <v>5753</v>
      </c>
      <c r="I382" s="12" t="s">
        <v>679</v>
      </c>
      <c r="J382" s="12" t="s">
        <v>112</v>
      </c>
      <c r="K382" s="18" t="s">
        <v>7423</v>
      </c>
      <c r="L382" s="18" t="s">
        <v>6587</v>
      </c>
      <c r="M382" s="18" t="s">
        <v>282</v>
      </c>
      <c r="N382" s="18" t="s">
        <v>282</v>
      </c>
      <c r="O382" s="12" t="s">
        <v>6588</v>
      </c>
      <c r="P382" s="12" t="s">
        <v>498</v>
      </c>
      <c r="Q382" s="12" t="s">
        <v>838</v>
      </c>
      <c r="R382" s="19" t="n">
        <f aca="false">COUNTIF(Dati!$B$2:$B$1216,A382)</f>
        <v>2</v>
      </c>
    </row>
    <row r="383" customFormat="false" ht="57.45" hidden="false" customHeight="false" outlineLevel="0" collapsed="false">
      <c r="A383" s="12" t="s">
        <v>7424</v>
      </c>
      <c r="B383" s="12" t="s">
        <v>6337</v>
      </c>
      <c r="C383" s="12" t="s">
        <v>7135</v>
      </c>
      <c r="D383" s="12" t="s">
        <v>847</v>
      </c>
      <c r="E383" s="12" t="s">
        <v>847</v>
      </c>
      <c r="F383" s="13" t="s">
        <v>7422</v>
      </c>
      <c r="G383" s="12"/>
      <c r="H383" s="12" t="s">
        <v>6599</v>
      </c>
      <c r="I383" s="12" t="s">
        <v>679</v>
      </c>
      <c r="J383" s="12" t="s">
        <v>112</v>
      </c>
      <c r="K383" s="18" t="s">
        <v>7423</v>
      </c>
      <c r="L383" s="18" t="s">
        <v>6587</v>
      </c>
      <c r="M383" s="18" t="s">
        <v>282</v>
      </c>
      <c r="N383" s="18" t="s">
        <v>282</v>
      </c>
      <c r="O383" s="12" t="s">
        <v>6588</v>
      </c>
      <c r="P383" s="12" t="s">
        <v>498</v>
      </c>
      <c r="Q383" s="12" t="s">
        <v>838</v>
      </c>
      <c r="R383" s="19" t="n">
        <f aca="false">COUNTIF(Dati!$B$2:$B$1216,A383)</f>
        <v>0</v>
      </c>
    </row>
    <row r="384" customFormat="false" ht="57.45" hidden="false" customHeight="false" outlineLevel="0" collapsed="false">
      <c r="A384" s="12" t="s">
        <v>251</v>
      </c>
      <c r="B384" s="12" t="s">
        <v>252</v>
      </c>
      <c r="C384" s="12" t="s">
        <v>7425</v>
      </c>
      <c r="D384" s="12" t="s">
        <v>847</v>
      </c>
      <c r="E384" s="12" t="s">
        <v>254</v>
      </c>
      <c r="F384" s="13" t="s">
        <v>255</v>
      </c>
      <c r="G384" s="12"/>
      <c r="H384" s="12" t="s">
        <v>7016</v>
      </c>
      <c r="I384" s="12" t="s">
        <v>110</v>
      </c>
      <c r="J384" s="12" t="s">
        <v>281</v>
      </c>
      <c r="K384" s="18" t="s">
        <v>7426</v>
      </c>
      <c r="L384" s="18" t="s">
        <v>6587</v>
      </c>
      <c r="M384" s="18" t="s">
        <v>282</v>
      </c>
      <c r="N384" s="18" t="s">
        <v>282</v>
      </c>
      <c r="O384" s="12" t="s">
        <v>6649</v>
      </c>
      <c r="P384" s="12" t="s">
        <v>498</v>
      </c>
      <c r="Q384" s="12" t="s">
        <v>116</v>
      </c>
      <c r="R384" s="19" t="n">
        <f aca="false">COUNTIF(Dati!$B$2:$B$1216,A384)</f>
        <v>6</v>
      </c>
    </row>
    <row r="385" customFormat="false" ht="15" hidden="false" customHeight="false" outlineLevel="0" collapsed="false">
      <c r="A385" s="12" t="s">
        <v>1614</v>
      </c>
      <c r="B385" s="12" t="s">
        <v>1615</v>
      </c>
      <c r="C385" s="12" t="s">
        <v>1616</v>
      </c>
      <c r="D385" s="12" t="s">
        <v>181</v>
      </c>
      <c r="E385" s="12" t="s">
        <v>1617</v>
      </c>
      <c r="F385" s="13" t="s">
        <v>1618</v>
      </c>
      <c r="G385" s="12"/>
      <c r="H385" s="12" t="s">
        <v>1556</v>
      </c>
      <c r="I385" s="12" t="s">
        <v>110</v>
      </c>
      <c r="J385" s="12" t="s">
        <v>281</v>
      </c>
      <c r="K385" s="18" t="s">
        <v>282</v>
      </c>
      <c r="L385" s="18" t="s">
        <v>112</v>
      </c>
      <c r="M385" s="18" t="s">
        <v>112</v>
      </c>
      <c r="N385" s="18" t="s">
        <v>282</v>
      </c>
      <c r="O385" s="12" t="s">
        <v>6608</v>
      </c>
      <c r="P385" s="12" t="s">
        <v>284</v>
      </c>
      <c r="Q385" s="12" t="s">
        <v>499</v>
      </c>
      <c r="R385" s="19" t="n">
        <f aca="false">COUNTIF(Dati!$B$2:$B$1216,A385)</f>
        <v>1</v>
      </c>
    </row>
    <row r="386" customFormat="false" ht="23.85" hidden="false" customHeight="false" outlineLevel="0" collapsed="false">
      <c r="A386" s="12" t="s">
        <v>3188</v>
      </c>
      <c r="B386" s="12" t="s">
        <v>3189</v>
      </c>
      <c r="C386" s="12" t="s">
        <v>3190</v>
      </c>
      <c r="D386" s="12" t="s">
        <v>583</v>
      </c>
      <c r="E386" s="12" t="s">
        <v>3191</v>
      </c>
      <c r="F386" s="13" t="s">
        <v>3192</v>
      </c>
      <c r="G386" s="12"/>
      <c r="H386" s="12" t="s">
        <v>7127</v>
      </c>
      <c r="I386" s="12" t="s">
        <v>6757</v>
      </c>
      <c r="J386" s="12" t="s">
        <v>7427</v>
      </c>
      <c r="K386" s="18" t="s">
        <v>3197</v>
      </c>
      <c r="L386" s="18" t="s">
        <v>112</v>
      </c>
      <c r="M386" s="18" t="s">
        <v>112</v>
      </c>
      <c r="N386" s="18" t="s">
        <v>282</v>
      </c>
      <c r="O386" s="12" t="s">
        <v>282</v>
      </c>
      <c r="P386" s="12" t="s">
        <v>498</v>
      </c>
      <c r="Q386" s="12" t="s">
        <v>116</v>
      </c>
      <c r="R386" s="19" t="n">
        <f aca="false">COUNTIF(Dati!$B$2:$B$1216,A386)</f>
        <v>3</v>
      </c>
    </row>
    <row r="387" customFormat="false" ht="35.05" hidden="false" customHeight="false" outlineLevel="0" collapsed="false">
      <c r="A387" s="12" t="s">
        <v>3880</v>
      </c>
      <c r="B387" s="12" t="s">
        <v>7428</v>
      </c>
      <c r="C387" s="12" t="s">
        <v>7429</v>
      </c>
      <c r="D387" s="12" t="s">
        <v>2970</v>
      </c>
      <c r="E387" s="12" t="s">
        <v>2970</v>
      </c>
      <c r="F387" s="13" t="s">
        <v>3883</v>
      </c>
      <c r="G387" s="12"/>
      <c r="H387" s="12" t="s">
        <v>3762</v>
      </c>
      <c r="I387" s="12" t="s">
        <v>394</v>
      </c>
      <c r="J387" s="12" t="s">
        <v>112</v>
      </c>
      <c r="K387" s="18" t="s">
        <v>7430</v>
      </c>
      <c r="L387" s="18" t="s">
        <v>112</v>
      </c>
      <c r="M387" s="18" t="s">
        <v>112</v>
      </c>
      <c r="N387" s="18" t="s">
        <v>282</v>
      </c>
      <c r="O387" s="12" t="s">
        <v>6608</v>
      </c>
      <c r="P387" s="12" t="s">
        <v>115</v>
      </c>
      <c r="Q387" s="12" t="s">
        <v>116</v>
      </c>
      <c r="R387" s="19" t="n">
        <f aca="false">COUNTIF(Dati!$B$2:$B$1216,A387)</f>
        <v>8</v>
      </c>
    </row>
    <row r="388" customFormat="false" ht="23.85" hidden="false" customHeight="false" outlineLevel="0" collapsed="false">
      <c r="A388" s="12" t="s">
        <v>3859</v>
      </c>
      <c r="B388" s="12" t="s">
        <v>7428</v>
      </c>
      <c r="C388" s="12" t="s">
        <v>7431</v>
      </c>
      <c r="D388" s="12" t="s">
        <v>7432</v>
      </c>
      <c r="E388" s="12" t="s">
        <v>808</v>
      </c>
      <c r="F388" s="13" t="s">
        <v>3862</v>
      </c>
      <c r="G388" s="12"/>
      <c r="H388" s="12" t="s">
        <v>3762</v>
      </c>
      <c r="I388" s="12" t="s">
        <v>394</v>
      </c>
      <c r="J388" s="12" t="s">
        <v>112</v>
      </c>
      <c r="K388" s="18" t="s">
        <v>7433</v>
      </c>
      <c r="L388" s="18" t="s">
        <v>112</v>
      </c>
      <c r="M388" s="18" t="s">
        <v>112</v>
      </c>
      <c r="N388" s="18" t="s">
        <v>282</v>
      </c>
      <c r="O388" s="12" t="s">
        <v>6608</v>
      </c>
      <c r="P388" s="12" t="s">
        <v>115</v>
      </c>
      <c r="Q388" s="12" t="s">
        <v>116</v>
      </c>
      <c r="R388" s="19" t="n">
        <f aca="false">COUNTIF(Dati!$B$2:$B$1216,A388)</f>
        <v>4</v>
      </c>
    </row>
    <row r="389" customFormat="false" ht="15" hidden="false" customHeight="false" outlineLevel="0" collapsed="false">
      <c r="A389" s="12" t="s">
        <v>1626</v>
      </c>
      <c r="B389" s="12" t="s">
        <v>1627</v>
      </c>
      <c r="C389" s="12" t="s">
        <v>1628</v>
      </c>
      <c r="D389" s="12" t="s">
        <v>7434</v>
      </c>
      <c r="E389" s="12" t="s">
        <v>1629</v>
      </c>
      <c r="F389" s="13" t="s">
        <v>1630</v>
      </c>
      <c r="G389" s="12"/>
      <c r="H389" s="12" t="s">
        <v>1556</v>
      </c>
      <c r="I389" s="12" t="s">
        <v>394</v>
      </c>
      <c r="J389" s="12" t="s">
        <v>112</v>
      </c>
      <c r="K389" s="18" t="s">
        <v>1633</v>
      </c>
      <c r="L389" s="18" t="s">
        <v>112</v>
      </c>
      <c r="M389" s="18" t="s">
        <v>112</v>
      </c>
      <c r="N389" s="18" t="s">
        <v>282</v>
      </c>
      <c r="O389" s="12" t="s">
        <v>6608</v>
      </c>
      <c r="P389" s="12" t="s">
        <v>115</v>
      </c>
      <c r="Q389" s="12" t="s">
        <v>116</v>
      </c>
      <c r="R389" s="19" t="n">
        <f aca="false">COUNTIF(Dati!$B$2:$B$1216,A389)</f>
        <v>1</v>
      </c>
    </row>
    <row r="390" customFormat="false" ht="23.85" hidden="false" customHeight="false" outlineLevel="0" collapsed="false">
      <c r="A390" s="12" t="s">
        <v>1636</v>
      </c>
      <c r="B390" s="12" t="s">
        <v>1637</v>
      </c>
      <c r="C390" s="12" t="s">
        <v>1638</v>
      </c>
      <c r="D390" s="12" t="s">
        <v>847</v>
      </c>
      <c r="E390" s="12" t="s">
        <v>1639</v>
      </c>
      <c r="F390" s="13" t="s">
        <v>1640</v>
      </c>
      <c r="G390" s="12"/>
      <c r="H390" s="12" t="s">
        <v>1556</v>
      </c>
      <c r="I390" s="12" t="s">
        <v>394</v>
      </c>
      <c r="J390" s="12" t="s">
        <v>112</v>
      </c>
      <c r="K390" s="18" t="s">
        <v>1643</v>
      </c>
      <c r="L390" s="18" t="s">
        <v>112</v>
      </c>
      <c r="M390" s="18" t="s">
        <v>112</v>
      </c>
      <c r="N390" s="18" t="s">
        <v>282</v>
      </c>
      <c r="O390" s="12" t="s">
        <v>6608</v>
      </c>
      <c r="P390" s="12" t="s">
        <v>115</v>
      </c>
      <c r="Q390" s="12" t="s">
        <v>116</v>
      </c>
      <c r="R390" s="19" t="n">
        <f aca="false">COUNTIF(Dati!$B$2:$B$1216,A390)</f>
        <v>1</v>
      </c>
    </row>
    <row r="391" customFormat="false" ht="23.85" hidden="false" customHeight="false" outlineLevel="0" collapsed="false">
      <c r="A391" s="12" t="s">
        <v>4921</v>
      </c>
      <c r="B391" s="12" t="s">
        <v>7435</v>
      </c>
      <c r="C391" s="12" t="s">
        <v>7436</v>
      </c>
      <c r="D391" s="12" t="s">
        <v>181</v>
      </c>
      <c r="E391" s="12" t="s">
        <v>2443</v>
      </c>
      <c r="F391" s="13" t="s">
        <v>4924</v>
      </c>
      <c r="G391" s="12"/>
      <c r="H391" s="12" t="s">
        <v>4873</v>
      </c>
      <c r="I391" s="12" t="s">
        <v>394</v>
      </c>
      <c r="J391" s="12" t="s">
        <v>112</v>
      </c>
      <c r="K391" s="18" t="s">
        <v>7437</v>
      </c>
      <c r="L391" s="18" t="s">
        <v>112</v>
      </c>
      <c r="M391" s="18" t="s">
        <v>112</v>
      </c>
      <c r="N391" s="18" t="s">
        <v>282</v>
      </c>
      <c r="O391" s="12" t="s">
        <v>6732</v>
      </c>
      <c r="P391" s="12" t="s">
        <v>115</v>
      </c>
      <c r="Q391" s="12" t="s">
        <v>116</v>
      </c>
      <c r="R391" s="19" t="n">
        <f aca="false">COUNTIF(Dati!$B$2:$B$1216,A391)</f>
        <v>3</v>
      </c>
    </row>
    <row r="392" customFormat="false" ht="23.85" hidden="false" customHeight="false" outlineLevel="0" collapsed="false">
      <c r="A392" s="12" t="s">
        <v>5389</v>
      </c>
      <c r="B392" s="12" t="s">
        <v>927</v>
      </c>
      <c r="C392" s="12" t="s">
        <v>5390</v>
      </c>
      <c r="D392" s="12" t="s">
        <v>181</v>
      </c>
      <c r="E392" s="12" t="s">
        <v>3087</v>
      </c>
      <c r="F392" s="13" t="s">
        <v>5391</v>
      </c>
      <c r="G392" s="12"/>
      <c r="H392" s="12" t="s">
        <v>5317</v>
      </c>
      <c r="I392" s="12" t="s">
        <v>110</v>
      </c>
      <c r="J392" s="12" t="s">
        <v>112</v>
      </c>
      <c r="K392" s="18" t="s">
        <v>6590</v>
      </c>
      <c r="L392" s="18" t="s">
        <v>112</v>
      </c>
      <c r="M392" s="18" t="s">
        <v>112</v>
      </c>
      <c r="N392" s="18" t="s">
        <v>282</v>
      </c>
      <c r="O392" s="12" t="s">
        <v>282</v>
      </c>
      <c r="P392" s="12" t="s">
        <v>284</v>
      </c>
      <c r="Q392" s="12" t="s">
        <v>838</v>
      </c>
      <c r="R392" s="19" t="n">
        <f aca="false">COUNTIF(Dati!$B$2:$B$1216,A392)</f>
        <v>2</v>
      </c>
    </row>
    <row r="393" customFormat="false" ht="23.85" hidden="false" customHeight="false" outlineLevel="0" collapsed="false">
      <c r="A393" s="12" t="s">
        <v>6472</v>
      </c>
      <c r="B393" s="12" t="s">
        <v>927</v>
      </c>
      <c r="C393" s="12" t="s">
        <v>6473</v>
      </c>
      <c r="D393" s="12" t="s">
        <v>181</v>
      </c>
      <c r="E393" s="12" t="s">
        <v>4207</v>
      </c>
      <c r="F393" s="13" t="s">
        <v>6474</v>
      </c>
      <c r="G393" s="12"/>
      <c r="H393" s="12" t="s">
        <v>7276</v>
      </c>
      <c r="I393" s="12" t="s">
        <v>110</v>
      </c>
      <c r="J393" s="12" t="s">
        <v>112</v>
      </c>
      <c r="K393" s="18" t="s">
        <v>7438</v>
      </c>
      <c r="L393" s="18" t="s">
        <v>6587</v>
      </c>
      <c r="M393" s="18" t="s">
        <v>282</v>
      </c>
      <c r="N393" s="18" t="s">
        <v>282</v>
      </c>
      <c r="O393" s="12" t="s">
        <v>6588</v>
      </c>
      <c r="P393" s="12" t="s">
        <v>284</v>
      </c>
      <c r="Q393" s="12" t="s">
        <v>838</v>
      </c>
      <c r="R393" s="19" t="n">
        <f aca="false">COUNTIF(Dati!$B$2:$B$1216,A393)</f>
        <v>2</v>
      </c>
    </row>
    <row r="394" customFormat="false" ht="15" hidden="false" customHeight="false" outlineLevel="0" collapsed="false">
      <c r="A394" s="12" t="s">
        <v>4295</v>
      </c>
      <c r="B394" s="12" t="s">
        <v>927</v>
      </c>
      <c r="C394" s="12" t="s">
        <v>4296</v>
      </c>
      <c r="D394" s="12" t="s">
        <v>181</v>
      </c>
      <c r="E394" s="12" t="s">
        <v>4297</v>
      </c>
      <c r="F394" s="13" t="s">
        <v>4298</v>
      </c>
      <c r="G394" s="12"/>
      <c r="H394" s="12" t="s">
        <v>3908</v>
      </c>
      <c r="I394" s="12" t="s">
        <v>110</v>
      </c>
      <c r="J394" s="12" t="s">
        <v>112</v>
      </c>
      <c r="K394" s="18" t="s">
        <v>7439</v>
      </c>
      <c r="L394" s="18" t="s">
        <v>112</v>
      </c>
      <c r="M394" s="18" t="s">
        <v>112</v>
      </c>
      <c r="N394" s="18" t="s">
        <v>282</v>
      </c>
      <c r="O394" s="12" t="s">
        <v>282</v>
      </c>
      <c r="P394" s="12" t="s">
        <v>284</v>
      </c>
      <c r="Q394" s="12" t="s">
        <v>838</v>
      </c>
      <c r="R394" s="19" t="n">
        <f aca="false">COUNTIF(Dati!$B$2:$B$1216,A394)</f>
        <v>2</v>
      </c>
    </row>
    <row r="395" customFormat="false" ht="23.85" hidden="false" customHeight="false" outlineLevel="0" collapsed="false">
      <c r="A395" s="12" t="s">
        <v>926</v>
      </c>
      <c r="B395" s="12" t="s">
        <v>927</v>
      </c>
      <c r="C395" s="12" t="s">
        <v>928</v>
      </c>
      <c r="D395" s="12" t="s">
        <v>7440</v>
      </c>
      <c r="E395" s="12" t="s">
        <v>929</v>
      </c>
      <c r="F395" s="13" t="s">
        <v>930</v>
      </c>
      <c r="G395" s="12"/>
      <c r="H395" s="12" t="s">
        <v>757</v>
      </c>
      <c r="I395" s="12" t="s">
        <v>110</v>
      </c>
      <c r="J395" s="12" t="s">
        <v>112</v>
      </c>
      <c r="K395" s="18" t="s">
        <v>7037</v>
      </c>
      <c r="L395" s="18" t="s">
        <v>112</v>
      </c>
      <c r="M395" s="18" t="s">
        <v>112</v>
      </c>
      <c r="N395" s="18" t="s">
        <v>282</v>
      </c>
      <c r="O395" s="12" t="s">
        <v>282</v>
      </c>
      <c r="P395" s="12" t="s">
        <v>284</v>
      </c>
      <c r="Q395" s="12" t="s">
        <v>838</v>
      </c>
      <c r="R395" s="19" t="n">
        <f aca="false">COUNTIF(Dati!$B$2:$B$1216,A395)</f>
        <v>2</v>
      </c>
    </row>
    <row r="396" customFormat="false" ht="23.85" hidden="false" customHeight="false" outlineLevel="0" collapsed="false">
      <c r="A396" s="12" t="s">
        <v>938</v>
      </c>
      <c r="B396" s="12" t="s">
        <v>927</v>
      </c>
      <c r="C396" s="12" t="s">
        <v>7441</v>
      </c>
      <c r="D396" s="12" t="s">
        <v>181</v>
      </c>
      <c r="E396" s="12" t="s">
        <v>940</v>
      </c>
      <c r="F396" s="13" t="s">
        <v>941</v>
      </c>
      <c r="G396" s="12"/>
      <c r="H396" s="12" t="s">
        <v>757</v>
      </c>
      <c r="I396" s="12" t="s">
        <v>110</v>
      </c>
      <c r="J396" s="12" t="s">
        <v>112</v>
      </c>
      <c r="K396" s="18" t="s">
        <v>7037</v>
      </c>
      <c r="L396" s="18" t="s">
        <v>112</v>
      </c>
      <c r="M396" s="18" t="s">
        <v>112</v>
      </c>
      <c r="N396" s="18" t="s">
        <v>282</v>
      </c>
      <c r="O396" s="12" t="s">
        <v>282</v>
      </c>
      <c r="P396" s="12" t="s">
        <v>284</v>
      </c>
      <c r="Q396" s="12" t="s">
        <v>838</v>
      </c>
      <c r="R396" s="19" t="n">
        <f aca="false">COUNTIF(Dati!$B$2:$B$1216,A396)</f>
        <v>1</v>
      </c>
    </row>
    <row r="397" customFormat="false" ht="23.85" hidden="false" customHeight="false" outlineLevel="0" collapsed="false">
      <c r="A397" s="12" t="s">
        <v>1340</v>
      </c>
      <c r="B397" s="12" t="s">
        <v>1341</v>
      </c>
      <c r="C397" s="12" t="s">
        <v>7442</v>
      </c>
      <c r="D397" s="12" t="s">
        <v>181</v>
      </c>
      <c r="E397" s="12" t="s">
        <v>940</v>
      </c>
      <c r="F397" s="13" t="s">
        <v>1343</v>
      </c>
      <c r="G397" s="12"/>
      <c r="H397" s="12" t="s">
        <v>1293</v>
      </c>
      <c r="I397" s="12" t="s">
        <v>394</v>
      </c>
      <c r="J397" s="12" t="s">
        <v>112</v>
      </c>
      <c r="K397" s="18" t="s">
        <v>7443</v>
      </c>
      <c r="L397" s="18" t="s">
        <v>112</v>
      </c>
      <c r="M397" s="18" t="s">
        <v>112</v>
      </c>
      <c r="N397" s="18" t="s">
        <v>282</v>
      </c>
      <c r="O397" s="12" t="s">
        <v>6732</v>
      </c>
      <c r="P397" s="12" t="s">
        <v>115</v>
      </c>
      <c r="Q397" s="12" t="s">
        <v>116</v>
      </c>
      <c r="R397" s="19" t="n">
        <f aca="false">COUNTIF(Dati!$B$2:$B$1216,A397)</f>
        <v>1</v>
      </c>
    </row>
    <row r="398" customFormat="false" ht="23.85" hidden="false" customHeight="false" outlineLevel="0" collapsed="false">
      <c r="A398" s="12" t="s">
        <v>4908</v>
      </c>
      <c r="B398" s="12" t="s">
        <v>7444</v>
      </c>
      <c r="C398" s="12" t="s">
        <v>7445</v>
      </c>
      <c r="D398" s="12" t="s">
        <v>181</v>
      </c>
      <c r="E398" s="12" t="s">
        <v>4911</v>
      </c>
      <c r="F398" s="13" t="s">
        <v>4912</v>
      </c>
      <c r="G398" s="12"/>
      <c r="H398" s="12" t="s">
        <v>4873</v>
      </c>
      <c r="I398" s="12" t="s">
        <v>394</v>
      </c>
      <c r="J398" s="12" t="s">
        <v>112</v>
      </c>
      <c r="K398" s="18" t="s">
        <v>7446</v>
      </c>
      <c r="L398" s="18" t="s">
        <v>112</v>
      </c>
      <c r="M398" s="18" t="s">
        <v>112</v>
      </c>
      <c r="N398" s="18" t="s">
        <v>282</v>
      </c>
      <c r="O398" s="12" t="s">
        <v>6732</v>
      </c>
      <c r="P398" s="12" t="s">
        <v>115</v>
      </c>
      <c r="Q398" s="12" t="s">
        <v>116</v>
      </c>
      <c r="R398" s="19" t="n">
        <f aca="false">COUNTIF(Dati!$B$2:$B$1216,A398)</f>
        <v>2</v>
      </c>
    </row>
    <row r="399" customFormat="false" ht="23.85" hidden="false" customHeight="false" outlineLevel="0" collapsed="false">
      <c r="A399" s="12" t="s">
        <v>1646</v>
      </c>
      <c r="B399" s="12" t="s">
        <v>1647</v>
      </c>
      <c r="C399" s="12" t="s">
        <v>1648</v>
      </c>
      <c r="D399" s="12" t="s">
        <v>7447</v>
      </c>
      <c r="E399" s="12" t="s">
        <v>808</v>
      </c>
      <c r="F399" s="13" t="s">
        <v>1649</v>
      </c>
      <c r="G399" s="12"/>
      <c r="H399" s="12" t="s">
        <v>1556</v>
      </c>
      <c r="I399" s="12" t="s">
        <v>394</v>
      </c>
      <c r="J399" s="12" t="s">
        <v>112</v>
      </c>
      <c r="K399" s="18" t="s">
        <v>1652</v>
      </c>
      <c r="L399" s="18" t="s">
        <v>112</v>
      </c>
      <c r="M399" s="18" t="s">
        <v>112</v>
      </c>
      <c r="N399" s="18" t="s">
        <v>282</v>
      </c>
      <c r="O399" s="12" t="s">
        <v>6608</v>
      </c>
      <c r="P399" s="12" t="s">
        <v>115</v>
      </c>
      <c r="Q399" s="12" t="s">
        <v>116</v>
      </c>
      <c r="R399" s="19" t="n">
        <f aca="false">COUNTIF(Dati!$B$2:$B$1216,A399)</f>
        <v>1</v>
      </c>
    </row>
    <row r="400" customFormat="false" ht="23.85" hidden="false" customHeight="false" outlineLevel="0" collapsed="false">
      <c r="A400" s="12" t="s">
        <v>1655</v>
      </c>
      <c r="B400" s="12" t="s">
        <v>1647</v>
      </c>
      <c r="C400" s="12" t="s">
        <v>1656</v>
      </c>
      <c r="D400" s="12" t="s">
        <v>7448</v>
      </c>
      <c r="E400" s="12" t="s">
        <v>1657</v>
      </c>
      <c r="F400" s="13" t="s">
        <v>1658</v>
      </c>
      <c r="G400" s="12"/>
      <c r="H400" s="12" t="s">
        <v>1556</v>
      </c>
      <c r="I400" s="12" t="s">
        <v>394</v>
      </c>
      <c r="J400" s="12" t="s">
        <v>112</v>
      </c>
      <c r="K400" s="18" t="s">
        <v>1652</v>
      </c>
      <c r="L400" s="18" t="s">
        <v>112</v>
      </c>
      <c r="M400" s="18" t="s">
        <v>112</v>
      </c>
      <c r="N400" s="18" t="s">
        <v>282</v>
      </c>
      <c r="O400" s="12" t="s">
        <v>6608</v>
      </c>
      <c r="P400" s="12" t="s">
        <v>115</v>
      </c>
      <c r="Q400" s="12" t="s">
        <v>116</v>
      </c>
      <c r="R400" s="19" t="n">
        <f aca="false">COUNTIF(Dati!$B$2:$B$1216,A400)</f>
        <v>1</v>
      </c>
    </row>
    <row r="401" customFormat="false" ht="68.65" hidden="false" customHeight="false" outlineLevel="0" collapsed="false">
      <c r="A401" s="12" t="s">
        <v>6351</v>
      </c>
      <c r="B401" s="12" t="s">
        <v>7449</v>
      </c>
      <c r="C401" s="12" t="s">
        <v>6353</v>
      </c>
      <c r="D401" s="12" t="s">
        <v>7450</v>
      </c>
      <c r="E401" s="12" t="s">
        <v>1996</v>
      </c>
      <c r="F401" s="13" t="s">
        <v>6354</v>
      </c>
      <c r="G401" s="13" t="s">
        <v>7451</v>
      </c>
      <c r="H401" s="12" t="s">
        <v>7452</v>
      </c>
      <c r="I401" s="12" t="s">
        <v>394</v>
      </c>
      <c r="J401" s="12" t="s">
        <v>112</v>
      </c>
      <c r="K401" s="18" t="s">
        <v>7453</v>
      </c>
      <c r="L401" s="18" t="s">
        <v>7454</v>
      </c>
      <c r="M401" s="18" t="s">
        <v>7455</v>
      </c>
      <c r="N401" s="18" t="s">
        <v>7456</v>
      </c>
      <c r="O401" s="12" t="s">
        <v>6587</v>
      </c>
      <c r="P401" s="12" t="s">
        <v>115</v>
      </c>
      <c r="Q401" s="12" t="s">
        <v>116</v>
      </c>
      <c r="R401" s="19" t="n">
        <f aca="false">COUNTIF(Dati!$B$2:$B$1216,A401)</f>
        <v>2</v>
      </c>
    </row>
    <row r="402" customFormat="false" ht="23.85" hidden="false" customHeight="false" outlineLevel="0" collapsed="false">
      <c r="A402" s="12" t="s">
        <v>1139</v>
      </c>
      <c r="B402" s="12" t="s">
        <v>1140</v>
      </c>
      <c r="C402" s="12" t="s">
        <v>1141</v>
      </c>
      <c r="D402" s="12" t="s">
        <v>1142</v>
      </c>
      <c r="E402" s="12" t="s">
        <v>1142</v>
      </c>
      <c r="F402" s="13" t="s">
        <v>1143</v>
      </c>
      <c r="G402" s="12"/>
      <c r="H402" s="12" t="s">
        <v>948</v>
      </c>
      <c r="I402" s="12" t="s">
        <v>394</v>
      </c>
      <c r="J402" s="12" t="s">
        <v>112</v>
      </c>
      <c r="K402" s="18" t="s">
        <v>7457</v>
      </c>
      <c r="L402" s="18" t="s">
        <v>112</v>
      </c>
      <c r="M402" s="18" t="s">
        <v>112</v>
      </c>
      <c r="N402" s="18" t="s">
        <v>282</v>
      </c>
      <c r="O402" s="12" t="s">
        <v>282</v>
      </c>
      <c r="P402" s="12" t="s">
        <v>284</v>
      </c>
      <c r="Q402" s="12" t="s">
        <v>499</v>
      </c>
      <c r="R402" s="19" t="n">
        <f aca="false">COUNTIF(Dati!$B$2:$B$1216,A402)</f>
        <v>1</v>
      </c>
    </row>
    <row r="403" customFormat="false" ht="57.45" hidden="false" customHeight="false" outlineLevel="0" collapsed="false">
      <c r="A403" s="12" t="s">
        <v>2624</v>
      </c>
      <c r="B403" s="12" t="s">
        <v>7458</v>
      </c>
      <c r="C403" s="12" t="s">
        <v>7459</v>
      </c>
      <c r="D403" s="12" t="s">
        <v>7460</v>
      </c>
      <c r="E403" s="12" t="s">
        <v>2627</v>
      </c>
      <c r="F403" s="13" t="s">
        <v>2628</v>
      </c>
      <c r="G403" s="13" t="s">
        <v>7461</v>
      </c>
      <c r="H403" s="12" t="s">
        <v>2125</v>
      </c>
      <c r="I403" s="12" t="s">
        <v>679</v>
      </c>
      <c r="J403" s="12" t="s">
        <v>617</v>
      </c>
      <c r="K403" s="18" t="s">
        <v>7462</v>
      </c>
      <c r="L403" s="18" t="s">
        <v>112</v>
      </c>
      <c r="M403" s="18" t="s">
        <v>7463</v>
      </c>
      <c r="N403" s="18" t="s">
        <v>7464</v>
      </c>
      <c r="O403" s="12" t="s">
        <v>7465</v>
      </c>
      <c r="P403" s="12" t="s">
        <v>115</v>
      </c>
      <c r="Q403" s="12" t="s">
        <v>116</v>
      </c>
      <c r="R403" s="19" t="n">
        <f aca="false">COUNTIF(Dati!$B$2:$B$1216,A403)</f>
        <v>5</v>
      </c>
    </row>
    <row r="404" customFormat="false" ht="15" hidden="false" customHeight="false" outlineLevel="0" collapsed="false">
      <c r="A404" s="12" t="s">
        <v>6556</v>
      </c>
      <c r="B404" s="12" t="s">
        <v>6557</v>
      </c>
      <c r="C404" s="12" t="s">
        <v>6558</v>
      </c>
      <c r="D404" s="12" t="s">
        <v>847</v>
      </c>
      <c r="E404" s="12" t="s">
        <v>762</v>
      </c>
      <c r="F404" s="13" t="s">
        <v>6559</v>
      </c>
      <c r="G404" s="12"/>
      <c r="H404" s="12" t="s">
        <v>7466</v>
      </c>
      <c r="I404" s="12" t="s">
        <v>110</v>
      </c>
      <c r="J404" s="12" t="s">
        <v>281</v>
      </c>
      <c r="K404" s="18" t="s">
        <v>7467</v>
      </c>
      <c r="L404" s="18" t="s">
        <v>6587</v>
      </c>
      <c r="M404" s="18" t="s">
        <v>282</v>
      </c>
      <c r="N404" s="18" t="s">
        <v>4418</v>
      </c>
      <c r="O404" s="12" t="s">
        <v>6649</v>
      </c>
      <c r="P404" s="12" t="s">
        <v>284</v>
      </c>
      <c r="Q404" s="12" t="s">
        <v>116</v>
      </c>
      <c r="R404" s="19" t="n">
        <f aca="false">COUNTIF(Dati!$B$2:$B$1216,A404)</f>
        <v>1</v>
      </c>
    </row>
    <row r="405" customFormat="false" ht="35.05" hidden="false" customHeight="false" outlineLevel="0" collapsed="false">
      <c r="A405" s="12" t="s">
        <v>2114</v>
      </c>
      <c r="B405" s="12" t="s">
        <v>2115</v>
      </c>
      <c r="C405" s="12" t="s">
        <v>7468</v>
      </c>
      <c r="D405" s="12" t="s">
        <v>915</v>
      </c>
      <c r="E405" s="12" t="s">
        <v>915</v>
      </c>
      <c r="F405" s="13" t="s">
        <v>2117</v>
      </c>
      <c r="G405" s="12"/>
      <c r="H405" s="12" t="s">
        <v>7469</v>
      </c>
      <c r="I405" s="12" t="s">
        <v>679</v>
      </c>
      <c r="J405" s="12" t="s">
        <v>112</v>
      </c>
      <c r="K405" s="18" t="s">
        <v>7470</v>
      </c>
      <c r="L405" s="18" t="s">
        <v>112</v>
      </c>
      <c r="M405" s="18" t="s">
        <v>112</v>
      </c>
      <c r="N405" s="18" t="s">
        <v>7471</v>
      </c>
      <c r="O405" s="12" t="s">
        <v>282</v>
      </c>
      <c r="P405" s="12" t="s">
        <v>284</v>
      </c>
      <c r="Q405" s="12" t="s">
        <v>838</v>
      </c>
      <c r="R405" s="19" t="n">
        <f aca="false">COUNTIF(Dati!$B$2:$B$1216,A405)</f>
        <v>1</v>
      </c>
    </row>
    <row r="406" customFormat="false" ht="23.85" hidden="false" customHeight="false" outlineLevel="0" collapsed="false">
      <c r="A406" s="12" t="s">
        <v>1350</v>
      </c>
      <c r="B406" s="12" t="s">
        <v>7472</v>
      </c>
      <c r="C406" s="12" t="s">
        <v>1352</v>
      </c>
      <c r="D406" s="12" t="s">
        <v>808</v>
      </c>
      <c r="E406" s="12" t="s">
        <v>1353</v>
      </c>
      <c r="F406" s="13" t="s">
        <v>1354</v>
      </c>
      <c r="G406" s="12"/>
      <c r="H406" s="12" t="s">
        <v>1293</v>
      </c>
      <c r="I406" s="12" t="s">
        <v>394</v>
      </c>
      <c r="J406" s="12" t="s">
        <v>112</v>
      </c>
      <c r="K406" s="18" t="s">
        <v>7443</v>
      </c>
      <c r="L406" s="18" t="s">
        <v>112</v>
      </c>
      <c r="M406" s="18" t="s">
        <v>112</v>
      </c>
      <c r="N406" s="18" t="s">
        <v>282</v>
      </c>
      <c r="O406" s="12" t="s">
        <v>6732</v>
      </c>
      <c r="P406" s="12" t="s">
        <v>115</v>
      </c>
      <c r="Q406" s="12" t="s">
        <v>116</v>
      </c>
      <c r="R406" s="19" t="n">
        <f aca="false">COUNTIF(Dati!$B$2:$B$1216,A406)</f>
        <v>1</v>
      </c>
    </row>
    <row r="407" customFormat="false" ht="23.85" hidden="false" customHeight="false" outlineLevel="0" collapsed="false">
      <c r="A407" s="12" t="s">
        <v>1359</v>
      </c>
      <c r="B407" s="12" t="s">
        <v>7472</v>
      </c>
      <c r="C407" s="12" t="s">
        <v>1360</v>
      </c>
      <c r="D407" s="12" t="s">
        <v>181</v>
      </c>
      <c r="E407" s="12" t="s">
        <v>940</v>
      </c>
      <c r="F407" s="13" t="s">
        <v>1361</v>
      </c>
      <c r="G407" s="12"/>
      <c r="H407" s="12" t="s">
        <v>1293</v>
      </c>
      <c r="I407" s="12" t="s">
        <v>394</v>
      </c>
      <c r="J407" s="12" t="s">
        <v>112</v>
      </c>
      <c r="K407" s="18" t="s">
        <v>7443</v>
      </c>
      <c r="L407" s="18" t="s">
        <v>112</v>
      </c>
      <c r="M407" s="18" t="s">
        <v>112</v>
      </c>
      <c r="N407" s="18" t="s">
        <v>282</v>
      </c>
      <c r="O407" s="12" t="s">
        <v>6732</v>
      </c>
      <c r="P407" s="12" t="s">
        <v>115</v>
      </c>
      <c r="Q407" s="12" t="s">
        <v>116</v>
      </c>
      <c r="R407" s="19" t="n">
        <f aca="false">COUNTIF(Dati!$B$2:$B$1216,A407)</f>
        <v>3</v>
      </c>
    </row>
  </sheetData>
  <autoFilter ref="A1:R407"/>
  <hyperlinks>
    <hyperlink ref="F2" r:id="rId1" display="https://www.6wresearch.com/industry-report/czech-republic-cybersecurity-market"/>
    <hyperlink ref="F3" r:id="rId2" display="https://www.6wresearch.com/industry-report/germany-cyber-security-market-2020-2026"/>
    <hyperlink ref="F4" r:id="rId3" display="https://www.6wresearch.com/industry-report/europe-cyber-security-market"/>
    <hyperlink ref="G4" r:id="rId4" display="https://www.6wresearch.com/faqs"/>
    <hyperlink ref="F5" r:id="rId5" display="https://www.6wresearch.com/industry-report/hungary-cyber-security-market"/>
    <hyperlink ref="F6" r:id="rId6" display="https://www.6wresearch.com/industry-report/poland-cyber-security-market"/>
    <hyperlink ref="F7" r:id="rId7" display="https://www.6wresearch.com/industry-report/romania-cybersecurity-market"/>
    <hyperlink ref="F8" r:id="rId8" display="https://www.6wresearch.com/industry-report/slovakia-cyber-security-market"/>
    <hyperlink ref="F9" r:id="rId9" display="https://www.6wresearch.com/faqs"/>
    <hyperlink ref="G9" r:id="rId10" display="https://www.6wresearch.com/proprietary-intelligence"/>
    <hyperlink ref="F10" r:id="rId11" display="https://www.acn.gov.it/portale/documents/d/guest/acn-bilancio-esercizio-2023"/>
    <hyperlink ref="F11" r:id="rId12" display="https://www.acn.gov.it/portale/w/strategia-nazionale-di-cybersicurezza.-pubblicato-il-dpcm-per-la-ripartizione-dei-fondi-nel-triennio-2024-2026"/>
    <hyperlink ref="F12" r:id="rId13" display="https://www.globalsecuritymag.fr/IMG/pdf/Observatoire_ACN_de_la_Confiance_numerique_2019.pdf"/>
    <hyperlink ref="G12" r:id="rId14" display="https://www.confiance-numerique.fr/lobservatoire-de-la-confiance-numerique/"/>
    <hyperlink ref="F13" r:id="rId15" display="http://www.decision.eu/wp-content/uploads/2021/01/Observatoire-ACN-2020.pdf"/>
    <hyperlink ref="G13" r:id="rId16" display="https://www.confiance-numerique.fr/lobservatoire-de-la-confiance-numerique/"/>
    <hyperlink ref="F14" r:id="rId17" display="https://www.confiance-numerique.fr/wp-content/uploads/2023/11/Observatoire-ACN-2021-de-la-confiance-numerique.pdf"/>
    <hyperlink ref="G14" r:id="rId18" display="https://www.confiance-numerique.fr/lobservatoire-de-la-confiance-numerique/"/>
    <hyperlink ref="F15" r:id="rId19" display="http://www.decision.eu/wp-content/uploads/2022/05/Observatoire-ACN-2022.pdf"/>
    <hyperlink ref="G15" r:id="rId20" display="https://www.confiance-numerique.fr/lobservatoire-de-la-confiance-numerique/"/>
    <hyperlink ref="F16" r:id="rId21" display="https://www.confiance-numerique.fr/wp-content/uploads/2023/11/Observatoire-ACN-2023-de-la-confiance-numerique-bd.pdf"/>
    <hyperlink ref="G16" r:id="rId22" display="https://www.confiance-numerique.fr/lobservatoire-de-la-confiance-numerique/"/>
    <hyperlink ref="F17" r:id="rId23" display="https://www.confiance-numerique.fr/wp-content/uploads/2024/05/ACN-Observatoire-de-la-filiere-de-la-confiance-numerique2024-bd.pdf"/>
    <hyperlink ref="G17" r:id="rId24" display="https://www.confiance-numerique.fr/lobservatoire-de-la-confiance-numerique/"/>
    <hyperlink ref="F18" r:id="rId25" display="https://www.confiance-numerique.fr/lobservatoire-de-la-confiance-numerique/"/>
    <hyperlink ref="G18" r:id="rId26" display="https://www.confiance-numerique.fr/lobservatoire-de-la-confiance-numerique/"/>
    <hyperlink ref="F19" r:id="rId27" display="https://www.confiance-numerique.fr/https-www-confiance-numerique-fr-wp-content-uploads-2026-06-observatoire-acn-2026-de-la-confiance-numerique-bd-pdf/"/>
    <hyperlink ref="G19" r:id="rId28" display="https://www.confiance-numerique.fr/lobservatoire-de-la-confiance-numerique/"/>
    <hyperlink ref="F20" r:id="rId29" display="https://www.acn.gov.it/portale/relazione-annuale-2023"/>
    <hyperlink ref="F21" r:id="rId30" display="https://www.acn.gov.it/portale/documents/20119/56212/testo_Frattasi_review_final.pdf/21228528-4473-702f-375a-d8b18ad1bce5?t=1715606273341"/>
    <hyperlink ref="F22" r:id="rId31" display="https://giurisprudenza.unimc.it/it/ricerca/dirittoapplicato/site-news/ACN_Strategia.pdf"/>
    <hyperlink ref="F23" r:id="rId32" display="https://www.agoria.be/en/services/expertise/digitalisation/cybersecurity/belgian-cyber-sector-set-to-double-in-size-within-five-years-4000-experts-needed"/>
    <hyperlink ref="F24" r:id="rId33" display="https://www.agoria.be/en/services/expertise/digitalisation/cybersecurity/first-step-taken-towards-israeli-cyber-reference-model-now-to-invest-in-a-number-of-experts"/>
    <hyperlink ref="F25" r:id="rId34" display="https://cdn.assets.prezly.com/243be490-ca27-4a42-aec1-1dc14b8d6a41/-/inline/no/Agoria_Socio-Economic-Study-Belgian-Cybersecurity-Sector.pdf"/>
    <hyperlink ref="F26" r:id="rId35" display="https://www.agoria.be/nl/diensten/expertise/conjunctuur-prijzen/conjunctuur/trends-en-toekomst-van-de-belgische-ict-bedrijven"/>
    <hyperlink ref="F27" r:id="rId36" display="https://virtualboard.ro/produs/piata-de-cybersecurity-romania-2026/"/>
    <hyperlink ref="F28" r:id="rId37" display="https://www.alliedict.fi/wp-content/uploads/2021/06/3.Kyberturvallisuus_Suomessa_2019-2029.pdf"/>
    <hyperlink ref="F29" r:id="rId38" display="https://www.anitec-assinform.it/kdocs/1920845/il_digitale_in_italia_2018.pdf"/>
    <hyperlink ref="F30" r:id="rId39" display="https://www.anitec-assinform.it/kdocs/1962491/il_digitale_in_italia_2019.pdf"/>
    <hyperlink ref="F31" r:id="rId40" display="https://www.anitec-assinform.it/kdocs/1981743/il_digitale_in_italia_2020_vol_i.pdf"/>
    <hyperlink ref="F32" r:id="rId41" display="https://www.anitec-assinform.it/kdocs/2013003/il_digitale_in_italia_2021.pdf"/>
    <hyperlink ref="F33" r:id="rId42" display="https://www.anitec-assinform.it/kdocs/2065198/il_digitale_in_italia_-_vol_2.pdf"/>
    <hyperlink ref="F34" r:id="rId43" display="https://www.anitec-assinform.it/kdocs/2091849/il_digitale_in_italia_2023_v3.pdf"/>
    <hyperlink ref="F35" r:id="rId44" display="https://www.anitec-assinform.it/kdocs/2146137/il_digitale_in_italia_2024.pdf"/>
    <hyperlink ref="F36" r:id="rId45" display="https://lentepubblica.it/wp-content/uploads/2025/07/ANITEC-ASSINFORM_il_digitale_in_italia_2025_v5-compresso.pdf"/>
    <hyperlink ref="F37" r:id="rId46" display="https://www.anitec-assinform.it/media/comunicati-stampa/anitec-assinform-nel-2025-il-mercato-digitale-in-italia-raggiunge-84-4-miliardi-ecosistema-ict-con-oltre-132mila-imprese-e-piu-di-638mila-addetti.kl"/>
    <hyperlink ref="F38" r:id="rId47" display="https://www.associazionecittadinanzadigitale.org/wp-content/uploads/2026/01/il_digitale_in_italia_2025-previsioni_v4.pdf"/>
    <hyperlink ref="F39" r:id="rId48" display="https://televizniweb.mediar.cz/2025/07/ceske-firmy-stale-podcenuji-kyberbezpecnost-rocne-za-ni-utrati-jen-do-100-000-kc/"/>
    <hyperlink ref="F40" r:id="rId49" display="https://feedit.cz/2026/03/23/vydaje-ceskych-firem-na-kybernetickou-bezpecnost-klesaji-tri-ctvrtiny-spolecnosti-za-ni-rocne-utrati-do-200-000-kc/"/>
    <hyperlink ref="F41" r:id="rId50" display="https://www.bancaditalia.it/pubblicazioni/mercati-infrastrutture-e-sistemi-di-pagamento/approfondimenti/2025-063/N.63-MISP.pdf"/>
    <hyperlink ref="F42" r:id="rId51" display="https://www.bancaditalia.it/pubblicazioni/qef/2017-0407/index.html?com.dotmarketing.htmlpage.language=1"/>
    <hyperlink ref="G42" r:id="rId52" display="https://www.bancaditalia.it/statistiche/basi-dati/bird/imprese-industriali-e-servizi/questionario-indagine-imprese/documenti/2016/Quest_16_ind_50ol.pdf"/>
    <hyperlink ref="F43" r:id="rId53" display="https://www.bdo.nl/getmedia/46087d8a-7d9a-4831-8e1c-fe8482cb676a/Global-and-European-Cybersecurity-Industry.pdf"/>
    <hyperlink ref="F44" r:id="rId54" display="https://www.bdo.nl/getmedia/46087d8a-7d9a-4831-8e1c-fe8482cb676a/Global-and-European-Cybersecurity-Industry.pdf"/>
    <hyperlink ref="F45" r:id="rId55" display="https://www.bitkom.org/Presse/Presseinformation/Digitalbranche-waechst-aber-nicht-ueberall"/>
    <hyperlink ref="F46" r:id="rId56" display="https://www.bitkom.org/Presse/Presseinformation/Lichtblick-Rezession-Digitalbranche-waechst"/>
    <hyperlink ref="F47" r:id="rId57" display="https://www.bitkom.org/Presse/Presseinformation/Rekordjahr-im-Markt-fuer-IT-Sicherheit"/>
    <hyperlink ref="F48" r:id="rId58" display="https://www.bitkom.org/Presse/Presseinformation/Markt-fuer-IT-Sicherheit-auf-Allzeithoch"/>
    <hyperlink ref="F49" r:id="rId59" display="https://www.bitkom.org/Presse/Presseinformation/Markt-fuer-IT-Sicherheit-bricht-Umsatzrekord"/>
    <hyperlink ref="F50" r:id="rId60" display="https://www.bitkom.org/Presse/Presseinformation/7-8-Milliarden-Euro-Markt-fuer-IT-Sicherheit-waechst-2022-um-13-Prozent"/>
    <hyperlink ref="F51" r:id="rId61" display="https://www.bitkom.org/Presse/Presseinformation/Markt-IT-Sicherheit-waechst-mehr-9-Milliarden-Euro"/>
    <hyperlink ref="F52" r:id="rId62" display="https://www.bitkom.org/Presse/Presseinformation/Cybersicherheit-Deutscher-Markt-ueber-10-Milliarden-Marke"/>
    <hyperlink ref="F53" r:id="rId63" display="https://www.bitkom.org/print/pdf/node/25332"/>
    <hyperlink ref="G53" r:id="rId64" display="https://www.bitkom.org/sites/main/files/2025-10/bitkom-charts-cybercrime-und-der-markt-fuer-it-sicherheit-2025.pdf"/>
    <hyperlink ref="F54" r:id="rId65" display="https://www.bitkom.org/Presse/Presseinformation/Cybersicherheit-Deutscher-Markt-ueber-10-Milliarden-Marke"/>
    <hyperlink ref="F55" r:id="rId66" display="https://www.bitkom.org/sites/main/files/2025-12/bitkom-studienbericht-wirtschaftsschutz-2025.pdf"/>
    <hyperlink ref="F56" r:id="rId67" display="https://www.bitkom.org/sites/main/files/2026-09/bitkom-studienbericht-wirtschaftsschutz-2026.pdf"/>
    <hyperlink ref="G56" r:id="rId68" display="https://www.bitkom.org/Bitkom/Publikationen/Wirtschaftsschutz"/>
    <hyperlink ref="F57" r:id="rId69" display="https://bosa.belgium.be/sites/default/files/publications/documents/Assessment%20report%20spending%20reviews%20FR%20def.pdf"/>
    <hyperlink ref="F58" r:id="rId70" display="https://bosa.belgium.be/sites/default/files/content/documents/Spending%20review%20-%20Cybersecurity%20-%20Rapport%20DEFI-PUBLI.pdf"/>
    <hyperlink ref="G58" r:id="rId71" display="https://bosa.belgium.be/sites/default/files/publications/documents/Assessment%20report%20spending%20reviews%20FR%20def.pdf"/>
    <hyperlink ref="F59" r:id="rId72" display="https://www.bsi.bund.de/DE/Das-BSI/Auftrag/BSI-Kurzprofil/kurzprofil_node.html"/>
    <hyperlink ref="F60" r:id="rId73" display="https://www.bundestag.de/dokumente/textarchiv/2025/kw38-de-inneres-1104014"/>
    <hyperlink ref="F61" r:id="rId74" display="https://www.bundestag.de/dokumente/textarchiv/2025/kw48-de-inneres-1126080"/>
    <hyperlink ref="F62" r:id="rId75" display="https://www.audit.gov.ie/en/find-report/publications/2024/vote-29-environment-climate-and-communications.pdf"/>
    <hyperlink ref="F63" r:id="rId76" display="https://www.audit.gov.ie/media/jxiaibps/24-vote-24-justice-home-affairs-and-migration.pdf"/>
    <hyperlink ref="F64" r:id="rId77" display="https://canalys.com/newsroom/cybersecurity-market-Q2-2023"/>
    <hyperlink ref="G64" r:id="rId78" display="https://www.trendmicro.com/content/dam/trendmicro/global/en/core/docs/report/rpt-canalys-globalcybersecurity_matrix.pdf"/>
    <hyperlink ref="F65" r:id="rId79" display="https://www.canalys.com/newsroom/cybersecurity-market-share-Q3-2022"/>
    <hyperlink ref="G65" r:id="rId80" display="https://www.trendmicro.com/content/dam/trendmicro/global/en/core/docs/report/rpt-canalys-globalcybersecurity_matrix.pdf"/>
    <hyperlink ref="F66" r:id="rId81" display="https://canalys.com/newsroom/cybersecurity-market-2022"/>
    <hyperlink ref="G66" r:id="rId82" display="https://www.trendmicro.com/content/dam/trendmicro/global/en/core/docs/report/rpt-canalys-globalcybersecurity_matrix.pdf"/>
    <hyperlink ref="F67" r:id="rId83" display="https://www.poslovni.hr/sci-tech/stize-novac-za-ulaganja-u-kiberneticku-sigurnost-a-time-i-opasnost-od-guljenja-4493636"/>
    <hyperlink ref="F68" r:id="rId84" display="https://www.cbi.eu/market-information/outsourcing-itobpo/cybersecurity/market-potential"/>
    <hyperlink ref="G68" r:id="rId85" display="https://www.cbi.eu/sites/default/files/pdf/research/1876.pdf"/>
    <hyperlink ref="F69" r:id="rId86" display="https://digitalk.bg/security/2025/06/05/4789735_cbn_durjavata_e_poharchila_223_mln_leva_za/"/>
    <hyperlink ref="F70" r:id="rId87" display="https://ccb.belgium.be/sites/default/files/2025-12/251204_CCB_Publicatie_10j_FR.pdf"/>
    <hyperlink ref="F71" r:id="rId88" display="https://cesin.fr/document.php?d=69772236858eb&amp;share=1"/>
    <hyperlink ref="F72" r:id="rId89" display="https://www.cipa.it/rilevazioni/economiche/2023/index.html"/>
    <hyperlink ref="F73" r:id="rId90" display="https://www.cipa.it/rilevazioni/economiche/2024/Rilevazione_economica_2024.pdf"/>
    <hyperlink ref="G73" r:id="rId91" display="https://www.cipa.it/rilevazioni/economiche/2024/index.html"/>
    <hyperlink ref="F74" r:id="rId92" display="https://www.cisco.com/c/dam/global/sv_se/home/pdf/secure-digitalization-with-nis2-report-cisco-2023.pdf"/>
    <hyperlink ref="F75" r:id="rId93" display="https://ofcs.report/wp-content/uploads/2019/03/Rapporto_Clusit_2019.pdf"/>
    <hyperlink ref="F76" r:id="rId94" display="https://www.cncs.gov.pt/docs/relatorio-economia2022-obciber-cncs.pdf"/>
    <hyperlink ref="F77" r:id="rId95" display="https://www.cncs.gov.pt/docs/rel-sociedade2025-obciber-cncs.pdf"/>
    <hyperlink ref="F78" r:id="rId96" display="https://www.entreprises.gouv.fr/files/files/Entites/CNI/2025/contrat-filiere-industries-securite.pdf"/>
    <hyperlink ref="F79" r:id="rId97" display="https://www.cognitivemarketresearch.com/cybersecurity-market-report"/>
    <hyperlink ref="F80" r:id="rId98" display="https://www.cognitivemarketresearch.com/cybersecurity-software-market-report"/>
    <hyperlink ref="F81" r:id="rId99" display="https://www.computing.es/mercado-ti/tendencias-en-espana-en-el-mercado-de-ti-para-2016/"/>
    <hyperlink ref="F82" r:id="rId100" display="https://www.confindustria.an.it/documenti/2026/03_Marzo/CyberIndexPMI2025_ExecutiveSummary.pdf"/>
    <hyperlink ref="F83" r:id="rId101" display="https://www.consultancy.nl/nieuws/69608/cybersecuritymarkt-groeit-door-tot-bijna-250-miljard-in-2030"/>
    <hyperlink ref="F84" r:id="rId102" display="https://www.gov.pl/web/cppc/lista-rankingowa-cyberbezpieczne-wodociagi"/>
    <hyperlink ref="F85" r:id="rId103" display="https://csf.bg/zaplati"/>
    <hyperlink ref="F86" r:id="rId104" display="https://cyberireland.ie/wp-content/uploads/2025/06/PE-All-Island-Cyber-Security-Sector-Research-Report-FINAL.pdf"/>
    <hyperlink ref="F87" r:id="rId105" display="https://www.techcentral.ie/cyber-security-industry-contributed-e1-2bn-to-economy-last-year-report/"/>
    <hyperlink ref="F88" r:id="rId106" display="https://cyberireland.ie/wp-content/uploads/2022/05/State-of-the-Cyber-Security-Sector-in-Ireland-2022-Report.pdf"/>
    <hyperlink ref="F89" r:id="rId107" display="https://cyfrowapolska.org/wp-content/uploads/2025/09/Raport_-_mapa_drogowa_polskiej_cyberodpornosci_2025_-1.pdf"/>
    <hyperlink ref="F90" r:id="rId108" display="https://forbes.es/economia/664162/la-mediana-empresa-espanola-solo-destina-un-4-de-su-presupuesto-informatico-a-ciberseguridad-segun-cylum/"/>
    <hyperlink ref="F91" r:id="rId109" display="https://e-gov.bg/wps/portal/agency/all-projects/projects-DAEU/projects-mis"/>
    <hyperlink ref="F92" r:id="rId110" display="https://e-gov.bg/wps/wcm/connect/e-gov.bg-18083/f8d63fb3-47b8-42f9-9f03-75168d028271/Putna_karta_public_v.0.7_Website.pdf?MOD=AJPERES"/>
    <hyperlink ref="F93" r:id="rId111" display="https://www.databridgemarketresearch.com/nucleus/poland-cybersecurity-market"/>
    <hyperlink ref="F94" r:id="rId112" display="https://www.dbk.es/es/detalle-nota/ciberseguridad-2023"/>
    <hyperlink ref="F95" r:id="rId113" display="https://www.dbk.es/es/detalle-nota/ciberseguridad-2025"/>
    <hyperlink ref="F96" r:id="rId114" display="https://assets.publishing.service.gov.uk/media/5a803781ed915d74e33f9237/Cyber_Security_Breaches_Survey_2016_main_report_FINAL.pdf"/>
    <hyperlink ref="F97" r:id="rId115" display="https://assets.publishing.service.gov.uk/media/5a7598a540f0b67b3d5c7bae/Cyber_Security_Breaches_Survey_2017_main_report_PUBLIC.pdf"/>
    <hyperlink ref="F98" r:id="rId116" display="https://assets.publishing.service.gov.uk/media/5adf222ce5274a0d8209473e/Cyber_Security_Breaches_Survey_2018_-_Main_Report.pdf"/>
    <hyperlink ref="F99" r:id="rId117" display="https://assets.publishing.service.gov.uk/media/5ff5bb478fa8f53b772750cf/Cyber_Security_Breaches_Survey_2019_-_Main_Report_-_revised_V2.pdf"/>
    <hyperlink ref="G99" r:id="rId118" display="https://assets.publishing.service.gov.uk/media/5ff5c7278fa8f53b790e7363/Cyber_Security_Breaches_Survey_2019_-_Technical_Annex_V2.pdf"/>
    <hyperlink ref="F100" r:id="rId119" display="https://assets.publishing.service.gov.uk/media/5bd1a221ed915d78c4c8a2ab/UK_Cyber_Sector_Report_-__June_2018.pdf"/>
    <hyperlink ref="F101" r:id="rId120" display="https://assets.publishing.service.gov.uk/media/601a893ee90e07128d62cd72/UK_Cyber_Sectoral_Analysis__2020__Report_V2.pdf"/>
    <hyperlink ref="F102" r:id="rId121" display="https://assets.publishing.service.gov.uk/government/uploads/system/uploads/attachment_data/file/962413/UK_Cyber_Security_Sectoral_Analysis__2021_.pdf"/>
    <hyperlink ref="F103" r:id="rId122" display="https://assets.publishing.service.gov.uk/government/uploads/system/uploads/attachment_data/file/1055565/Cyber_Sectoral_Analysis_2022_Report_V2.1.pdf"/>
    <hyperlink ref="F104" r:id="rId123" display="https://assets.gov.ie/static/documents/national-cyber-security-annual-update-2023.pdf"/>
    <hyperlink ref="F105" r:id="rId124" display="https://www.deloitte.com/content/dam/assets-zone2/es/es/docs/services/risk-advisory/2023/Deloitte-ES-informe-CISOS-ciberseguridad.pdf"/>
    <hyperlink ref="F106" r:id="rId125" display="https://it-sicherheit.de/wp-content/uploads/2024/09/Deloitte_Studie_Cybersecurity_im_Mittelstand.pdf"/>
    <hyperlink ref="G106" r:id="rId126" display="https://www.deloitte.com/de/de/services/deloitte-private/research/cyber-security-im-mittelstand-studie.html"/>
    <hyperlink ref="F107" r:id="rId127" display="https://image.marketing.deloitte.de/lib/fe31117075640474771d75/m/1/b1ee40e7-86b3-4de0-9900-dd20c86f2195.pdf"/>
    <hyperlink ref="G107" r:id="rId128" display="https://www.presseportal.de/pm/60247/5892154"/>
    <hyperlink ref="F108" r:id="rId129" display="https://www.indexpresse-delphes.fr/sites/www.indexpresse-delphes.fr/files/etudes/T3.2110.74-CYBERSECURITE.pdf"/>
    <hyperlink ref="F109" r:id="rId130" display="https://www.entreprises.gouv.fr/secteurs-dactivite/le-secteur-du-numerique-en-france/la-cybersecurite"/>
    <hyperlink ref="F110" r:id="rId131" display="https://www.danskindustri.dk/globalassets/politik-og-analyser/politiske-udspil/2025/cybersikkerhed/cyberpolitisk-rapport_2025_web.pdf?v=250526"/>
    <hyperlink ref="F111" r:id="rId132" display="https://dialogic.nl/wp-content/uploads/2023/06/economische-kansen-van-de-cybersecuritysector-7.pdf"/>
    <hyperlink ref="G111" r:id="rId133" display="https://dialogic.nl/projecten/de-economische-kansen-voor-de-cybersecuritysector/"/>
    <hyperlink ref="F112" r:id="rId134" display="https://dimensionmarketresearch.com/report/europe-cybersecurity-market/"/>
    <hyperlink ref="F113" r:id="rId135" display="https://agerpres.ro/economic/2026/03/16/dinu-dnsc-piata-romaneasca-de-securitate-cibernetica-estimata-la-circa-200-de-milioane-de-euro-este---1537682"/>
    <hyperlink ref="F114" r:id="rId136" display="https://www.dnsc.ro/pagini/proiect-pnrr"/>
    <hyperlink ref="F115" r:id="rId137" display="https://startupcafe.ro/wp-content/uploads/2026/08/dnsc-raport-anual-2025.pdf"/>
    <hyperlink ref="F116" r:id="rId138" display="https://www.gov.ie/en/department-of-justice-home-affairs-and-migration/press-releases/minister-jim-ocallaghan-secures-record-allocation-of-over-617-billion-for-the-justice-sector-in-budget-2026/"/>
    <hyperlink ref="F117" r:id="rId139" display="https://assets.gov.ie/static/documents/72c5df9c/NDP_Sectoral_Investment_Plan-JusticeSector.pdf"/>
    <hyperlink ref="F118" r:id="rId140" display="https://www.gov.uk/government/news/new-cyber-action-plan-to-tackle-threats-and-strengthen-public-services"/>
    <hyperlink ref="F119" r:id="rId141" display="https://www.gov.uk/government/publications/cyber-security-sectoral-analysis-2023/uk-cyber-security-sectoral-analysis-2023"/>
    <hyperlink ref="F120" r:id="rId142" display="https://www.gov.uk/government/publications/cyber-security-sectoral-analysis-2024/cyber-security-sectoral-analysis-2024"/>
    <hyperlink ref="F121" r:id="rId143" display="https://www.gov.uk/government/publications/cyber-security-sectoral-analysis-2025/cyber-security-sectoral-analysis-2025"/>
    <hyperlink ref="F122" r:id="rId144" display="https://www.gov.uk/government/publications/cyber-security-sectoral-analysis-2026/cyber-security-sectoral-analysis-2026"/>
    <hyperlink ref="F123" r:id="rId145" display="https://www.dsn.gob.es/es/actualidad/sala-de-prensa/plan-nacional-ciberseguridad-0"/>
    <hyperlink ref="F124" r:id="rId146" display="https://data.consilium.europa.eu/doc/document/ST-5611-2026-INIT/en/pdf"/>
    <hyperlink ref="G124" r:id="rId147" display="https://data.consilium.europa.eu/doc/document/ST-5611-2026-ADD-4/en/pdf"/>
    <hyperlink ref="F125" r:id="rId148" display="https://ec.europa.eu/commission/presscorner/api/files/document/print/en/ip_23_2243/IP_23_2243_EN.pdf"/>
    <hyperlink ref="G125" r:id="rId149" display="https://www.europarl.europa.eu/legislative-train/theme-a-europe-fit-for-the-digital-age/file-cyber-solidarity-act"/>
    <hyperlink ref="F126" r:id="rId150" display="https://digital-strategy.ec.europa.eu/en/library/digital-europe-more-competitive-autonomous-and-sustainable-europe-brochure"/>
    <hyperlink ref="F127" r:id="rId151" display="https://digital-strategy.ec.europa.eu/en/policies/cybersecurity-policies"/>
    <hyperlink ref="F128" r:id="rId152" display="https://digital-strategy.ec.europa.eu/en/news/digital-europe-programme-fuels-digital-transformation-and-skills-development-across-europe"/>
    <hyperlink ref="F129" r:id="rId153" display="https://www.ipa.government.bg/sites/default/files/digidecade_bg-bg.pdf"/>
    <hyperlink ref="F130" r:id="rId154" display="https://secure.ipex.eu/IPEXL-WEB/download/file/082d29089070f71e019072c2e24e0036"/>
    <hyperlink ref="G130" r:id="rId155" display="https://digital-strategy.ec.europa.eu/en/factpages/state-digital-decade-2024-report"/>
    <hyperlink ref="F131" r:id="rId156" display="https://www.europarl.europa.eu/RegData/docs_autres_institutions/commission_europeenne/com/2025/0290/COM_COM(2025)0290(ANN)_EN.pdf"/>
    <hyperlink ref="G131" r:id="rId157" display="https://digital-strategy.ec.europa.eu/en/library/state-digital-decade-2025-report"/>
    <hyperlink ref="F132" r:id="rId158" display="https://data.consilium.europa.eu/doc/document/ST-10476-2026-ADD-34/en/pdf"/>
    <hyperlink ref="F133" r:id="rId159" display="https://parlament.mt/media/125250/02606.pdf"/>
    <hyperlink ref="F134" r:id="rId160" display="https://interoperable-europe.ec.europa.eu/sites/default/files/inline-files/DPA_Factsheets_2023_Cyprus_vFINAL_rev.pdf"/>
    <hyperlink ref="F135" r:id="rId161" display="https://ec.europa.eu/info/funding-tenders/opportunities/docs/2021-2027/horizon/wp-call/2025/wp-6-civil-security-for-society_horizon-2025_en.pdf"/>
    <hyperlink ref="G135" r:id="rId162" display="https://cybersecurity-centre.europa.eu/funding-opportunities/calls-proposals/increased-cybersecurity-horizon-cl3-2025-02-cs-eccc_en"/>
    <hyperlink ref="F136" r:id="rId163" display="https://edz.bib.uni-mannheim.de/www-edz/pdf/swd/2017/swd-2017-0500-4-en.pdf"/>
    <hyperlink ref="G136" r:id="rId164" display="https://edz.bib.uni-mannheim.de/www-edz/pdf/swd/2017/swd-2017-0500-5-en.pdf"/>
    <hyperlink ref="F137" r:id="rId165" display="https://www.eerstekamer.nl/bijlage/20210114/swd_2020_345_impact_assessment_7/document3/f=/vlfghch5jfhz.pdf"/>
    <hyperlink ref="G137" r:id="rId166" display="https://eur-lex.europa.eu/legal-content/EN/TXT/HTML/?uri=CELEX:52020SC0345"/>
    <hyperlink ref="F138" r:id="rId167" display="https://www.eca.europa.eu/Lists/ECADocuments/BRP_CYBERSECURITY/BRP_CYBERSECURITY_EN.pdf"/>
    <hyperlink ref="F139" r:id="rId168" display="https://www.eca.europa.eu/sites/cc/Lists/CCDocuments/Compendium_Cybersecurity/CC_Compendium_Cybersecurity_EN.pdf"/>
    <hyperlink ref="F140" r:id="rId169" display="https://cybersecurity-centre.europa.eu/document/download/8af166e1-69c5-4ccd-b38f-5a3ffe43ad73_en?filename=DEP%20WP2025-2027_March2025.pdf"/>
    <hyperlink ref="G140" r:id="rId170" display="https://cybersecurity-centre.europa.eu/funding-opportunities_en"/>
    <hyperlink ref="F141" r:id="rId171" display="https://cybersecurity-centre.europa.eu/document/download/a35f7be2-4464-43d3-a40f-6ec942036f48_en?filename=Amendment2cleanDEPcybersecurityWP2025-2027.pdf"/>
    <hyperlink ref="F142" r:id="rId172" display="https://cybersecurity-centre.europa.eu/system/files/2024-01/ECCC%20GB%20Decision%20No%202023_8%20ECCC%20final%20SPD%202024-2026.pdf"/>
    <hyperlink ref="F143" r:id="rId173" display="https://ecs-org.eu/ecso-uploads/2024/12/ECSO-Cybersecurity-Market-Analysis-and-Recommendations-v1.1.pdf"/>
    <hyperlink ref="G143" r:id="rId174" display="https://ecs-org.eu/?publications=ecso-cybersecurity-market-analysis-and-recommendations"/>
    <hyperlink ref="F144" r:id="rId175" display="https://ecs-org.eu/ecso-uploads/2022/10/59e615c9dd8f1.pdf"/>
    <hyperlink ref="F145" r:id="rId176" display="https://ecs-org.eu/ecso-uploads/2022/10/61dbf641ebada.pdf"/>
    <hyperlink ref="F146" r:id="rId177" display="https://eis.ee/ettev%C3%B5tjad-saavad-t%C3%A4nasest-taotleda-k%C3%BCberturbe-taseme-t%C3%B5stmise-toetust/"/>
    <hyperlink ref="F147" r:id="rId178" display="https://ek.fi/wp-content/uploads/2022/03/Kyberturvallisuuswebinaari-31032022_jaettava.pdf"/>
    <hyperlink ref="F148" r:id="rId179" display="https://www.enisa.europa.eu/sites/default/files/2025-06/Consolidated%20Annual%20Activity%20Report%202024.pdf"/>
    <hyperlink ref="F149" r:id="rId180" display="https://www.enisa.europa.eu/sites/default/files/all_files/2017-07-13%20ENISA%20contrib%20to%20EU%20CSS%20review%20V%20B%20final.pdf"/>
    <hyperlink ref="F150" r:id="rId181" display="https://www.enisa.europa.eu/sites/default/files/publications/WP%202021%20O.7.1%20-%20Market%20Analysis%20-%20IoT%20Smart%20Grid.pdf"/>
    <hyperlink ref="G150" r:id="rId182" display="https://www.enisa.europa.eu/publications/eu-cybersecurity-market-analysis-iot-in-distribution-grid"/>
    <hyperlink ref="F151" r:id="rId183" display="https://www.enisa.europa.eu/sites/default/files/2025-06/ENISA_MSS_Market_Analysis_en_0.pdf"/>
    <hyperlink ref="G151" r:id="rId184" display="https://www.enisa.europa.eu/publications/managed-security-services-market-analysis"/>
    <hyperlink ref="F152" r:id="rId185" display="https://www.enisa.europa.eu/sites/default/files/publications/ENISA%20-%20NIS%20Investments%20Report.pdf"/>
    <hyperlink ref="G152" r:id="rId186" display="https://www.enisa.europa.eu/publications/nis-investments"/>
    <hyperlink ref="F153" r:id="rId187" display="https://www.enisa.europa.eu/sites/default/files/publications/ENISA%20Report%20-%20NIS%20Investments%202021.pdf"/>
    <hyperlink ref="G153" r:id="rId188" display="https://www.enisa.europa.eu/publications/nis-investments-2021"/>
    <hyperlink ref="F154" r:id="rId189" display="https://www.enisa.europa.eu/sites/default/files/publications/NIS%20Investments%202022.pdf"/>
    <hyperlink ref="G154" r:id="rId190" display="https://www.enisa.europa.eu/publications/nis-investments-2022"/>
    <hyperlink ref="F155" r:id="rId191" display="https://www.enisa.europa.eu/sites/default/files/publications/CSPA%20-%20NIS%20Investments%20-%202023.pdf"/>
    <hyperlink ref="G155" r:id="rId192" display="https://www.enisa.europa.eu/publications/nis-investments-2023"/>
    <hyperlink ref="F156" r:id="rId193" display="https://www.enisa.europa.eu/sites/default/files/2024-11/CSPA%20-%20NIS%20Investments%20-%202024_0.pdf"/>
    <hyperlink ref="G156" r:id="rId194" display="https://www.enisa.europa.eu/publications/nis-investments-2024"/>
    <hyperlink ref="F157" r:id="rId195" display="https://www.enisa.europa.eu/sites/default/files/2025-12/NIS%20Investments%202025%20-%20Main%20report.pdf"/>
    <hyperlink ref="G157" r:id="rId196" display="https://www.enisa.europa.eu/sites/default/files/2025-12/NIS%20Investments%202025%20-%20Survey%20data%20companion%20document.pdf"/>
    <hyperlink ref="F158" r:id="rId197" display="https://www.europarl.europa.eu/RegData/etudes/STUD/2025/778576/ECTI_STU(2025)778576_EN.pdf"/>
    <hyperlink ref="G158" r:id="rId198" display="https://www.europarl.europa.eu/thinktank/de/document/ECTI_STU(2025)778576"/>
    <hyperlink ref="F159" r:id="rId199" display="https://www.europarl.europa.eu/RegData/etudes/BRIE/2017/603231/EPRS_BRI(2017)603231_EN.pdf"/>
    <hyperlink ref="F160" r:id="rId200" display="https://www.europarl.europa.eu/RegData/etudes/BRIE/2025/772881/EPRS_BRI(2025)772881_EN.pdf"/>
    <hyperlink ref="G160" r:id="rId201" display="https://www.europarl.europa.eu/thinktank/en/document/EPRS_BRI(2025)772881"/>
    <hyperlink ref="F161" r:id="rId202" display="https://www.europarl.europa.eu/RegData/etudes/STUD/2017/614531/EPRS_STU(2017)614531_EN.pdf"/>
    <hyperlink ref="F162" r:id="rId203" display="https://www.europarl.europa.eu/RegData/etudes/STUD/2017/603948/EPRS_STU(2017)603948_EN.pdf"/>
    <hyperlink ref="F163" r:id="rId204" display="https://e-security.bg/balgarskiyat-pazar-na-kibersigurnost-dostiga-8264-miliona-dolara-prez-2025-g/"/>
    <hyperlink ref="F164" r:id="rId205" display="https://research.exaegis.com/cybersecurite"/>
    <hyperlink ref="F165" r:id="rId206" display="https://www.expertmarketresearch.com/de/reports/germany-cyber-security-market"/>
    <hyperlink ref="F166" r:id="rId207" display="https://www.ey.com/de_at/insights/cybersecurity/ey-cybersecurity-studie"/>
    <hyperlink ref="G166" r:id="rId208" display="https://www.ey.com/de_at/newsroom/2026/08/ey-cybersecurity-2026"/>
    <hyperlink ref="F167" r:id="rId209" display="https://www.fin.ee/sites/default/files/documents/2026-01/8.%20Digital%20society_0.pdf"/>
    <hyperlink ref="F168" r:id="rId210" display="https://finans.dk/tech/ECE11311839/danske-virksomheder-bruger-milliarder-paa-at-holde-hackerne-vaek/"/>
    <hyperlink ref="F169" r:id="rId211" display="https://finans.dk/tech/ECE14053355/nye-krav-til-cybersikkerhed-sender-milliardregning-videre-til-danske-virksomheder/"/>
    <hyperlink ref="F170" r:id="rId212" display="https://www.cfcs.dk/globalassets/cfcs/dokumenter/2022/ncis_2022-2024_en.pdf"/>
    <hyperlink ref="F171" r:id="rId213" display="https://www.fortunebusinessinsights.com/industry-reports/cyber-security-market-101165?key5sk1=f54b506722f3f6b72e6b2c2e1aaac2cc1e2a057d&amp;af=7639"/>
    <hyperlink ref="F172" r:id="rId214" display="https://www.fortunebusinessinsights.com/industry-reports/cyber-security-market-101165"/>
    <hyperlink ref="G172" r:id="rId215" display="https://www.fortunebusinessinsights.com/methodology/quantum-computing-in-cybersecurity-market-118130"/>
    <hyperlink ref="F173" r:id="rId216" display="https://www.fortunebusinessinsights.com/methodology/quantum-computing-in-cybersecurity-market-118130"/>
    <hyperlink ref="F174" r:id="rId217" display="https://www.fortunebusinessinsights.com/industry-reports/cyber-security-market-101165"/>
    <hyperlink ref="F175" r:id="rId218" display="https://blog.forumforthefuture.be/fr/article/quand-la-cour-des-comptes-se-penche-sur-la-politique-nationale-de-cybersecurite/32385"/>
    <hyperlink ref="F176" r:id="rId219" display="https://www.frontier-economics.com/media/izyk5rgz/assessing-the-economic-cost-of-eu-initiatives-on-cybersecurity.pdf"/>
    <hyperlink ref="F177" r:id="rId220" display="https://www.frost.com/files/7214/9324/1278/Fortinet_Award_Write_Up.pdf"/>
    <hyperlink ref="F178" r:id="rId221" display="https://www.gartner.com/en/articles/information-security"/>
    <hyperlink ref="G178" r:id="rId222" display="https://www.gartner.com/en/newsroom/press-releases/2025-07-15-gartner-forecasts-worldwide-it-spending-to-grow-7-point-9-percent-in-2025"/>
    <hyperlink ref="F179" r:id="rId223" display="https://www.gartner.com/en/newsroom/press-releases/2024-11-07-gartner-forecasts--it-sending-in-europe-to-grow-9-percent-in-2025"/>
    <hyperlink ref="G179" r:id="rId224" display="https://www.gartner.com/en/newsroom/press-releases/2025-07-15-gartner-forecasts-worldwide-it-spending-to-grow-7-point-9-percent-in-2025"/>
    <hyperlink ref="F180" r:id="rId225" display="https://www.gns.gov.pt/docs/pa-2025.pdf"/>
    <hyperlink ref="F181" r:id="rId226" display="https://www.info.gouv.fr/actualite/un-plan-a-1-milliard-d-euros-pour-renforcer-la-cybersecurite"/>
    <hyperlink ref="F182" r:id="rId227" display="https://portugal.gov.pt/gc23/comunicacao/noticias/prr-vai-investir-47-milhoes-na-formacao-em-ciberseguranca"/>
    <hyperlink ref="F183" r:id="rId228" display="https://www.grandviewresearch.com/horizon/outlook/cyber-security-market/germany"/>
    <hyperlink ref="F184" r:id="rId229" display="https://www.grandviewresearch.com/industry-analysis/europe-cyber-security-market-report"/>
    <hyperlink ref="G184" r:id="rId230" display="https://www.grandviewresearch.com/info/research-methodology"/>
    <hyperlink ref="F185" r:id="rId231" display="https://www.grandviewresearch.com/horizon/outlook/cyber-security-market/france"/>
    <hyperlink ref="F186" r:id="rId232" display="https://www.grandviewresearch.com/horizon/outlook/cyber-security-services-market/germany"/>
    <hyperlink ref="F187" r:id="rId233" display="https://www.grandviewresearch.com/horizon/outlook/cyber-security-services-market/france"/>
    <hyperlink ref="F188" r:id="rId234" display="https://www.grandviewresearch.com/horizon/outlook/cyber-security-services-market/uk"/>
    <hyperlink ref="F189" r:id="rId235" display="https://www.grandviewresearch.com/horizon/outlook/cyber-security-market/uk"/>
    <hyperlink ref="F190" r:id="rId236" display="https://www.grandviewresearch.com/horizon/outlook/cyber-security-market/europe"/>
    <hyperlink ref="G190" r:id="rId237" display="https://www.grandviewresearch.com/info/research-methodology"/>
    <hyperlink ref="F191" r:id="rId238" display="https://www.grandviewresearch.com/info/research-methodology"/>
    <hyperlink ref="G191" r:id="rId239" display="https://www.grandviewresearch.com/info/research-methodology"/>
    <hyperlink ref="F192" r:id="rId240" display="https://agerpres.ro/comunicate/2026/09/03/comunicat-de-presa---guvern--1590336"/>
    <hyperlink ref="F193" r:id="rId241" display="https://www.gov.uk/government/publications/national-cyber-strategy-2022/national-cyber-security-strategy-2022"/>
    <hyperlink ref="F194" r:id="rId242" display="https://assets.publishing.service.gov.uk/media/5a81914de5274a2e8ab54ae9/national_cyber_security_strategy_2016.pdf"/>
    <hyperlink ref="F195" r:id="rId243" display="https://net.jogtar.hu/jogszabaly?docid=a2400069.tv"/>
    <hyperlink ref="F196" r:id="rId244" display="https://www.icex.es/content/dam/icex/centros/belgica/documentos/2025/estudio-mercado-ciberseguridad-belgica-2025-resumen.pdf"/>
    <hyperlink ref="F197" r:id="rId245" display="https://www.icex.es/content/dam/icex/centros/suecia/documentos/2025/estudio-mercado-ciberseguridad-suecia-2025-resumen.pdf"/>
    <hyperlink ref="F198" r:id="rId246" display="https://www.idc.com/resource-center/blog/resource-region/3_223/page/28/"/>
    <hyperlink ref="G198" r:id="rId247" display="https://my.idc.com/getdoc.jsp?containerId=IDC_P33461"/>
    <hyperlink ref="F199" r:id="rId248" display="https://www.idc.com/resource-center/blog/resource-region/3_223/page/24/"/>
    <hyperlink ref="G199" r:id="rId249" display="https://my.idc.com/getdoc.jsp?containerId=IDC_P33461"/>
    <hyperlink ref="F200" r:id="rId250" display="https://6740520.fs1.hubspotusercontent-na1.net/hubfs/6740520/ES_Files/IDC-Ciberseguridad-oct-2023-vf-maquetada-2.pdf"/>
    <hyperlink ref="F201" r:id="rId251" display="https://www.channeltrends.cz/n/bezpecnostni-reseni/"/>
    <hyperlink ref="F202" r:id="rId252" display="https://www.zdnet.com/article/cybersecurity-this-is-how-firms-are-spending-their-budget-this-year/"/>
    <hyperlink ref="G202" r:id="rId253" display="https://my.idc.com/getdoc.jsp?containerId=IDC_P33461"/>
    <hyperlink ref="F203" r:id="rId254" display="https://www.thefastmode.com/technology-and-solution-trends/27038-european-it-security-spending-to-continue-to-rise-at-sustained-pace-says-idc"/>
    <hyperlink ref="G203" r:id="rId255" display="https://my.idc.com/getdoc.jsp?containerId=IDC_P33461"/>
    <hyperlink ref="F204" r:id="rId256" display="https://my.idc.com/getdoc.jsp?containerId=prEUR251983724"/>
    <hyperlink ref="G204" r:id="rId257" display="https://my.idc.com/getdoc.jsp?containerId=IDC_P33461"/>
    <hyperlink ref="F205" r:id="rId258" display="https://my.idc.com/getdoc.jsp?containerId=prEUR253305325"/>
    <hyperlink ref="G205" r:id="rId259" display="https://my.idc.com/getdoc.jsp?containerId=IDC_P33461"/>
    <hyperlink ref="F206" r:id="rId260" display="https://www.silicon.fr/business-1367/les-benchmarks-de-lit-2026-les-solutions-de-cybersecurite-226696"/>
    <hyperlink ref="F207" r:id="rId261" display="https://www.isbtech.pl/2023/09/polska-zwieksza-wydatki-na-bezpieczenstwo-w-cyberprzestrzeni/"/>
    <hyperlink ref="F208" r:id="rId262" display="https://my.idc.com/eu/events/71329-idc-security-forum?g_clang=ENG"/>
    <hyperlink ref="G208" r:id="rId263" display="https://my.idc.com/getdoc.jsp?containerId=IDC_P33461"/>
    <hyperlink ref="F209" r:id="rId264" display="https://event.idc.com/event/it-security-summit-uk/"/>
    <hyperlink ref="G209" r:id="rId265" display="https://my.idc.com/getdoc.jsp?containerId=IDC_P33461"/>
    <hyperlink ref="F210" r:id="rId266" display="https://my.idc.com/getdoc.jsp?containerId=IDC_P33461"/>
    <hyperlink ref="G210" r:id="rId267" display="https://my.idc.com/research/viewtoc.jsp?containerId=US53248825"/>
    <hyperlink ref="F211" r:id="rId268" display="https://www.idealholdings.gr/media/cgub5m1l/ideal-holdings_morgan-stanley-athex-greek-investment-conference-dec-25.pdf"/>
    <hyperlink ref="F212" r:id="rId269" display="https://www.imarcgroup.com/germany-cybersecurity-market"/>
    <hyperlink ref="F213" r:id="rId270" display="https://www.imarcgroup.com/spain-cybersecurity-market"/>
    <hyperlink ref="F214" r:id="rId271" display="https://www.imarcgroup.com/europe-cybersecurity-market"/>
    <hyperlink ref="F215" r:id="rId272" display="https://www.imarcgroup.com/europe-cybersecurity-market"/>
    <hyperlink ref="G215" r:id="rId273" display="https://www.imarcgroup.com/europe-cybersecurity-market"/>
    <hyperlink ref="F216" r:id="rId274" display="https://www.imarcgroup.com/uk-cybersecurity-market"/>
    <hyperlink ref="F217" r:id="rId275" display="https://www.imarcgroup.com/metabolomics-market"/>
    <hyperlink ref="G217" r:id="rId276" display="https://www.imarcgroup.com/europe-cybersecurity-market"/>
    <hyperlink ref="F218" r:id="rId277" display="https://www.incibe.es/sites/default/files/Emprendimiento/ESTUDIO%20ECOSISTEMA%20EMPRENDIMIENTO_0.pdf"/>
    <hyperlink ref="F219" r:id="rId278" display="https://www.incibe.es/incibe/sala-de-prensa/incibe-y-conetic-presentan-las-conclusiones-del-estudio-sobre-la-industria-de"/>
    <hyperlink ref="F220" r:id="rId279" display="https://www.mordorintelligence.com/industry-reports/austria-cybersecurity-market/market-size"/>
    <hyperlink ref="F221" r:id="rId280" display="https://www.trade.gov/country-commercial-guides/austria-cyber-security"/>
    <hyperlink ref="F222" r:id="rId281" display="https://www.trade.gov/country-commercial-guides/hungary-digital-economy"/>
    <hyperlink ref="F223" r:id="rId282" display="https://www.trade.gov/country-commercial-guides/slovenia-information-and-communications-technology"/>
    <hyperlink ref="F224" r:id="rId283" display="https://www.trade.gov/market-intelligence/austria-cybersecurity-opportunities"/>
    <hyperlink ref="F225" r:id="rId284" display="https://itb.dk/tema/it-branchens-talunivers/tal-cybersikkerhed/"/>
    <hyperlink ref="F226" r:id="rId285" display="https://kam.lt/duk/kibernetinio-saugumo-pletros-programa/"/>
    <hyperlink ref="F227" r:id="rId286" display="https://e-seimas.lrs.lt/rs/lasupplement/TAD/ca445401de4511ef8cdff2c320e69444/a6f1f679de8011ef8cdff2c320e69444/format/ISO_PDF/"/>
    <hyperlink ref="F228" r:id="rId287" display="https://kam.lt/wp-content/uploads/2025/03/NKSC-BUKLETAS-FINAL-4.0.pdf"/>
    <hyperlink ref="F229" r:id="rId288" display="https://www.kenresearch.com/germany-cybersecurity-and-cloud-security-market"/>
    <hyperlink ref="F230" r:id="rId289" display="https://www.kenresearch.com/industry-reports/europe-cyber-security-industry"/>
    <hyperlink ref="F231" r:id="rId290" display="https://www.kenresearch.com/romania-cybersecurity-for-government-market"/>
    <hyperlink ref="F232" r:id="rId291" display="https://www.kenresearch.com/uk-cybersecurity-in-government-services-market"/>
    <hyperlink ref="F233" r:id="rId292" display="https://www.kenresearch.com/italy-cybersecurity-and-mssp-market"/>
    <hyperlink ref="F234" r:id="rId293" display="https://www.kenresearch.com/poland-cybersecurity-and-mssp-market"/>
    <hyperlink ref="F235" r:id="rId294" display="https://www.kenresearch.com/uk-cybersecurity-market"/>
    <hyperlink ref="F236" r:id="rId295" display="https://gokensai.com/blog/dach-cybersecurity-market-overview-2026/"/>
    <hyperlink ref="F237" r:id="rId296" display="https://www.kommerskollegium.se/en/analyses-and-seminars/published/market-study/2025/the-swedish-market-for-cybersecurity/"/>
    <hyperlink ref="F238" r:id="rId297" display="https://www.ruv.at/wp-content/uploads/kpmg-studie-cybersecurity-in-oesterreich-2023_1x1.pdf"/>
    <hyperlink ref="G238" r:id="rId298" display="https://kpmg.com/at/de/media/publications/cybersecurity-studie.html"/>
    <hyperlink ref="F239" r:id="rId299" display="https://www.lrt.lt/naujienos/lietuvoje/2/2093159/gynybos-finansavimas-kitamet-sieks-2-71-proc-bvp-rodo-biudzeto-projektas"/>
    <hyperlink ref="F240" r:id="rId300" display="https://www.eunity-project.eu/m/filer_public/4b/62/4b6262dc-3bca-4145-a84b-b514049156ce/1_lsec_japan_eunity_ecso_wg2_cima_seldeslachts_ulrich_20190124881.pdf"/>
    <hyperlink ref="G240" r:id="rId301" display="https://www.digitalsecuritycatalyst.com/cima-cybersecurity-industry-market-analysis/"/>
    <hyperlink ref="F241" r:id="rId302" display="https://budget.public.lu/lb/budget2025/am-detail.html?chpt=depenses&amp;dept=1&amp;sect=16"/>
    <hyperlink ref="F242" r:id="rId303" display="https://budget.public.lu/lb/budget2026/am-detail.html?chpt=depenses&amp;dept=6&amp;sect=55"/>
    <hyperlink ref="F243" r:id="rId304" display="https://www.luenendonk.de/luenendonk-listen-2025-it-dienstleister-blicken-nach-durchwachsenem-jahr-2024-optimistisch-in-die-zukunft/"/>
    <hyperlink ref="F244" r:id="rId305" display="https://valtioneuvosto.fi/-/1410829/kyberturvallisuusstrategian-toimeenpanoon-tarvitaan-pysyvaa-rahoitusta"/>
    <hyperlink ref="F245" r:id="rId306" display="https://www.marketdataforecast.com/market-reports/europe-cyber-security-market"/>
    <hyperlink ref="F246" r:id="rId307" display="https://www.marketsandmarkets.com/Market-Reports/germany-cybersecurity-market-91945586.html"/>
    <hyperlink ref="F247" r:id="rId308" display="https://www.marketsandmarkets.com/Market-Reports/geography/cyber-security-market/germany"/>
    <hyperlink ref="F248" r:id="rId309" display="https://www.marketsandmarkets.com/Market-Reports/europe-cybersecurity-market-156644743.html"/>
    <hyperlink ref="F249" r:id="rId310" display="https://www.marketsandmarkets.com/Market-Reports/geography/cyber-security-market/europe"/>
    <hyperlink ref="F250" r:id="rId311" display="https://www.marketsandmarkets.com/Market-Reports/geography/cyber-security-market/france"/>
    <hyperlink ref="F251" r:id="rId312" display="https://www.marketsandmarkets.com/Market-Reports/geography/cyber-security-market/italy"/>
    <hyperlink ref="F252" r:id="rId313" display="https://www.marketsandmarkets.com/Market-Reports/geography/defense-cybersecurity-market/poland"/>
    <hyperlink ref="F253" r:id="rId314" display="https://www.marketsandmarkets.com/Market-Reports/geography/government-public-sector-cybersecurity-market/Germany"/>
    <hyperlink ref="F254" r:id="rId315" display="https://www.marketsandmarkets.com/Market-Reports/geography/industrial-cybersecurity-market/netherlands"/>
    <hyperlink ref="F255" r:id="rId316" display="https://www.marketsandmarkets.com/Market-Reports/geography/cyber-security-market/US"/>
    <hyperlink ref="G255" r:id="rId317" display="https://www.marketsandmarkets.com/Market-Reports/us-cybersecurity-market-199745351.html"/>
    <hyperlink ref="F256" r:id="rId318" display="https://markwideresearch.com/hungary-cybersecurity-market"/>
    <hyperlink ref="F257" r:id="rId319" display="https://markwideresearch.com/nordics-cybersecurity-market"/>
    <hyperlink ref="F258" r:id="rId320" display="https://www.gov.pl/web/cyfryzacja/polska-inwestuje-rekordowe-srodki-w-ochrone-przed-cyberatakami"/>
    <hyperlink ref="F259" r:id="rId321" display="https://www.gov.pl/web/cyfryzacja/15-mld-zl-dla-samorzadow-na-cyberbezpieczenstwo"/>
    <hyperlink ref="F260" r:id="rId322" display="https://www.gov.pl/web/cyfryzacja/wiecej-pieniedzy-na-fundusz-cyberbezpieczenstwa"/>
    <hyperlink ref="F261" r:id="rId323" display="https://www.gov.pl/web/cyfryzacja/nowa-platforma-wspolpracy-w-obszarze-cyberbezpieczenstwa-zwiekszy-odpornosc-samorzadow"/>
    <hyperlink ref="F262" r:id="rId324" display="https://static.messe-essen-digitalmedia.de/uploads/E302/presstexts/3_marktdaten.pdf"/>
    <hyperlink ref="F263" r:id="rId325" display="https://metastatinsight.com/report/austria-cybersecurity-market"/>
    <hyperlink ref="F264" r:id="rId326" display="https://www.uradni-list.si/files/RS_-2025-095-03358-OB~P002-0000.PDF"/>
    <hyperlink ref="F265" r:id="rId327" display="https://www.gov.si/assets/ministrstva/MF/Proracun-direktorat/Drzavni-proracun/Zakljucni-racun/2022-ZR/Obrazlozitve-posebni-del/ZR2022-258-III_3_1544_UVIV.pdf"/>
    <hyperlink ref="F266" r:id="rId328" display="https://mf.gov.cz/cs/ministerstvo/media/tiskove-zpravy/2025/vlada-schvalila-navrh-statniho-rozpoctu-na-rok-202-61433"/>
    <hyperlink ref="F267" r:id="rId329" display="https://www.lupa.cz/aktuality/kyberurad-opet-dostane-vice-penez-rad-by-jeste-vice-celi-tlaku-na-platy-a-zajisteni-cinnosti/"/>
    <hyperlink ref="F268" r:id="rId330" display="https://mf.gov.cz/cs/ministerstvo/media/tiskove-zpravy/2024/snemovna-schvalila-statni-rozpocet-na-rok-2025-57982"/>
    <hyperlink ref="F269" r:id="rId331" display="https://www.mfsr.sk/files/sk/financie/hodnota-za-peniaze/hodnotenia/informatizacia/hodnotenie_kybernastroj.pdf"/>
    <hyperlink ref="F270" r:id="rId332" display="https://www.mfsr.sk/files/sk/financie/hodnota-za-peniaze/hodnotenia/informatizacia/hodnotenie_kyberneticka-bezpecnost-samosprave-do-6-000-obyvatelov.pdf"/>
    <hyperlink ref="F271" r:id="rId333" display="https://www.mig.government.bg/wp-content/uploads/2023/08/11.-selection-criteria_cs1_-central-components.pdf"/>
    <hyperlink ref="F272" r:id="rId334" display="https://digital.gob.es/content/dam/portal-mtdfp/avance-digital/telecomunicacion-e-infraestructuras-digitales/areas_interes/%E2%80%8Bciberseguridad-y-despliegue-del-5g/Componente15.pdf"/>
    <hyperlink ref="F273" r:id="rId335" display="https://www.economie.gouv.fr/strategie-nationale-acceleration-cybersecurite"/>
    <hyperlink ref="F274" r:id="rId336" display="https://mirri.gov.sk/wp-content/uploads/2024/05/Indik_harmonogram_vyhlas_VaPV_v6.pdf"/>
    <hyperlink ref="F275" r:id="rId337" display="https://www.itapa.sk/data/att/060/10844.b0fc12.pdf"/>
    <hyperlink ref="F276" r:id="rId338" display="https://mirri.gov.sk/aktuality/digitalna-agenda/rezort-informatizacie-podporil-kyberneticku-bezpecnost-sumou-15-milionov-eur/"/>
    <hyperlink ref="F277" r:id="rId339" display="https://www.mk.gov.lv/lv/jaunums/valdiba-atbalsta-butiskas-es-fondu-investicijas-kiberdrosiba-un-militaras-mobilitates-infrastruktura"/>
    <hyperlink ref="F278" r:id="rId340" display="https://m.likumi.lv/ta/id/340633-par-latvijas-kiberdrosibas-strategiju-20232026-gadam"/>
    <hyperlink ref="F279" r:id="rId341" display="https://www.mkm.ee/sites/default/files/documents/2024-07/Kyberturvalisuse%20strateegia%202024-2030_labivalt_IT_vaatlik_Eesti.pdf"/>
    <hyperlink ref="F280" r:id="rId342" display="https://www.mordorintelligence.com/de/industry-reports/austria-cybersecurity-market"/>
    <hyperlink ref="F281" r:id="rId343" display="https://www.mordorintelligence.com/fr/industry-reports/belgium-cybersecurity-market"/>
    <hyperlink ref="F282" r:id="rId344" display="https://www.mordorintelligence.com/industry-reports/benelux-cybersecurity-market/market-size"/>
    <hyperlink ref="F283" r:id="rId345" display="https://www.mordorintelligence.com/industry-reports/benelux-cybersecurity-market"/>
    <hyperlink ref="G283" r:id="rId346" display="https://www.mordorintelligence.com/industry-reports/europe-cybersecurity-market"/>
    <hyperlink ref="F284" r:id="rId347" display="https://www.mordorintelligence.com/de/industry-reports/germany-cybersecurity-market"/>
    <hyperlink ref="F285" r:id="rId348" display="https://www.mordorintelligence.com/industry-reports/denmark-cybersecurity-market"/>
    <hyperlink ref="F286" r:id="rId349" display="https://www.mordorintelligence.com/industry-reports/greece-cybersecurity-market"/>
    <hyperlink ref="F287" r:id="rId350" display="https://www.mordorintelligence.com/fr/industry-reports/spain-cybersecurity-market/market-size"/>
    <hyperlink ref="F288" r:id="rId351" display="https://www.mordorintelligence.com/industry-reports/spain-cybersecurity-market"/>
    <hyperlink ref="F289" r:id="rId352" display="https://www.mordorintelligence.com/industry-reports/europe-cybersecurity-market"/>
    <hyperlink ref="G289" r:id="rId353" display="https://www.mordorintelligence.com/industry-reports/europe-cybersecurity-market"/>
    <hyperlink ref="F290" r:id="rId354" display="https://www.mordorintelligence.com/industry-reports/finland-cybersecurity-market/market-size"/>
    <hyperlink ref="F291" r:id="rId355" display="https://www.mordorintelligence.com/industry-reports/finland-cybersecurity-market"/>
    <hyperlink ref="F292" r:id="rId356" display="https://www.mordorintelligence.com/fr/industry-reports/france-cybersecurity-market"/>
    <hyperlink ref="F293" r:id="rId357" display="https://www.mordorintelligence.com/industry-reports/hungary-cybersecurity-market"/>
    <hyperlink ref="F294" r:id="rId358" display="https://www.mordorintelligence.com/fr/industry-reports/italy-cybersecurity-market/market-size"/>
    <hyperlink ref="F295" r:id="rId359" display="https://www.mordorintelligence.com/industry-reports/italy-cybersecurity-market"/>
    <hyperlink ref="F296" r:id="rId360" display="https://www.mordorintelligence.com/industry-reports/netherlands-cybersecurity-market"/>
    <hyperlink ref="F297" r:id="rId361" display="https://www.mordorintelligence.com/industry-reports/nordics-cybersecurity-market/market-size"/>
    <hyperlink ref="F298" r:id="rId362" display="https://www.mordorintelligence.com/industry-reports/nordics-cybersecurity-market"/>
    <hyperlink ref="G298" r:id="rId363" display="https://www.mordorintelligence.com/industry-reports/europe-cybersecurity-market"/>
    <hyperlink ref="F299" r:id="rId364" display="https://www.mordorintelligence.com/industry-reports/poland-cybersecurity-market/market-size"/>
    <hyperlink ref="F300" r:id="rId365" display="https://www.mordorintelligence.com/industry-reports/poland-cybersecurity-market/market-size"/>
    <hyperlink ref="F301" r:id="rId366" display="https://www.mordorintelligence.com/industry-reports/poland-cybersecurity-market"/>
    <hyperlink ref="F302" r:id="rId367" display="https://www.mordorintelligence.com/industry-reports/portugal-cybersecurity-market/market-size"/>
    <hyperlink ref="F303" r:id="rId368" display="https://www.mordorintelligence.com/industry-reports/portugal-cybersecurity-market"/>
    <hyperlink ref="F304" r:id="rId369" display="https://www.mordorintelligence.com/industry-reports/romania-cybersecurity-market/market-size"/>
    <hyperlink ref="F305" r:id="rId370" display="https://www.mordorintelligence.com/industry-reports/romania-cybersecurity-market/market-size"/>
    <hyperlink ref="F306" r:id="rId371" display="https://www.mordorintelligence.com/industry-reports/romania-cybersecurity-market"/>
    <hyperlink ref="F307" r:id="rId372" display="https://www.mordorintelligence.it/industry-reports/sweden-cybersecurity-market"/>
    <hyperlink ref="F308" r:id="rId373" display="https://www.mordorintelligence.com/industry-reports/sweden-cybersecurity-market"/>
    <hyperlink ref="F309" r:id="rId374" display="https://www.mordorintelligence.com/industry-reports/uk-cybersecurity-market"/>
    <hyperlink ref="F310" r:id="rId375" display="https://www.mordorintelligence.com/industry-reports/europe-cybersecurity-market"/>
    <hyperlink ref="G310" r:id="rId376" display="https://www.mordorintelligence.com/industry-reports/europe-cybersecurity-market"/>
    <hyperlink ref="F311" r:id="rId377" display="https://www.mordorintelligence.com/industry-reports/europe-security-services-market"/>
    <hyperlink ref="G311" r:id="rId378" display="https://www.mordorintelligence.com/industry-reports/europe-cybersecurity-market"/>
    <hyperlink ref="F312" r:id="rId379" display="https://www.morganreedinsights.com/nordic-cybersecurity-market/"/>
    <hyperlink ref="F313" r:id="rId380" display="https://mpudt.gov.hr/vijesti-8/republika-hrvatska-dodatno-se-pozicionirala-kao-predvodnica-u-jacanju-europskog-ekosustava-kiberneticke-sigurnosti/29877?lang=cs"/>
    <hyperlink ref="F314" r:id="rId381" display="https://www.marketresearchfuture.com/reports/germany-cybersecurity-market-46036"/>
    <hyperlink ref="F315" r:id="rId382" display="https://www.marketresearchfuture.com/reports/france-cybersecurity-market-46038"/>
    <hyperlink ref="F316" r:id="rId383" display="https://mssb.dk/media/4ifhls3a/aftaletekst-strategi-for-cyber-og-informationssikkerhed-2026-2029.pdf"/>
    <hyperlink ref="F317" r:id="rId384" display="https://mup.gov.hr/vijesti/investicija-c2-3-r3-i2-jacanje-kapaciteta-policije-za-suzbijanje-kibernetickog-kriminaliteta-u-okviru-nacionalnog-programa-oporavka-i-otpornosti/294007"/>
    <hyperlink ref="F318" r:id="rId385" display="https://mv.gov.cz/npo/soubor/vyzva-c-41-verze-2-k-predkladani-zadosti-o-financni-podporu-predem-definovanym-projektum-v-ramci-narodniho-planu-obnovy-cr.aspx"/>
    <hyperlink ref="F319" r:id="rId386" display="https://mv.gov.cz/npo/soubor/vyzva-c-46-verze-2-k-predkladani-zadosti-o-financni-podporu-v-ramci-narodniho-planu-obnovy-cr.aspx"/>
    <hyperlink ref="F320" r:id="rId387" display="https://www.nao.org.uk/wp-content/uploads/2025/01/government-cyber-resilience.pdf"/>
    <hyperlink ref="F321" r:id="rId388" display="https://www.nao.org.uk/wp-content/uploads/2019/03/Progress-of-the-2016-2021-National-Cyber-Security-Programme.pdf"/>
    <hyperlink ref="F322" r:id="rId389" display="https://www.nbu.gov.sk/data/att/134.pdf"/>
    <hyperlink ref="F323" r:id="rId390" display="https://www.ncsc.nl/binaries/ncsc/documenten/publicaties/2019/mei/01/nederlandse-cybersecurity-agenda/CSAgenda_def_web_tcm31-322330.pdf"/>
    <hyperlink ref="F324" r:id="rId391" display="https://inno3.it/2021/12/20/barometro-cyber-cybersecurity-le-aziende-adottano-resiliency-plan/"/>
    <hyperlink ref="F325" r:id="rId392" display="https://www.newmoney.gr/roh/palmos-oikonomias/epixeiriseis/prooptiki-gia-tziro-e-34-dis-se-pliroforiki-ke-kivernoasfalia-stin-ellada-eos-to-2029-grafima/"/>
    <hyperlink ref="F326" r:id="rId393" display="https://www.cyber.gov.lv/lv/zinas"/>
    <hyperlink ref="F327" r:id="rId394" display="https://www.nksc.lt/es_projektai.html"/>
    <hyperlink ref="F328" r:id="rId395" display="https://nordlo.com/wp-content/uploads/2024/04/nordlocybersakerhetsrapport-2024.pdf"/>
    <hyperlink ref="F329" r:id="rId396" display="https://nordlo.com/wp-content/uploads/2024/01/cybersakerhetsrapport.pdf"/>
    <hyperlink ref="F330" r:id="rId397" display="https://nukib.gov.cz/download/publikace/zpravy_o_stavu/Zprava-o-cinnosti-NUKIB-2025.pdf"/>
    <hyperlink ref="F331" r:id="rId398" display="https://nukib.gov.cz/download/publikace/zpravy_o_stavu/Zprava_o_stavu_kyberneticke_bezpecnosti_CR_za_rok_2022.pdf"/>
    <hyperlink ref="F332" r:id="rId399" display="https://nukib.gov.cz/download/publikace/zpravy_o_stavu/Zprava_o_stavu_kyberneticke_bezpecnosti_CR_za_rok_2023.pdf"/>
    <hyperlink ref="F333" r:id="rId400" display="https://numeum.fr/wp-content/uploads/2025/03/CP20Numeum_ConfC3A9rence20semestrielle20juin202024.pdf.pdf"/>
    <hyperlink ref="F334" r:id="rId401" display="https://numeum.fr/wp-content/uploads/2025/03/CP20Numeum_ConfC3A9rence20semestrielle20S2-2024.pdf.pdf"/>
    <hyperlink ref="F335" r:id="rId402" display="https://www.ot.gr/2025/06/23/epixeiriseis/kyvernoasfaleia-oi-xakers-kratoun-ksagrypnes-tis-ellinikes-etaireies-oi-amynes-pou-stinoun/"/>
    <hyperlink ref="F336" r:id="rId403" display="https://otrenix.com/europa-cybersecurity-market/"/>
    <hyperlink ref="F337" r:id="rId404" display="https://sitsi.pacanalyst.com/le-marche-europeen-de-la-cybersecurite-une-croissance-sans-limite/"/>
    <hyperlink ref="G337" r:id="rId405" display="https://sitsi.pacanalyst.com/wp-content/uploads/2023/11/PAC_Segmentation.pdf"/>
    <hyperlink ref="F338" r:id="rId406" display="https://www.channelnews.fr/le-marche-francais-de-la-cybersecurite-va-encore-progresser-de-10-en-2025-145191"/>
    <hyperlink ref="F339" r:id="rId407" display="https://incyber.org/article/croissance-marche-francais-cybersecurite-reste-trop-fragmente/"/>
    <hyperlink ref="F340" r:id="rId408" display="https://www.parlament.gv.at/dokument/budgetdienst/untergliederungsanalysen/BD-UG-10-Bundeskanzleramt-Budgets-2025-und-2026_BF.pdf"/>
    <hyperlink ref="F341" r:id="rId409" display="https://www.parlament.gv.at/dokument/fachinfos/zukunftsthemen/Cybersecurity-Endbericht_2021-12-17.pdf"/>
    <hyperlink ref="F342" r:id="rId410" display="https://www.parlament.gv.at/dokument/XXVII/ME/326/imfname_1621137.pdf"/>
    <hyperlink ref="F343" r:id="rId411" display="https://www.parlament.gv.at/dokument/XXVIII/I/308/imfname_1723248.pdf"/>
    <hyperlink ref="G343" r:id="rId412" display="https://www.parlament.gv.at/gegenstand/XXVIII/I/354"/>
    <hyperlink ref="F344" r:id="rId413" display="https://www.pmrmarketexperts.com/wiadomosci/rynek-cyberbezpieczenstwa-wzrosnie-do-2-5-mld-zl-w-2024-roku/"/>
    <hyperlink ref="F345" r:id="rId414" display="https://files.mypmr.pro/nohash/01cd65bb537dee29d39fafc98963773de40dcb07.Pdf"/>
    <hyperlink ref="F346" r:id="rId415" display="https://pmrmarketexperts.com/wp-content/uploads/2025/11/rynek-cyberbezpieczenstwa-w-polsce-table_of_content.pdf"/>
    <hyperlink ref="G346" r:id="rId416" display="https://pmrmarketexperts.com/raport/rynek-cyberbezpieczenstwa-w-polsce/"/>
    <hyperlink ref="F347" r:id="rId417" display="https://www.adrcentru.ro/pnrr-componenta7-digital/"/>
    <hyperlink ref="F348" r:id="rId418" display="https://www.osservatori.net/comunicato/cybersecurity-data-protection/gdpr-e-security-un-percorso-impervio-a-trazione-integrale/"/>
    <hyperlink ref="F349" r:id="rId419" display="https://www.osservatori.net/comunicato/cybersecurity-data-protection/information-cyber-security-e-privacy-aumentano-gli-investimenti/"/>
    <hyperlink ref="F350" r:id="rId420" display="https://cyberoo.com/news/sicurezza-informatica-in-italia-ricerca-osservatorio-information-security-privacy/"/>
    <hyperlink ref="F351" r:id="rId421" display="https://www.ipresslive.it/it/ipress/comunicati/view/47361/"/>
    <hyperlink ref="F352" r:id="rId422" display="https://officeautomation.soiel.it/cybersecurity-aumentano-le-minacce-ma-anche-gli-investimenti/"/>
    <hyperlink ref="F353" r:id="rId423" display="https://finanza.lastampa.it/News/2023/02/23/cybersecurity-aumentano-gli-attacchi-informatici-danni-tangibili-per-1-impresa-su-7/OTdfMjAyMy0wMi0yM19UTEI"/>
    <hyperlink ref="F354" r:id="rId424" display="https://www.osservatori.net/comunicato/cybersecurity-data-protection/cybersecurity-italia-mercato-crescita-2023/"/>
    <hyperlink ref="G354" r:id="rId425" display="https://www.osservatori.net/grafico-interattivo/cybersecurity-data-protection/cybersecurity-mercato-italia/"/>
    <hyperlink ref="F355" r:id="rId426" display="https://finanza.repubblica.it/News/2025/02/27/cresce_il_mercato_della_cybersecurity_2_48_miliardi_di_euro_+15percento-45/"/>
    <hyperlink ref="G355" r:id="rId427" display="https://www.osservatori.net/report/cybersecurity-data-protection/scenario-cybersecurity-italia-2024/"/>
    <hyperlink ref="F356" r:id="rId428" display="https://www.osservatori.net/comunicato/cybersecurity-data-protection/cybersecurity-italia-mercato-crescita/"/>
    <hyperlink ref="G356" r:id="rId429" display="https://www.osservatori.net/grafico-interattivo/cybersecurity-data-protection/cybersecurity-mercato-italia/"/>
    <hyperlink ref="F357" r:id="rId430" display="https://www.praxis.ee/uploads/2018/04/K%C3%BCberturbe-uuring_aruanne-23_04_2019.pdf"/>
    <hyperlink ref="F358" r:id="rId431" display="https://www.pwc.pl/pl/pdf/cyber-ruletka-po-polsku-raport-pwc-gsiss-2018.pdf"/>
    <hyperlink ref="F359" r:id="rId432" display="https://www.pwc.co.uk/press-room/press-releases/research-commentary/2024/law-firm-performance-surpasses-expectations-with-continued-growt.html"/>
    <hyperlink ref="F360" r:id="rId433" display="https://www.pwc.co.uk/industries/law-firms/law-firms-survey-2025.pdf"/>
    <hyperlink ref="F361" r:id="rId434" display="https://hub.radargrp.com/content/svensk-cybersakerhet-2025-behov-prioriteringar-och-forutsattningar-i-en-orolig-omvarld"/>
    <hyperlink ref="F362" r:id="rId435" display="https://www.regeringen.se/pressmeddelanden/2024/09/historisk-satsning-pa-cybersakerhet/"/>
    <hyperlink ref="F363" r:id="rId436" display="https://www.regeringen.se/pressmeddelanden/2025/09/nationell-satsning-pa-cybersakerhet/"/>
    <hyperlink ref="F364" r:id="rId437" display="https://www.regeringen.se/contentassets/9e2c6501b5814c71b03ae759eb32d80f/finansplan--utdrag-ur-budgetpropositionen-for-2026.pdf"/>
    <hyperlink ref="F365" r:id="rId438" display="https://www.regeringen.se/globalassets/regeringen/dokument/forsvarsdepartementet/presentationsbilder-fran-presstraff/2024/presstraff-23-september-2024/presentationsbilder-fran-presstraff-den-23-september-2024.pdf"/>
    <hyperlink ref="F366" r:id="rId439" display="https://www.researchandmarkets.com/reports/6072107/ireland-application-security-market-opportunity"/>
    <hyperlink ref="F367" r:id="rId440" display="https://www.researchandmarkets.com/reports/6248575/ireland-application-security-market-opportunity"/>
    <hyperlink ref="F368" r:id="rId441" display="https://www.researchandmarkets.com/reports/6241221/europe-cybersecurity-market-size-share-and-trends"/>
    <hyperlink ref="F369" r:id="rId442" display="https://www.researchandmarkets.com/reports/5978459/europe-cyber-security-market-outlook"/>
    <hyperlink ref="F370" r:id="rId443" display="https://eli.gov.pl/api/acts/DU/2024/1662/text.html"/>
    <hyperlink ref="F371" r:id="rId444" display="https://api.sejm.gov.pl/eli/acts/DU/2026/20/text.pdf"/>
    <hyperlink ref="F372" r:id="rId445" display="https://eli.gov.pl/api/acts/DU/2026/252/text.pdf"/>
    <hyperlink ref="F373" r:id="rId446" display="https://www.senat.fr/rap/r22-638/r22-6381.pdf"/>
    <hyperlink ref="F374" r:id="rId447" display="https://publika.skema.edu/fr/cybersecurite-francaise-une-offre-qui-croit-plus-vite-que-son-absorption/"/>
    <hyperlink ref="F375" r:id="rId448" display="https://jurnalul.ro/special-jurnalul/anchete/sri-salvatori-pnrr-achizitie-mamut-protectie-cibernetica-softuri-1026111.html"/>
    <hyperlink ref="F376" r:id="rId449" display="https://startupestonia.ee/wp-content/uploads/2024/01/CyberTech-koondulevaade.pdf"/>
    <hyperlink ref="F377" r:id="rId450" display="https://www.statista.com/forecasts/1498506/europe-cybersecurity-market-revenue"/>
    <hyperlink ref="G377" r:id="rId451" display="https://www.statista.com/outlook/tmo/cybersecurity/worldwide"/>
    <hyperlink ref="F378" r:id="rId452" display="https://www.statista.com/outlook/tmo/cybersecurity/europe"/>
    <hyperlink ref="G378" r:id="rId453" display="https://www.statista.com/outlook/tmo/cybersecurity/worldwide"/>
    <hyperlink ref="F379" r:id="rId454" display="https://de.statista.com/infografik/36097/geschaetzter-weltweiter-umsatz-mit-cyber-security/"/>
    <hyperlink ref="G379" r:id="rId455" display="https://www.statista.com/outlook/tmo/cybersecurity/germany"/>
    <hyperlink ref="F380" r:id="rId456" display="https://www.statista.com/statistics/1489436/poland-market-size-of-cybersecurity-market/"/>
    <hyperlink ref="F381" r:id="rId457" display="https://www.tc.cz/files_public/files/strat-sec-studie-trhu_2.pdf"/>
    <hyperlink ref="F382" r:id="rId458" display="https://www.technavio.com/report/europe-cyber-security-market-industry-analysis"/>
    <hyperlink ref="G382" r:id="rId459" display="https://www.technavio.com/report/software-market-industry-analysis"/>
    <hyperlink ref="F383" r:id="rId460" display="https://www.technavio.com/report/software-market-industry-analysis"/>
    <hyperlink ref="F384" r:id="rId461" display="https://op.europa.eu/o/opportal-service/download-handler?identifier=fa9b11af-6d4a-11f1-ae88-01aa75ed71a1&amp;format=PDF&amp;language=en&amp;productionSystem=cellar"/>
    <hyperlink ref="F385" r:id="rId462" display="https://teknologiateollisuus.fi/katsaus-kyberturvallisuuden-osaamistarpeisiin-uudet-teknologiat-laajentavat-osaamistarvetta/"/>
    <hyperlink ref="F386" r:id="rId463" display="https://www.gruppotim.it/content/dam/gt/centro-studi-tim/report-cybersecurity/cybersecurity%20made%20in%20italy_20230620.pdf"/>
    <hyperlink ref="F387" r:id="rId464" display="https://www.tweedekamer.nl/downloads/document?id=2022D46208"/>
    <hyperlink ref="F388" r:id="rId465" display="https://www.tweedekamer.nl/downloads/document?id=2024D01957"/>
    <hyperlink ref="F389" r:id="rId466" display="https://vuosiraportit.traficom.fi/fi/kyberturvallisuuden-vuosi-2025/kyberturvallisuuskeskuksen-toimintoja-2025"/>
    <hyperlink ref="F390" r:id="rId467" display="https://www.kyberturvallisuuskeskus.fi/fi/toimintamme/kyberturvallisuuden-tutkimuksen-kehityksen-ja-innovaatioiden-kansallinen-koordinointikeskus/kansalliset-rahoitustuet"/>
    <hyperlink ref="F391" r:id="rId468" display="https://www.gov.si/novice/2025-09-18-vlada-uvrstila-vec-projektov-kibernetske-varnosti-v-veljavni-nacrt-razvojnih-programov-20252028/"/>
    <hyperlink ref="F392" r:id="rId469" display="https://www.verifiedmarketresearch.com/product/hungary-cybersecurity-market/"/>
    <hyperlink ref="F393" r:id="rId470" display="https://www.verifiedmarketresearch.com/product/nordics-cybersecurity-market/"/>
    <hyperlink ref="F394" r:id="rId471" display="https://www.verifiedmarketresearch.com/product/poland-cybersecurity-market/"/>
    <hyperlink ref="F395" r:id="rId472" display="https://www.verifiedmarketresearch.com/product/austria-cybersecurity-market/"/>
    <hyperlink ref="F396" r:id="rId473" display="https://www.verifiedmarketresearch.com/product/austria-ict-market/"/>
    <hyperlink ref="F397" r:id="rId474" display="https://vlada.gov.hr/UserDocsImages/2016/Sjednice/2025/Prosinac/136_sjednica_VRH/136%20-%206.docx"/>
    <hyperlink ref="F398" r:id="rId475" display="https://www.zdruzenjeobcin.si/wp-content/uploads/2025/04/VLADA-RS_PREDLOG-ZAKONA-O-INFORMACIJSKI-VARNOSTI_APRIL-2025.pdf"/>
    <hyperlink ref="F399" r:id="rId476" display="https://budjetti.vm.fi/sisalto.jsp?year=2025&amp;lang=fi&amp;maindoc=/2025/tae/valtiovarainministerionKanta/valtiovarainministerionKanta.xml&amp;opennode=0:1:241:941:943:"/>
    <hyperlink ref="F400" r:id="rId477" display="https://budjetti.vm.fi/indox/sisalto.jsp?year=2027&amp;lang=fi&amp;maindoc=/2027/tae/hallituksenEsitys/hallituksenEsitys.xml&amp;id=/2027/tae/hallituksenEsitys/YksityiskohtaisetPerustelut/31/01/02/02.html"/>
    <hyperlink ref="F401" r:id="rId478" display="https://www.voice-ev.org/wp-content/uploads/2022/02/VOICE-Metrics-Trendstudie-IT-Agenda-2022-DE-v1-1.pdf"/>
    <hyperlink ref="G401" r:id="rId479" display="https://www.metrics.biz/files/metrics/media/umfragen/Metrics_2022_IT-Agenda_EN.pdf"/>
    <hyperlink ref="F402" r:id="rId480" display="https://www.vrt.be/vrtnws/fr/2025/05/30/le-gouvernement-federal-prevoit-55-millions-d-euros-pour-la-cybe/"/>
    <hyperlink ref="F403" r:id="rId481" display="https://www.wifor.com/uploads/2019/08/it-sicherheitsmarkt-in-deutschland-studie-2019.pdf"/>
    <hyperlink ref="G403" r:id="rId482" display="https://www.publikationen-bundesregierung.de/pp-de/publikationssuche/der-it-sicherheitsmarkt-in-deutschland-1654956"/>
    <hyperlink ref="F404" r:id="rId483" display="https://www.withsecure.com/wp-content/uploads/2026/06/MSP_Buyers_Guide_2026.pdf"/>
    <hyperlink ref="F405" r:id="rId484" display="https://www.xerfi.com/presentationetude/le-marche-de-la-cybersecurite_sae24"/>
    <hyperlink ref="F406" r:id="rId485" display="https://www.zsis.hr/default.aspx?id=470"/>
    <hyperlink ref="F407" r:id="rId486" display="https://www.zsis.hr/default.aspx?id=66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8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4" min="3" style="0" width="8"/>
    <col collapsed="false" customWidth="true" hidden="false" outlineLevel="0" max="6" min="5" style="0" width="12"/>
    <col collapsed="false" customWidth="true" hidden="false" outlineLevel="0" max="7" min="7" style="0" width="10"/>
    <col collapsed="false" customWidth="true" hidden="false" outlineLevel="0" max="8" min="8" style="0" width="12"/>
    <col collapsed="false" customWidth="true" hidden="false" outlineLevel="0" max="10" min="9" style="0" width="14"/>
    <col collapsed="false" customWidth="true" hidden="false" outlineLevel="0" max="11" min="11" style="0" width="10"/>
    <col collapsed="false" customWidth="true" hidden="false" outlineLevel="0" max="12" min="12" style="0" width="14"/>
    <col collapsed="false" customWidth="true" hidden="false" outlineLevel="0" max="13" min="13" style="0" width="16"/>
    <col collapsed="false" customWidth="true" hidden="false" outlineLevel="0" max="15" min="14" style="0" width="14"/>
    <col collapsed="false" customWidth="true" hidden="false" outlineLevel="0" max="16" min="16" style="0" width="12"/>
    <col collapsed="false" customWidth="true" hidden="false" outlineLevel="0" max="17" min="17" style="0" width="70"/>
  </cols>
  <sheetData>
    <row r="1" customFormat="false" ht="31.5" hidden="false" customHeight="true" outlineLevel="0" collapsed="false">
      <c r="A1" s="10" t="s">
        <v>63</v>
      </c>
      <c r="B1" s="10" t="s">
        <v>64</v>
      </c>
      <c r="C1" s="10" t="s">
        <v>7473</v>
      </c>
      <c r="D1" s="10" t="s">
        <v>7474</v>
      </c>
      <c r="E1" s="10" t="s">
        <v>7475</v>
      </c>
      <c r="F1" s="10" t="s">
        <v>7476</v>
      </c>
      <c r="G1" s="10" t="s">
        <v>7477</v>
      </c>
      <c r="H1" s="10" t="s">
        <v>7478</v>
      </c>
      <c r="I1" s="10" t="s">
        <v>7479</v>
      </c>
      <c r="J1" s="10" t="s">
        <v>7480</v>
      </c>
      <c r="K1" s="10" t="s">
        <v>7481</v>
      </c>
      <c r="L1" s="10" t="s">
        <v>7482</v>
      </c>
      <c r="M1" s="10" t="s">
        <v>7483</v>
      </c>
      <c r="N1" s="10" t="s">
        <v>7484</v>
      </c>
      <c r="O1" s="10" t="s">
        <v>7485</v>
      </c>
      <c r="P1" s="10" t="s">
        <v>7486</v>
      </c>
      <c r="Q1" s="10" t="s">
        <v>7487</v>
      </c>
    </row>
    <row r="2" customFormat="false" ht="46.25" hidden="false" customHeight="false" outlineLevel="0" collapsed="false">
      <c r="A2" s="12" t="s">
        <v>757</v>
      </c>
      <c r="B2" s="12" t="s">
        <v>758</v>
      </c>
      <c r="C2" s="20" t="n">
        <f aca="false">COUNTIF(Dati!$C$2:$C$1216,$A2)</f>
        <v>33</v>
      </c>
      <c r="D2" s="20" t="n">
        <f aca="false">IF(C2=0,0,SUMPRODUCT((Dati!$C$2:$C$1216=$A2)/COUNTIFS(Dati!$C$2:$C$1216,Dati!$C$2:$C$1216,Dati!$B$2:$B$1216,Dati!$B$2:$B$1216)))</f>
        <v>13</v>
      </c>
      <c r="E2" s="20" t="n">
        <f aca="false">COUNTIFS(Dati!$C$2:$C$1216,$A2,Dati!$AB$2:$AB$1216,"Domanda (end user)")</f>
        <v>16</v>
      </c>
      <c r="F2" s="20" t="n">
        <f aca="false">COUNTIFS(Dati!$C$2:$C$1216,$A2,Dati!$AB$2:$AB$1216,"Offerta (fornitori)")</f>
        <v>0</v>
      </c>
      <c r="G2" s="20" t="n">
        <f aca="false">COUNTIFS(Dati!$C$2:$C$1216,$A2,Dati!$AB$2:$AB$1216,"Misto")</f>
        <v>0</v>
      </c>
      <c r="H2" s="20" t="n">
        <f aca="false">COUNTIFS(Dati!$C$2:$C$1216,$A2,Dati!$AB$2:$AB$1216,"Non determinabile")</f>
        <v>17</v>
      </c>
      <c r="I2" s="20" t="n">
        <f aca="false">COUNTIFS(Dati!$C$2:$C$1216,$A2,Dati!$G$2:$G$1216,"Ente pubblico nazionale")+COUNTIFS(Dati!$C$2:$C$1216,$A2,Dati!$G$2:$G$1216,"Osservatorio o università")</f>
        <v>19</v>
      </c>
      <c r="J2" s="21" t="str">
        <f aca="false">IF(I2&gt;0,"Sì","No")</f>
        <v>Sì</v>
      </c>
      <c r="K2" s="20" t="n">
        <f aca="false">COUNTIFS(Dati!$C$2:$C$1216,$A2,Dati!$G$2:$G$1216,"Istituzione UE")</f>
        <v>0</v>
      </c>
      <c r="L2" s="20" t="n">
        <f aca="false">IF(COUNTIFS(Dati!$C$2:$C$1216,$A2,Dati!$V$2:$V$1216,"Consuntivo")=0,"",_xlfn.MAXIFS(Dati!$U$2:$U$1216,Dati!$C$2:$C$1216,$A2,Dati!$V$2:$V$1216,"Consuntivo"))</f>
        <v>2025</v>
      </c>
      <c r="M2" s="20" t="n">
        <f aca="false">IF(COUNTIFS(Dati!$C$2:$C$1216,$A2,Dati!$O$2:$O$1216,"Totale aggregato",Dati!$P$2:$P$1216,"Nessuna",Dati!$V$2:$V$1216,"Consuntivo",Dati!$N$2:$N$1216,"Mercato domestico")+COUNTIFS(Dati!$C$2:$C$1216,$A2,Dati!$O$2:$O$1216,"Totale aggregato",Dati!$P$2:$P$1216,"Nessuna",Dati!$V$2:$V$1216,"Consuntivo",Dati!$N$2:$N$1216,"Spesa o budget delle organizzazioni")=0,"",MAX(_xlfn.MAXIFS(Dati!$U$2:$U$1216,Dati!$C$2:$C$1216,$A2,Dati!$O$2:$O$1216,"Totale aggregato",Dati!$P$2:$P$1216,"Nessuna",Dati!$V$2:$V$1216,"Consuntivo",Dati!$N$2:$N$1216,"Mercato domestico"),_xlfn.MAXIFS(Dati!$U$2:$U$1216,Dati!$C$2:$C$1216,$A2,Dati!$O$2:$O$1216,"Totale aggregato",Dati!$P$2:$P$1216,"Nessuna",Dati!$V$2:$V$1216,"Consuntivo",Dati!$N$2:$N$1216,"Spesa o budget delle organizzazioni")))</f>
        <v>2025</v>
      </c>
      <c r="N2" s="22" t="n">
        <f aca="false">IF(P2=0,"",MIN(IF(COUNTIFS(Dati!$C$2:$C$1216,$A2,Dati!$O$2:$O$1216,"Totale aggregato",Dati!$P$2:$P$1216,"Nessuna",Dati!$V$2:$V$1216,"Consuntivo",Dati!$U$2:$U$1216,M2,Dati!$N$2:$N$1216,"Mercato domestico")&gt;0,_xlfn.MINIFS(Dati!$X$2:$X$1216,Dati!$C$2:$C$1216,$A2,Dati!$O$2:$O$1216,"Totale aggregato",Dati!$P$2:$P$1216,"Nessuna",Dati!$V$2:$V$1216,"Consuntivo",Dati!$U$2:$U$1216,M2,Dati!$N$2:$N$1216,"Mercato domestico"),1E+099),IF(COUNTIFS(Dati!$C$2:$C$1216,$A2,Dati!$O$2:$O$1216,"Totale aggregato",Dati!$P$2:$P$1216,"Nessuna",Dati!$V$2:$V$1216,"Consuntivo",Dati!$U$2:$U$1216,M2,Dati!$N$2:$N$1216,"Spesa o budget delle organizzazioni")&gt;0,_xlfn.MINIFS(Dati!$X$2:$X$1216,Dati!$C$2:$C$1216,$A2,Dati!$O$2:$O$1216,"Totale aggregato",Dati!$P$2:$P$1216,"Nessuna",Dati!$V$2:$V$1216,"Consuntivo",Dati!$U$2:$U$1216,M2,Dati!$N$2:$N$1216,"Spesa o budget delle organizzazioni"),1E+099)))</f>
        <v>495.575221238938</v>
      </c>
      <c r="O2" s="22" t="n">
        <f aca="false">IF(P2=0,"",MAX(_xlfn.MAXIFS(Dati!$X$2:$X$1216,Dati!$C$2:$C$1216,$A2,Dati!$O$2:$O$1216,"Totale aggregato",Dati!$P$2:$P$1216,"Nessuna",Dati!$V$2:$V$1216,"Consuntivo",Dati!$U$2:$U$1216,M2,Dati!$N$2:$N$1216,"Mercato domestico"),_xlfn.MAXIFS(Dati!$X$2:$X$1216,Dati!$C$2:$C$1216,$A2,Dati!$O$2:$O$1216,"Totale aggregato",Dati!$P$2:$P$1216,"Nessuna",Dati!$V$2:$V$1216,"Consuntivo",Dati!$U$2:$U$1216,M2,Dati!$N$2:$N$1216,"Spesa o budget delle organizzazioni")))</f>
        <v>495.575221238938</v>
      </c>
      <c r="P2" s="20" t="n">
        <f aca="false">IF(M2="",0,COUNTIFS(Dati!$C$2:$C$1216,$A2,Dati!$O$2:$O$1216,"Totale aggregato",Dati!$P$2:$P$1216,"Nessuna",Dati!$V$2:$V$1216,"Consuntivo",Dati!$U$2:$U$1216,M2,Dati!$N$2:$N$1216,"Mercato domestico")+COUNTIFS(Dati!$C$2:$C$1216,$A2,Dati!$O$2:$O$1216,"Totale aggregato",Dati!$P$2:$P$1216,"Nessuna",Dati!$V$2:$V$1216,"Consuntivo",Dati!$U$2:$U$1216,M2,Dati!$N$2:$N$1216,"Spesa o budget delle organizzazioni"))</f>
        <v>1</v>
      </c>
      <c r="Q2" s="18" t="s">
        <v>7488</v>
      </c>
    </row>
    <row r="3" customFormat="false" ht="35.05" hidden="false" customHeight="false" outlineLevel="0" collapsed="false">
      <c r="A3" s="12" t="s">
        <v>948</v>
      </c>
      <c r="B3" s="12" t="s">
        <v>949</v>
      </c>
      <c r="C3" s="20" t="n">
        <f aca="false">COUNTIF(Dati!$C$2:$C$1216,$A3)</f>
        <v>37</v>
      </c>
      <c r="D3" s="20" t="n">
        <f aca="false">IF(C3=0,0,SUMPRODUCT((Dati!$C$2:$C$1216=$A3)/COUNTIFS(Dati!$C$2:$C$1216,Dati!$C$2:$C$1216,Dati!$B$2:$B$1216,Dati!$B$2:$B$1216)))</f>
        <v>14</v>
      </c>
      <c r="E3" s="20" t="n">
        <f aca="false">COUNTIFS(Dati!$C$2:$C$1216,$A3,Dati!$AB$2:$AB$1216,"Domanda (end user)")</f>
        <v>11</v>
      </c>
      <c r="F3" s="20" t="n">
        <f aca="false">COUNTIFS(Dati!$C$2:$C$1216,$A3,Dati!$AB$2:$AB$1216,"Offerta (fornitori)")</f>
        <v>6</v>
      </c>
      <c r="G3" s="20" t="n">
        <f aca="false">COUNTIFS(Dati!$C$2:$C$1216,$A3,Dati!$AB$2:$AB$1216,"Misto")</f>
        <v>0</v>
      </c>
      <c r="H3" s="20" t="n">
        <f aca="false">COUNTIFS(Dati!$C$2:$C$1216,$A3,Dati!$AB$2:$AB$1216,"Non determinabile")</f>
        <v>20</v>
      </c>
      <c r="I3" s="20" t="n">
        <f aca="false">COUNTIFS(Dati!$C$2:$C$1216,$A3,Dati!$G$2:$G$1216,"Ente pubblico nazionale")+COUNTIFS(Dati!$C$2:$C$1216,$A3,Dati!$G$2:$G$1216,"Osservatorio o università")</f>
        <v>11</v>
      </c>
      <c r="J3" s="21" t="str">
        <f aca="false">IF(I3&gt;0,"Sì","No")</f>
        <v>Sì</v>
      </c>
      <c r="K3" s="20" t="n">
        <f aca="false">COUNTIFS(Dati!$C$2:$C$1216,$A3,Dati!$G$2:$G$1216,"Istituzione UE")</f>
        <v>1</v>
      </c>
      <c r="L3" s="20" t="n">
        <f aca="false">IF(COUNTIFS(Dati!$C$2:$C$1216,$A3,Dati!$V$2:$V$1216,"Consuntivo")=0,"",_xlfn.MAXIFS(Dati!$U$2:$U$1216,Dati!$C$2:$C$1216,$A3,Dati!$V$2:$V$1216,"Consuntivo"))</f>
        <v>2025</v>
      </c>
      <c r="M3" s="20" t="n">
        <f aca="false">IF(COUNTIFS(Dati!$C$2:$C$1216,$A3,Dati!$O$2:$O$1216,"Totale aggregato",Dati!$P$2:$P$1216,"Nessuna",Dati!$V$2:$V$1216,"Consuntivo",Dati!$N$2:$N$1216,"Mercato domestico")+COUNTIFS(Dati!$C$2:$C$1216,$A3,Dati!$O$2:$O$1216,"Totale aggregato",Dati!$P$2:$P$1216,"Nessuna",Dati!$V$2:$V$1216,"Consuntivo",Dati!$N$2:$N$1216,"Spesa o budget delle organizzazioni")=0,"",MAX(_xlfn.MAXIFS(Dati!$U$2:$U$1216,Dati!$C$2:$C$1216,$A3,Dati!$O$2:$O$1216,"Totale aggregato",Dati!$P$2:$P$1216,"Nessuna",Dati!$V$2:$V$1216,"Consuntivo",Dati!$N$2:$N$1216,"Mercato domestico"),_xlfn.MAXIFS(Dati!$U$2:$U$1216,Dati!$C$2:$C$1216,$A3,Dati!$O$2:$O$1216,"Totale aggregato",Dati!$P$2:$P$1216,"Nessuna",Dati!$V$2:$V$1216,"Consuntivo",Dati!$N$2:$N$1216,"Spesa o budget delle organizzazioni")))</f>
        <v>2025</v>
      </c>
      <c r="N3" s="22" t="n">
        <f aca="false">IF(P3=0,"",MIN(IF(COUNTIFS(Dati!$C$2:$C$1216,$A3,Dati!$O$2:$O$1216,"Totale aggregato",Dati!$P$2:$P$1216,"Nessuna",Dati!$V$2:$V$1216,"Consuntivo",Dati!$U$2:$U$1216,M3,Dati!$N$2:$N$1216,"Mercato domestico")&gt;0,_xlfn.MINIFS(Dati!$X$2:$X$1216,Dati!$C$2:$C$1216,$A3,Dati!$O$2:$O$1216,"Totale aggregato",Dati!$P$2:$P$1216,"Nessuna",Dati!$V$2:$V$1216,"Consuntivo",Dati!$U$2:$U$1216,M3,Dati!$N$2:$N$1216,"Mercato domestico"),1E+099),IF(COUNTIFS(Dati!$C$2:$C$1216,$A3,Dati!$O$2:$O$1216,"Totale aggregato",Dati!$P$2:$P$1216,"Nessuna",Dati!$V$2:$V$1216,"Consuntivo",Dati!$U$2:$U$1216,M3,Dati!$N$2:$N$1216,"Spesa o budget delle organizzazioni")&gt;0,_xlfn.MINIFS(Dati!$X$2:$X$1216,Dati!$C$2:$C$1216,$A3,Dati!$O$2:$O$1216,"Totale aggregato",Dati!$P$2:$P$1216,"Nessuna",Dati!$V$2:$V$1216,"Consuntivo",Dati!$U$2:$U$1216,M3,Dati!$N$2:$N$1216,"Spesa o budget delle organizzazioni"),1E+099)))</f>
        <v>400.884955752212</v>
      </c>
      <c r="O3" s="22" t="n">
        <f aca="false">IF(P3=0,"",MAX(_xlfn.MAXIFS(Dati!$X$2:$X$1216,Dati!$C$2:$C$1216,$A3,Dati!$O$2:$O$1216,"Totale aggregato",Dati!$P$2:$P$1216,"Nessuna",Dati!$V$2:$V$1216,"Consuntivo",Dati!$U$2:$U$1216,M3,Dati!$N$2:$N$1216,"Mercato domestico"),_xlfn.MAXIFS(Dati!$X$2:$X$1216,Dati!$C$2:$C$1216,$A3,Dati!$O$2:$O$1216,"Totale aggregato",Dati!$P$2:$P$1216,"Nessuna",Dati!$V$2:$V$1216,"Consuntivo",Dati!$U$2:$U$1216,M3,Dati!$N$2:$N$1216,"Spesa o budget delle organizzazioni")))</f>
        <v>400.884955752212</v>
      </c>
      <c r="P3" s="20" t="n">
        <f aca="false">IF(M3="",0,COUNTIFS(Dati!$C$2:$C$1216,$A3,Dati!$O$2:$O$1216,"Totale aggregato",Dati!$P$2:$P$1216,"Nessuna",Dati!$V$2:$V$1216,"Consuntivo",Dati!$U$2:$U$1216,M3,Dati!$N$2:$N$1216,"Mercato domestico")+COUNTIFS(Dati!$C$2:$C$1216,$A3,Dati!$O$2:$O$1216,"Totale aggregato",Dati!$P$2:$P$1216,"Nessuna",Dati!$V$2:$V$1216,"Consuntivo",Dati!$U$2:$U$1216,M3,Dati!$N$2:$N$1216,"Spesa o budget delle organizzazioni"))</f>
        <v>1</v>
      </c>
      <c r="Q3" s="18" t="s">
        <v>7489</v>
      </c>
    </row>
    <row r="4" customFormat="false" ht="23.85" hidden="false" customHeight="false" outlineLevel="0" collapsed="false">
      <c r="A4" s="12" t="s">
        <v>1152</v>
      </c>
      <c r="B4" s="12" t="s">
        <v>1153</v>
      </c>
      <c r="C4" s="20" t="n">
        <f aca="false">COUNTIF(Dati!$C$2:$C$1216,$A4)</f>
        <v>15</v>
      </c>
      <c r="D4" s="20" t="n">
        <f aca="false">IF(C4=0,0,SUMPRODUCT((Dati!$C$2:$C$1216=$A4)/COUNTIFS(Dati!$C$2:$C$1216,Dati!$C$2:$C$1216,Dati!$B$2:$B$1216,Dati!$B$2:$B$1216)))</f>
        <v>8</v>
      </c>
      <c r="E4" s="20" t="n">
        <f aca="false">COUNTIFS(Dati!$C$2:$C$1216,$A4,Dati!$AB$2:$AB$1216,"Domanda (end user)")</f>
        <v>8</v>
      </c>
      <c r="F4" s="20" t="n">
        <f aca="false">COUNTIFS(Dati!$C$2:$C$1216,$A4,Dati!$AB$2:$AB$1216,"Offerta (fornitori)")</f>
        <v>0</v>
      </c>
      <c r="G4" s="20" t="n">
        <f aca="false">COUNTIFS(Dati!$C$2:$C$1216,$A4,Dati!$AB$2:$AB$1216,"Misto")</f>
        <v>0</v>
      </c>
      <c r="H4" s="20" t="n">
        <f aca="false">COUNTIFS(Dati!$C$2:$C$1216,$A4,Dati!$AB$2:$AB$1216,"Non determinabile")</f>
        <v>7</v>
      </c>
      <c r="I4" s="20" t="n">
        <f aca="false">COUNTIFS(Dati!$C$2:$C$1216,$A4,Dati!$G$2:$G$1216,"Ente pubblico nazionale")+COUNTIFS(Dati!$C$2:$C$1216,$A4,Dati!$G$2:$G$1216,"Osservatorio o università")</f>
        <v>4</v>
      </c>
      <c r="J4" s="21" t="str">
        <f aca="false">IF(I4&gt;0,"Sì","No")</f>
        <v>Sì</v>
      </c>
      <c r="K4" s="20" t="n">
        <f aca="false">COUNTIFS(Dati!$C$2:$C$1216,$A4,Dati!$G$2:$G$1216,"Istituzione UE")</f>
        <v>2</v>
      </c>
      <c r="L4" s="20" t="n">
        <f aca="false">IF(COUNTIFS(Dati!$C$2:$C$1216,$A4,Dati!$V$2:$V$1216,"Consuntivo")=0,"",_xlfn.MAXIFS(Dati!$U$2:$U$1216,Dati!$C$2:$C$1216,$A4,Dati!$V$2:$V$1216,"Consuntivo"))</f>
        <v>2024</v>
      </c>
      <c r="M4" s="20" t="n">
        <f aca="false">IF(COUNTIFS(Dati!$C$2:$C$1216,$A4,Dati!$O$2:$O$1216,"Totale aggregato",Dati!$P$2:$P$1216,"Nessuna",Dati!$V$2:$V$1216,"Consuntivo",Dati!$N$2:$N$1216,"Mercato domestico")+COUNTIFS(Dati!$C$2:$C$1216,$A4,Dati!$O$2:$O$1216,"Totale aggregato",Dati!$P$2:$P$1216,"Nessuna",Dati!$V$2:$V$1216,"Consuntivo",Dati!$N$2:$N$1216,"Spesa o budget delle organizzazioni")=0,"",MAX(_xlfn.MAXIFS(Dati!$U$2:$U$1216,Dati!$C$2:$C$1216,$A4,Dati!$O$2:$O$1216,"Totale aggregato",Dati!$P$2:$P$1216,"Nessuna",Dati!$V$2:$V$1216,"Consuntivo",Dati!$N$2:$N$1216,"Mercato domestico"),_xlfn.MAXIFS(Dati!$U$2:$U$1216,Dati!$C$2:$C$1216,$A4,Dati!$O$2:$O$1216,"Totale aggregato",Dati!$P$2:$P$1216,"Nessuna",Dati!$V$2:$V$1216,"Consuntivo",Dati!$N$2:$N$1216,"Spesa o budget delle organizzazioni")))</f>
        <v>2024</v>
      </c>
      <c r="N4" s="22" t="n">
        <f aca="false">IF(P4=0,"",MIN(IF(COUNTIFS(Dati!$C$2:$C$1216,$A4,Dati!$O$2:$O$1216,"Totale aggregato",Dati!$P$2:$P$1216,"Nessuna",Dati!$V$2:$V$1216,"Consuntivo",Dati!$U$2:$U$1216,M4,Dati!$N$2:$N$1216,"Mercato domestico")&gt;0,_xlfn.MINIFS(Dati!$X$2:$X$1216,Dati!$C$2:$C$1216,$A4,Dati!$O$2:$O$1216,"Totale aggregato",Dati!$P$2:$P$1216,"Nessuna",Dati!$V$2:$V$1216,"Consuntivo",Dati!$U$2:$U$1216,M4,Dati!$N$2:$N$1216,"Mercato domestico"),1E+099),IF(COUNTIFS(Dati!$C$2:$C$1216,$A4,Dati!$O$2:$O$1216,"Totale aggregato",Dati!$P$2:$P$1216,"Nessuna",Dati!$V$2:$V$1216,"Consuntivo",Dati!$U$2:$U$1216,M4,Dati!$N$2:$N$1216,"Spesa o budget delle organizzazioni")&gt;0,_xlfn.MINIFS(Dati!$X$2:$X$1216,Dati!$C$2:$C$1216,$A4,Dati!$O$2:$O$1216,"Totale aggregato",Dati!$P$2:$P$1216,"Nessuna",Dati!$V$2:$V$1216,"Consuntivo",Dati!$U$2:$U$1216,M4,Dati!$N$2:$N$1216,"Spesa o budget delle organizzazioni"),1E+099)))</f>
        <v>11.4019838429287</v>
      </c>
      <c r="O4" s="22" t="n">
        <f aca="false">IF(P4=0,"",MAX(_xlfn.MAXIFS(Dati!$X$2:$X$1216,Dati!$C$2:$C$1216,$A4,Dati!$O$2:$O$1216,"Totale aggregato",Dati!$P$2:$P$1216,"Nessuna",Dati!$V$2:$V$1216,"Consuntivo",Dati!$U$2:$U$1216,M4,Dati!$N$2:$N$1216,"Mercato domestico"),_xlfn.MAXIFS(Dati!$X$2:$X$1216,Dati!$C$2:$C$1216,$A4,Dati!$O$2:$O$1216,"Totale aggregato",Dati!$P$2:$P$1216,"Nessuna",Dati!$V$2:$V$1216,"Consuntivo",Dati!$U$2:$U$1216,M4,Dati!$N$2:$N$1216,"Spesa o budget delle organizzazioni")))</f>
        <v>68.3665927568367</v>
      </c>
      <c r="P4" s="20" t="n">
        <f aca="false">IF(M4="",0,COUNTIFS(Dati!$C$2:$C$1216,$A4,Dati!$O$2:$O$1216,"Totale aggregato",Dati!$P$2:$P$1216,"Nessuna",Dati!$V$2:$V$1216,"Consuntivo",Dati!$U$2:$U$1216,M4,Dati!$N$2:$N$1216,"Mercato domestico")+COUNTIFS(Dati!$C$2:$C$1216,$A4,Dati!$O$2:$O$1216,"Totale aggregato",Dati!$P$2:$P$1216,"Nessuna",Dati!$V$2:$V$1216,"Consuntivo",Dati!$U$2:$U$1216,M4,Dati!$N$2:$N$1216,"Spesa o budget delle organizzazioni"))</f>
        <v>2</v>
      </c>
      <c r="Q4" s="18" t="s">
        <v>7490</v>
      </c>
    </row>
    <row r="5" customFormat="false" ht="23.85" hidden="false" customHeight="false" outlineLevel="0" collapsed="false">
      <c r="A5" s="12" t="s">
        <v>1260</v>
      </c>
      <c r="B5" s="12" t="s">
        <v>1261</v>
      </c>
      <c r="C5" s="20" t="n">
        <f aca="false">COUNTIF(Dati!$C$2:$C$1216,$A5)</f>
        <v>5</v>
      </c>
      <c r="D5" s="20" t="n">
        <f aca="false">IF(C5=0,0,SUMPRODUCT((Dati!$C$2:$C$1216=$A5)/COUNTIFS(Dati!$C$2:$C$1216,Dati!$C$2:$C$1216,Dati!$B$2:$B$1216,Dati!$B$2:$B$1216)))</f>
        <v>2</v>
      </c>
      <c r="E5" s="20" t="n">
        <f aca="false">COUNTIFS(Dati!$C$2:$C$1216,$A5,Dati!$AB$2:$AB$1216,"Domanda (end user)")</f>
        <v>5</v>
      </c>
      <c r="F5" s="20" t="n">
        <f aca="false">COUNTIFS(Dati!$C$2:$C$1216,$A5,Dati!$AB$2:$AB$1216,"Offerta (fornitori)")</f>
        <v>0</v>
      </c>
      <c r="G5" s="20" t="n">
        <f aca="false">COUNTIFS(Dati!$C$2:$C$1216,$A5,Dati!$AB$2:$AB$1216,"Misto")</f>
        <v>0</v>
      </c>
      <c r="H5" s="20" t="n">
        <f aca="false">COUNTIFS(Dati!$C$2:$C$1216,$A5,Dati!$AB$2:$AB$1216,"Non determinabile")</f>
        <v>0</v>
      </c>
      <c r="I5" s="20" t="n">
        <f aca="false">COUNTIFS(Dati!$C$2:$C$1216,$A5,Dati!$G$2:$G$1216,"Ente pubblico nazionale")+COUNTIFS(Dati!$C$2:$C$1216,$A5,Dati!$G$2:$G$1216,"Osservatorio o università")</f>
        <v>0</v>
      </c>
      <c r="J5" s="21" t="str">
        <f aca="false">IF(I5&gt;0,"Sì","No")</f>
        <v>No</v>
      </c>
      <c r="K5" s="20" t="n">
        <f aca="false">COUNTIFS(Dati!$C$2:$C$1216,$A5,Dati!$G$2:$G$1216,"Istituzione UE")</f>
        <v>5</v>
      </c>
      <c r="L5" s="20" t="n">
        <f aca="false">IF(COUNTIFS(Dati!$C$2:$C$1216,$A5,Dati!$V$2:$V$1216,"Consuntivo")=0,"",_xlfn.MAXIFS(Dati!$U$2:$U$1216,Dati!$C$2:$C$1216,$A5,Dati!$V$2:$V$1216,"Consuntivo"))</f>
        <v>2025</v>
      </c>
      <c r="M5" s="20" t="str">
        <f aca="false">IF(COUNTIFS(Dati!$C$2:$C$1216,$A5,Dati!$O$2:$O$1216,"Totale aggregato",Dati!$P$2:$P$1216,"Nessuna",Dati!$V$2:$V$1216,"Consuntivo",Dati!$N$2:$N$1216,"Mercato domestico")+COUNTIFS(Dati!$C$2:$C$1216,$A5,Dati!$O$2:$O$1216,"Totale aggregato",Dati!$P$2:$P$1216,"Nessuna",Dati!$V$2:$V$1216,"Consuntivo",Dati!$N$2:$N$1216,"Spesa o budget delle organizzazioni")=0,"",MAX(_xlfn.MAXIFS(Dati!$U$2:$U$1216,Dati!$C$2:$C$1216,$A5,Dati!$O$2:$O$1216,"Totale aggregato",Dati!$P$2:$P$1216,"Nessuna",Dati!$V$2:$V$1216,"Consuntivo",Dati!$N$2:$N$1216,"Mercato domestico"),_xlfn.MAXIFS(Dati!$U$2:$U$1216,Dati!$C$2:$C$1216,$A5,Dati!$O$2:$O$1216,"Totale aggregato",Dati!$P$2:$P$1216,"Nessuna",Dati!$V$2:$V$1216,"Consuntivo",Dati!$N$2:$N$1216,"Spesa o budget delle organizzazioni")))</f>
        <v/>
      </c>
      <c r="N5" s="22" t="str">
        <f aca="false">IF(P5=0,"",MIN(IF(COUNTIFS(Dati!$C$2:$C$1216,$A5,Dati!$O$2:$O$1216,"Totale aggregato",Dati!$P$2:$P$1216,"Nessuna",Dati!$V$2:$V$1216,"Consuntivo",Dati!$U$2:$U$1216,M5,Dati!$N$2:$N$1216,"Mercato domestico")&gt;0,_xlfn.MINIFS(Dati!$X$2:$X$1216,Dati!$C$2:$C$1216,$A5,Dati!$O$2:$O$1216,"Totale aggregato",Dati!$P$2:$P$1216,"Nessuna",Dati!$V$2:$V$1216,"Consuntivo",Dati!$U$2:$U$1216,M5,Dati!$N$2:$N$1216,"Mercato domestico"),1E+099),IF(COUNTIFS(Dati!$C$2:$C$1216,$A5,Dati!$O$2:$O$1216,"Totale aggregato",Dati!$P$2:$P$1216,"Nessuna",Dati!$V$2:$V$1216,"Consuntivo",Dati!$U$2:$U$1216,M5,Dati!$N$2:$N$1216,"Spesa o budget delle organizzazioni")&gt;0,_xlfn.MINIFS(Dati!$X$2:$X$1216,Dati!$C$2:$C$1216,$A5,Dati!$O$2:$O$1216,"Totale aggregato",Dati!$P$2:$P$1216,"Nessuna",Dati!$V$2:$V$1216,"Consuntivo",Dati!$U$2:$U$1216,M5,Dati!$N$2:$N$1216,"Spesa o budget delle organizzazioni"),1E+099)))</f>
        <v/>
      </c>
      <c r="O5" s="22" t="str">
        <f aca="false">IF(P5=0,"",MAX(_xlfn.MAXIFS(Dati!$X$2:$X$1216,Dati!$C$2:$C$1216,$A5,Dati!$O$2:$O$1216,"Totale aggregato",Dati!$P$2:$P$1216,"Nessuna",Dati!$V$2:$V$1216,"Consuntivo",Dati!$U$2:$U$1216,M5,Dati!$N$2:$N$1216,"Mercato domestico"),_xlfn.MAXIFS(Dati!$X$2:$X$1216,Dati!$C$2:$C$1216,$A5,Dati!$O$2:$O$1216,"Totale aggregato",Dati!$P$2:$P$1216,"Nessuna",Dati!$V$2:$V$1216,"Consuntivo",Dati!$U$2:$U$1216,M5,Dati!$N$2:$N$1216,"Spesa o budget delle organizzazioni")))</f>
        <v/>
      </c>
      <c r="P5" s="20" t="n">
        <f aca="false">IF(M5="",0,COUNTIFS(Dati!$C$2:$C$1216,$A5,Dati!$O$2:$O$1216,"Totale aggregato",Dati!$P$2:$P$1216,"Nessuna",Dati!$V$2:$V$1216,"Consuntivo",Dati!$U$2:$U$1216,M5,Dati!$N$2:$N$1216,"Mercato domestico")+COUNTIFS(Dati!$C$2:$C$1216,$A5,Dati!$O$2:$O$1216,"Totale aggregato",Dati!$P$2:$P$1216,"Nessuna",Dati!$V$2:$V$1216,"Consuntivo",Dati!$U$2:$U$1216,M5,Dati!$N$2:$N$1216,"Spesa o budget delle organizzazioni"))</f>
        <v>0</v>
      </c>
      <c r="Q5" s="18" t="s">
        <v>7491</v>
      </c>
    </row>
    <row r="6" customFormat="false" ht="23.85" hidden="false" customHeight="false" outlineLevel="0" collapsed="false">
      <c r="A6" s="12" t="s">
        <v>1293</v>
      </c>
      <c r="B6" s="12" t="s">
        <v>1294</v>
      </c>
      <c r="C6" s="20" t="n">
        <f aca="false">COUNTIF(Dati!$C$2:$C$1216,$A6)</f>
        <v>10</v>
      </c>
      <c r="D6" s="20" t="n">
        <f aca="false">IF(C6=0,0,SUMPRODUCT((Dati!$C$2:$C$1216=$A6)/COUNTIFS(Dati!$C$2:$C$1216,Dati!$C$2:$C$1216,Dati!$B$2:$B$1216,Dati!$B$2:$B$1216)))</f>
        <v>8</v>
      </c>
      <c r="E6" s="20" t="n">
        <f aca="false">COUNTIFS(Dati!$C$2:$C$1216,$A6,Dati!$AB$2:$AB$1216,"Domanda (end user)")</f>
        <v>8</v>
      </c>
      <c r="F6" s="20" t="n">
        <f aca="false">COUNTIFS(Dati!$C$2:$C$1216,$A6,Dati!$AB$2:$AB$1216,"Offerta (fornitori)")</f>
        <v>1</v>
      </c>
      <c r="G6" s="20" t="n">
        <f aca="false">COUNTIFS(Dati!$C$2:$C$1216,$A6,Dati!$AB$2:$AB$1216,"Misto")</f>
        <v>0</v>
      </c>
      <c r="H6" s="20" t="n">
        <f aca="false">COUNTIFS(Dati!$C$2:$C$1216,$A6,Dati!$AB$2:$AB$1216,"Non determinabile")</f>
        <v>1</v>
      </c>
      <c r="I6" s="20" t="n">
        <f aca="false">COUNTIFS(Dati!$C$2:$C$1216,$A6,Dati!$G$2:$G$1216,"Ente pubblico nazionale")+COUNTIFS(Dati!$C$2:$C$1216,$A6,Dati!$G$2:$G$1216,"Osservatorio o università")</f>
        <v>8</v>
      </c>
      <c r="J6" s="21" t="str">
        <f aca="false">IF(I6&gt;0,"Sì","No")</f>
        <v>Sì</v>
      </c>
      <c r="K6" s="20" t="n">
        <f aca="false">COUNTIFS(Dati!$C$2:$C$1216,$A6,Dati!$G$2:$G$1216,"Istituzione UE")</f>
        <v>1</v>
      </c>
      <c r="L6" s="20" t="n">
        <f aca="false">IF(COUNTIFS(Dati!$C$2:$C$1216,$A6,Dati!$V$2:$V$1216,"Consuntivo")=0,"",_xlfn.MAXIFS(Dati!$U$2:$U$1216,Dati!$C$2:$C$1216,$A6,Dati!$V$2:$V$1216,"Consuntivo"))</f>
        <v>2025</v>
      </c>
      <c r="M6" s="20" t="str">
        <f aca="false">IF(COUNTIFS(Dati!$C$2:$C$1216,$A6,Dati!$O$2:$O$1216,"Totale aggregato",Dati!$P$2:$P$1216,"Nessuna",Dati!$V$2:$V$1216,"Consuntivo",Dati!$N$2:$N$1216,"Mercato domestico")+COUNTIFS(Dati!$C$2:$C$1216,$A6,Dati!$O$2:$O$1216,"Totale aggregato",Dati!$P$2:$P$1216,"Nessuna",Dati!$V$2:$V$1216,"Consuntivo",Dati!$N$2:$N$1216,"Spesa o budget delle organizzazioni")=0,"",MAX(_xlfn.MAXIFS(Dati!$U$2:$U$1216,Dati!$C$2:$C$1216,$A6,Dati!$O$2:$O$1216,"Totale aggregato",Dati!$P$2:$P$1216,"Nessuna",Dati!$V$2:$V$1216,"Consuntivo",Dati!$N$2:$N$1216,"Mercato domestico"),_xlfn.MAXIFS(Dati!$U$2:$U$1216,Dati!$C$2:$C$1216,$A6,Dati!$O$2:$O$1216,"Totale aggregato",Dati!$P$2:$P$1216,"Nessuna",Dati!$V$2:$V$1216,"Consuntivo",Dati!$N$2:$N$1216,"Spesa o budget delle organizzazioni")))</f>
        <v/>
      </c>
      <c r="N6" s="22" t="str">
        <f aca="false">IF(P6=0,"",MIN(IF(COUNTIFS(Dati!$C$2:$C$1216,$A6,Dati!$O$2:$O$1216,"Totale aggregato",Dati!$P$2:$P$1216,"Nessuna",Dati!$V$2:$V$1216,"Consuntivo",Dati!$U$2:$U$1216,M6,Dati!$N$2:$N$1216,"Mercato domestico")&gt;0,_xlfn.MINIFS(Dati!$X$2:$X$1216,Dati!$C$2:$C$1216,$A6,Dati!$O$2:$O$1216,"Totale aggregato",Dati!$P$2:$P$1216,"Nessuna",Dati!$V$2:$V$1216,"Consuntivo",Dati!$U$2:$U$1216,M6,Dati!$N$2:$N$1216,"Mercato domestico"),1E+099),IF(COUNTIFS(Dati!$C$2:$C$1216,$A6,Dati!$O$2:$O$1216,"Totale aggregato",Dati!$P$2:$P$1216,"Nessuna",Dati!$V$2:$V$1216,"Consuntivo",Dati!$U$2:$U$1216,M6,Dati!$N$2:$N$1216,"Spesa o budget delle organizzazioni")&gt;0,_xlfn.MINIFS(Dati!$X$2:$X$1216,Dati!$C$2:$C$1216,$A6,Dati!$O$2:$O$1216,"Totale aggregato",Dati!$P$2:$P$1216,"Nessuna",Dati!$V$2:$V$1216,"Consuntivo",Dati!$U$2:$U$1216,M6,Dati!$N$2:$N$1216,"Spesa o budget delle organizzazioni"),1E+099)))</f>
        <v/>
      </c>
      <c r="O6" s="22" t="str">
        <f aca="false">IF(P6=0,"",MAX(_xlfn.MAXIFS(Dati!$X$2:$X$1216,Dati!$C$2:$C$1216,$A6,Dati!$O$2:$O$1216,"Totale aggregato",Dati!$P$2:$P$1216,"Nessuna",Dati!$V$2:$V$1216,"Consuntivo",Dati!$U$2:$U$1216,M6,Dati!$N$2:$N$1216,"Mercato domestico"),_xlfn.MAXIFS(Dati!$X$2:$X$1216,Dati!$C$2:$C$1216,$A6,Dati!$O$2:$O$1216,"Totale aggregato",Dati!$P$2:$P$1216,"Nessuna",Dati!$V$2:$V$1216,"Consuntivo",Dati!$U$2:$U$1216,M6,Dati!$N$2:$N$1216,"Spesa o budget delle organizzazioni")))</f>
        <v/>
      </c>
      <c r="P6" s="20" t="n">
        <f aca="false">IF(M6="",0,COUNTIFS(Dati!$C$2:$C$1216,$A6,Dati!$O$2:$O$1216,"Totale aggregato",Dati!$P$2:$P$1216,"Nessuna",Dati!$V$2:$V$1216,"Consuntivo",Dati!$U$2:$U$1216,M6,Dati!$N$2:$N$1216,"Mercato domestico")+COUNTIFS(Dati!$C$2:$C$1216,$A6,Dati!$O$2:$O$1216,"Totale aggregato",Dati!$P$2:$P$1216,"Nessuna",Dati!$V$2:$V$1216,"Consuntivo",Dati!$U$2:$U$1216,M6,Dati!$N$2:$N$1216,"Spesa o budget delle organizzazioni"))</f>
        <v>0</v>
      </c>
      <c r="Q6" s="18" t="s">
        <v>7492</v>
      </c>
    </row>
    <row r="7" customFormat="false" ht="23.85" hidden="false" customHeight="false" outlineLevel="0" collapsed="false">
      <c r="A7" s="12" t="s">
        <v>1371</v>
      </c>
      <c r="B7" s="12" t="s">
        <v>1372</v>
      </c>
      <c r="C7" s="20" t="n">
        <f aca="false">COUNTIF(Dati!$C$2:$C$1216,$A7)</f>
        <v>20</v>
      </c>
      <c r="D7" s="20" t="n">
        <f aca="false">IF(C7=0,0,SUMPRODUCT((Dati!$C$2:$C$1216=$A7)/COUNTIFS(Dati!$C$2:$C$1216,Dati!$C$2:$C$1216,Dati!$B$2:$B$1216,Dati!$B$2:$B$1216)))</f>
        <v>7</v>
      </c>
      <c r="E7" s="20" t="n">
        <f aca="false">COUNTIFS(Dati!$C$2:$C$1216,$A7,Dati!$AB$2:$AB$1216,"Domanda (end user)")</f>
        <v>8</v>
      </c>
      <c r="F7" s="20" t="n">
        <f aca="false">COUNTIFS(Dati!$C$2:$C$1216,$A7,Dati!$AB$2:$AB$1216,"Offerta (fornitori)")</f>
        <v>0</v>
      </c>
      <c r="G7" s="20" t="n">
        <f aca="false">COUNTIFS(Dati!$C$2:$C$1216,$A7,Dati!$AB$2:$AB$1216,"Misto")</f>
        <v>0</v>
      </c>
      <c r="H7" s="20" t="n">
        <f aca="false">COUNTIFS(Dati!$C$2:$C$1216,$A7,Dati!$AB$2:$AB$1216,"Non determinabile")</f>
        <v>12</v>
      </c>
      <c r="I7" s="20" t="n">
        <f aca="false">COUNTIFS(Dati!$C$2:$C$1216,$A7,Dati!$G$2:$G$1216,"Ente pubblico nazionale")+COUNTIFS(Dati!$C$2:$C$1216,$A7,Dati!$G$2:$G$1216,"Osservatorio o università")</f>
        <v>6</v>
      </c>
      <c r="J7" s="21" t="str">
        <f aca="false">IF(I7&gt;0,"Sì","No")</f>
        <v>Sì</v>
      </c>
      <c r="K7" s="20" t="n">
        <f aca="false">COUNTIFS(Dati!$C$2:$C$1216,$A7,Dati!$G$2:$G$1216,"Istituzione UE")</f>
        <v>0</v>
      </c>
      <c r="L7" s="20" t="n">
        <f aca="false">IF(COUNTIFS(Dati!$C$2:$C$1216,$A7,Dati!$V$2:$V$1216,"Consuntivo")=0,"",_xlfn.MAXIFS(Dati!$U$2:$U$1216,Dati!$C$2:$C$1216,$A7,Dati!$V$2:$V$1216,"Consuntivo"))</f>
        <v>2025</v>
      </c>
      <c r="M7" s="20" t="n">
        <f aca="false">IF(COUNTIFS(Dati!$C$2:$C$1216,$A7,Dati!$O$2:$O$1216,"Totale aggregato",Dati!$P$2:$P$1216,"Nessuna",Dati!$V$2:$V$1216,"Consuntivo",Dati!$N$2:$N$1216,"Mercato domestico")+COUNTIFS(Dati!$C$2:$C$1216,$A7,Dati!$O$2:$O$1216,"Totale aggregato",Dati!$P$2:$P$1216,"Nessuna",Dati!$V$2:$V$1216,"Consuntivo",Dati!$N$2:$N$1216,"Spesa o budget delle organizzazioni")=0,"",MAX(_xlfn.MAXIFS(Dati!$U$2:$U$1216,Dati!$C$2:$C$1216,$A7,Dati!$O$2:$O$1216,"Totale aggregato",Dati!$P$2:$P$1216,"Nessuna",Dati!$V$2:$V$1216,"Consuntivo",Dati!$N$2:$N$1216,"Mercato domestico"),_xlfn.MAXIFS(Dati!$U$2:$U$1216,Dati!$C$2:$C$1216,$A7,Dati!$O$2:$O$1216,"Totale aggregato",Dati!$P$2:$P$1216,"Nessuna",Dati!$V$2:$V$1216,"Consuntivo",Dati!$N$2:$N$1216,"Spesa o budget delle organizzazioni")))</f>
        <v>2025</v>
      </c>
      <c r="N7" s="22" t="n">
        <f aca="false">IF(P7=0,"",MIN(IF(COUNTIFS(Dati!$C$2:$C$1216,$A7,Dati!$O$2:$O$1216,"Totale aggregato",Dati!$P$2:$P$1216,"Nessuna",Dati!$V$2:$V$1216,"Consuntivo",Dati!$U$2:$U$1216,M7,Dati!$N$2:$N$1216,"Mercato domestico")&gt;0,_xlfn.MINIFS(Dati!$X$2:$X$1216,Dati!$C$2:$C$1216,$A7,Dati!$O$2:$O$1216,"Totale aggregato",Dati!$P$2:$P$1216,"Nessuna",Dati!$V$2:$V$1216,"Consuntivo",Dati!$U$2:$U$1216,M7,Dati!$N$2:$N$1216,"Mercato domestico"),1E+099),IF(COUNTIFS(Dati!$C$2:$C$1216,$A7,Dati!$O$2:$O$1216,"Totale aggregato",Dati!$P$2:$P$1216,"Nessuna",Dati!$V$2:$V$1216,"Consuntivo",Dati!$U$2:$U$1216,M7,Dati!$N$2:$N$1216,"Spesa o budget delle organizzazioni")&gt;0,_xlfn.MINIFS(Dati!$X$2:$X$1216,Dati!$C$2:$C$1216,$A7,Dati!$O$2:$O$1216,"Totale aggregato",Dati!$P$2:$P$1216,"Nessuna",Dati!$V$2:$V$1216,"Consuntivo",Dati!$U$2:$U$1216,M7,Dati!$N$2:$N$1216,"Spesa o budget delle organizzazioni"),1E+099)))</f>
        <v>425.398230088496</v>
      </c>
      <c r="O7" s="22" t="n">
        <f aca="false">IF(P7=0,"",MAX(_xlfn.MAXIFS(Dati!$X$2:$X$1216,Dati!$C$2:$C$1216,$A7,Dati!$O$2:$O$1216,"Totale aggregato",Dati!$P$2:$P$1216,"Nessuna",Dati!$V$2:$V$1216,"Consuntivo",Dati!$U$2:$U$1216,M7,Dati!$N$2:$N$1216,"Mercato domestico"),_xlfn.MAXIFS(Dati!$X$2:$X$1216,Dati!$C$2:$C$1216,$A7,Dati!$O$2:$O$1216,"Totale aggregato",Dati!$P$2:$P$1216,"Nessuna",Dati!$V$2:$V$1216,"Consuntivo",Dati!$U$2:$U$1216,M7,Dati!$N$2:$N$1216,"Spesa o budget delle organizzazioni")))</f>
        <v>425.398230088496</v>
      </c>
      <c r="P7" s="20" t="n">
        <f aca="false">IF(M7="",0,COUNTIFS(Dati!$C$2:$C$1216,$A7,Dati!$O$2:$O$1216,"Totale aggregato",Dati!$P$2:$P$1216,"Nessuna",Dati!$V$2:$V$1216,"Consuntivo",Dati!$U$2:$U$1216,M7,Dati!$N$2:$N$1216,"Mercato domestico")+COUNTIFS(Dati!$C$2:$C$1216,$A7,Dati!$O$2:$O$1216,"Totale aggregato",Dati!$P$2:$P$1216,"Nessuna",Dati!$V$2:$V$1216,"Consuntivo",Dati!$U$2:$U$1216,M7,Dati!$N$2:$N$1216,"Spesa o budget delle organizzazioni"))</f>
        <v>1</v>
      </c>
      <c r="Q7" s="18" t="s">
        <v>7493</v>
      </c>
    </row>
    <row r="8" customFormat="false" ht="23.85" hidden="false" customHeight="false" outlineLevel="0" collapsed="false">
      <c r="A8" s="12" t="s">
        <v>1490</v>
      </c>
      <c r="B8" s="12" t="s">
        <v>1491</v>
      </c>
      <c r="C8" s="20" t="n">
        <f aca="false">COUNTIF(Dati!$C$2:$C$1216,$A8)</f>
        <v>10</v>
      </c>
      <c r="D8" s="20" t="n">
        <f aca="false">IF(C8=0,0,SUMPRODUCT((Dati!$C$2:$C$1216=$A8)/COUNTIFS(Dati!$C$2:$C$1216,Dati!$C$2:$C$1216,Dati!$B$2:$B$1216,Dati!$B$2:$B$1216)))</f>
        <v>5</v>
      </c>
      <c r="E8" s="20" t="n">
        <f aca="false">COUNTIFS(Dati!$C$2:$C$1216,$A8,Dati!$AB$2:$AB$1216,"Domanda (end user)")</f>
        <v>7</v>
      </c>
      <c r="F8" s="20" t="n">
        <f aca="false">COUNTIFS(Dati!$C$2:$C$1216,$A8,Dati!$AB$2:$AB$1216,"Offerta (fornitori)")</f>
        <v>3</v>
      </c>
      <c r="G8" s="20" t="n">
        <f aca="false">COUNTIFS(Dati!$C$2:$C$1216,$A8,Dati!$AB$2:$AB$1216,"Misto")</f>
        <v>0</v>
      </c>
      <c r="H8" s="20" t="n">
        <f aca="false">COUNTIFS(Dati!$C$2:$C$1216,$A8,Dati!$AB$2:$AB$1216,"Non determinabile")</f>
        <v>0</v>
      </c>
      <c r="I8" s="20" t="n">
        <f aca="false">COUNTIFS(Dati!$C$2:$C$1216,$A8,Dati!$G$2:$G$1216,"Ente pubblico nazionale")+COUNTIFS(Dati!$C$2:$C$1216,$A8,Dati!$G$2:$G$1216,"Osservatorio o università")</f>
        <v>10</v>
      </c>
      <c r="J8" s="21" t="str">
        <f aca="false">IF(I8&gt;0,"Sì","No")</f>
        <v>Sì</v>
      </c>
      <c r="K8" s="20" t="n">
        <f aca="false">COUNTIFS(Dati!$C$2:$C$1216,$A8,Dati!$G$2:$G$1216,"Istituzione UE")</f>
        <v>0</v>
      </c>
      <c r="L8" s="20" t="n">
        <f aca="false">IF(COUNTIFS(Dati!$C$2:$C$1216,$A8,Dati!$V$2:$V$1216,"Consuntivo")=0,"",_xlfn.MAXIFS(Dati!$U$2:$U$1216,Dati!$C$2:$C$1216,$A8,Dati!$V$2:$V$1216,"Consuntivo"))</f>
        <v>2024</v>
      </c>
      <c r="M8" s="20" t="str">
        <f aca="false">IF(COUNTIFS(Dati!$C$2:$C$1216,$A8,Dati!$O$2:$O$1216,"Totale aggregato",Dati!$P$2:$P$1216,"Nessuna",Dati!$V$2:$V$1216,"Consuntivo",Dati!$N$2:$N$1216,"Mercato domestico")+COUNTIFS(Dati!$C$2:$C$1216,$A8,Dati!$O$2:$O$1216,"Totale aggregato",Dati!$P$2:$P$1216,"Nessuna",Dati!$V$2:$V$1216,"Consuntivo",Dati!$N$2:$N$1216,"Spesa o budget delle organizzazioni")=0,"",MAX(_xlfn.MAXIFS(Dati!$U$2:$U$1216,Dati!$C$2:$C$1216,$A8,Dati!$O$2:$O$1216,"Totale aggregato",Dati!$P$2:$P$1216,"Nessuna",Dati!$V$2:$V$1216,"Consuntivo",Dati!$N$2:$N$1216,"Mercato domestico"),_xlfn.MAXIFS(Dati!$U$2:$U$1216,Dati!$C$2:$C$1216,$A8,Dati!$O$2:$O$1216,"Totale aggregato",Dati!$P$2:$P$1216,"Nessuna",Dati!$V$2:$V$1216,"Consuntivo",Dati!$N$2:$N$1216,"Spesa o budget delle organizzazioni")))</f>
        <v/>
      </c>
      <c r="N8" s="22" t="str">
        <f aca="false">IF(P8=0,"",MIN(IF(COUNTIFS(Dati!$C$2:$C$1216,$A8,Dati!$O$2:$O$1216,"Totale aggregato",Dati!$P$2:$P$1216,"Nessuna",Dati!$V$2:$V$1216,"Consuntivo",Dati!$U$2:$U$1216,M8,Dati!$N$2:$N$1216,"Mercato domestico")&gt;0,_xlfn.MINIFS(Dati!$X$2:$X$1216,Dati!$C$2:$C$1216,$A8,Dati!$O$2:$O$1216,"Totale aggregato",Dati!$P$2:$P$1216,"Nessuna",Dati!$V$2:$V$1216,"Consuntivo",Dati!$U$2:$U$1216,M8,Dati!$N$2:$N$1216,"Mercato domestico"),1E+099),IF(COUNTIFS(Dati!$C$2:$C$1216,$A8,Dati!$O$2:$O$1216,"Totale aggregato",Dati!$P$2:$P$1216,"Nessuna",Dati!$V$2:$V$1216,"Consuntivo",Dati!$U$2:$U$1216,M8,Dati!$N$2:$N$1216,"Spesa o budget delle organizzazioni")&gt;0,_xlfn.MINIFS(Dati!$X$2:$X$1216,Dati!$C$2:$C$1216,$A8,Dati!$O$2:$O$1216,"Totale aggregato",Dati!$P$2:$P$1216,"Nessuna",Dati!$V$2:$V$1216,"Consuntivo",Dati!$U$2:$U$1216,M8,Dati!$N$2:$N$1216,"Spesa o budget delle organizzazioni"),1E+099)))</f>
        <v/>
      </c>
      <c r="O8" s="22" t="str">
        <f aca="false">IF(P8=0,"",MAX(_xlfn.MAXIFS(Dati!$X$2:$X$1216,Dati!$C$2:$C$1216,$A8,Dati!$O$2:$O$1216,"Totale aggregato",Dati!$P$2:$P$1216,"Nessuna",Dati!$V$2:$V$1216,"Consuntivo",Dati!$U$2:$U$1216,M8,Dati!$N$2:$N$1216,"Mercato domestico"),_xlfn.MAXIFS(Dati!$X$2:$X$1216,Dati!$C$2:$C$1216,$A8,Dati!$O$2:$O$1216,"Totale aggregato",Dati!$P$2:$P$1216,"Nessuna",Dati!$V$2:$V$1216,"Consuntivo",Dati!$U$2:$U$1216,M8,Dati!$N$2:$N$1216,"Spesa o budget delle organizzazioni")))</f>
        <v/>
      </c>
      <c r="P8" s="20" t="n">
        <f aca="false">IF(M8="",0,COUNTIFS(Dati!$C$2:$C$1216,$A8,Dati!$O$2:$O$1216,"Totale aggregato",Dati!$P$2:$P$1216,"Nessuna",Dati!$V$2:$V$1216,"Consuntivo",Dati!$U$2:$U$1216,M8,Dati!$N$2:$N$1216,"Mercato domestico")+COUNTIFS(Dati!$C$2:$C$1216,$A8,Dati!$O$2:$O$1216,"Totale aggregato",Dati!$P$2:$P$1216,"Nessuna",Dati!$V$2:$V$1216,"Consuntivo",Dati!$U$2:$U$1216,M8,Dati!$N$2:$N$1216,"Spesa o budget delle organizzazioni"))</f>
        <v>0</v>
      </c>
      <c r="Q8" s="18" t="s">
        <v>7494</v>
      </c>
    </row>
    <row r="9" customFormat="false" ht="23.85" hidden="false" customHeight="false" outlineLevel="0" collapsed="false">
      <c r="A9" s="12" t="s">
        <v>1556</v>
      </c>
      <c r="B9" s="12" t="s">
        <v>1557</v>
      </c>
      <c r="C9" s="20" t="n">
        <f aca="false">COUNTIF(Dati!$C$2:$C$1216,$A9)</f>
        <v>14</v>
      </c>
      <c r="D9" s="20" t="n">
        <f aca="false">IF(C9=0,0,SUMPRODUCT((Dati!$C$2:$C$1216=$A9)/COUNTIFS(Dati!$C$2:$C$1216,Dati!$C$2:$C$1216,Dati!$B$2:$B$1216,Dati!$B$2:$B$1216)))</f>
        <v>10</v>
      </c>
      <c r="E9" s="20" t="n">
        <f aca="false">COUNTIFS(Dati!$C$2:$C$1216,$A9,Dati!$AB$2:$AB$1216,"Domanda (end user)")</f>
        <v>6</v>
      </c>
      <c r="F9" s="20" t="n">
        <f aca="false">COUNTIFS(Dati!$C$2:$C$1216,$A9,Dati!$AB$2:$AB$1216,"Offerta (fornitori)")</f>
        <v>1</v>
      </c>
      <c r="G9" s="20" t="n">
        <f aca="false">COUNTIFS(Dati!$C$2:$C$1216,$A9,Dati!$AB$2:$AB$1216,"Misto")</f>
        <v>0</v>
      </c>
      <c r="H9" s="20" t="n">
        <f aca="false">COUNTIFS(Dati!$C$2:$C$1216,$A9,Dati!$AB$2:$AB$1216,"Non determinabile")</f>
        <v>7</v>
      </c>
      <c r="I9" s="20" t="n">
        <f aca="false">COUNTIFS(Dati!$C$2:$C$1216,$A9,Dati!$G$2:$G$1216,"Ente pubblico nazionale")+COUNTIFS(Dati!$C$2:$C$1216,$A9,Dati!$G$2:$G$1216,"Osservatorio o università")</f>
        <v>7</v>
      </c>
      <c r="J9" s="21" t="str">
        <f aca="false">IF(I9&gt;0,"Sì","No")</f>
        <v>Sì</v>
      </c>
      <c r="K9" s="20" t="n">
        <f aca="false">COUNTIFS(Dati!$C$2:$C$1216,$A9,Dati!$G$2:$G$1216,"Istituzione UE")</f>
        <v>0</v>
      </c>
      <c r="L9" s="20" t="n">
        <f aca="false">IF(COUNTIFS(Dati!$C$2:$C$1216,$A9,Dati!$V$2:$V$1216,"Consuntivo")=0,"",_xlfn.MAXIFS(Dati!$U$2:$U$1216,Dati!$C$2:$C$1216,$A9,Dati!$V$2:$V$1216,"Consuntivo"))</f>
        <v>2025</v>
      </c>
      <c r="M9" s="20" t="n">
        <f aca="false">IF(COUNTIFS(Dati!$C$2:$C$1216,$A9,Dati!$O$2:$O$1216,"Totale aggregato",Dati!$P$2:$P$1216,"Nessuna",Dati!$V$2:$V$1216,"Consuntivo",Dati!$N$2:$N$1216,"Mercato domestico")+COUNTIFS(Dati!$C$2:$C$1216,$A9,Dati!$O$2:$O$1216,"Totale aggregato",Dati!$P$2:$P$1216,"Nessuna",Dati!$V$2:$V$1216,"Consuntivo",Dati!$N$2:$N$1216,"Spesa o budget delle organizzazioni")=0,"",MAX(_xlfn.MAXIFS(Dati!$U$2:$U$1216,Dati!$C$2:$C$1216,$A9,Dati!$O$2:$O$1216,"Totale aggregato",Dati!$P$2:$P$1216,"Nessuna",Dati!$V$2:$V$1216,"Consuntivo",Dati!$N$2:$N$1216,"Mercato domestico"),_xlfn.MAXIFS(Dati!$U$2:$U$1216,Dati!$C$2:$C$1216,$A9,Dati!$O$2:$O$1216,"Totale aggregato",Dati!$P$2:$P$1216,"Nessuna",Dati!$V$2:$V$1216,"Consuntivo",Dati!$N$2:$N$1216,"Spesa o budget delle organizzazioni")))</f>
        <v>2025</v>
      </c>
      <c r="N9" s="22" t="n">
        <f aca="false">IF(P9=0,"",MIN(IF(COUNTIFS(Dati!$C$2:$C$1216,$A9,Dati!$O$2:$O$1216,"Totale aggregato",Dati!$P$2:$P$1216,"Nessuna",Dati!$V$2:$V$1216,"Consuntivo",Dati!$U$2:$U$1216,M9,Dati!$N$2:$N$1216,"Mercato domestico")&gt;0,_xlfn.MINIFS(Dati!$X$2:$X$1216,Dati!$C$2:$C$1216,$A9,Dati!$O$2:$O$1216,"Totale aggregato",Dati!$P$2:$P$1216,"Nessuna",Dati!$V$2:$V$1216,"Consuntivo",Dati!$U$2:$U$1216,M9,Dati!$N$2:$N$1216,"Mercato domestico"),1E+099),IF(COUNTIFS(Dati!$C$2:$C$1216,$A9,Dati!$O$2:$O$1216,"Totale aggregato",Dati!$P$2:$P$1216,"Nessuna",Dati!$V$2:$V$1216,"Consuntivo",Dati!$U$2:$U$1216,M9,Dati!$N$2:$N$1216,"Spesa o budget delle organizzazioni")&gt;0,_xlfn.MINIFS(Dati!$X$2:$X$1216,Dati!$C$2:$C$1216,$A9,Dati!$O$2:$O$1216,"Totale aggregato",Dati!$P$2:$P$1216,"Nessuna",Dati!$V$2:$V$1216,"Consuntivo",Dati!$U$2:$U$1216,M9,Dati!$N$2:$N$1216,"Spesa o budget delle organizzazioni"),1E+099)))</f>
        <v>308.336283185841</v>
      </c>
      <c r="O9" s="22" t="n">
        <f aca="false">IF(P9=0,"",MAX(_xlfn.MAXIFS(Dati!$X$2:$X$1216,Dati!$C$2:$C$1216,$A9,Dati!$O$2:$O$1216,"Totale aggregato",Dati!$P$2:$P$1216,"Nessuna",Dati!$V$2:$V$1216,"Consuntivo",Dati!$U$2:$U$1216,M9,Dati!$N$2:$N$1216,"Mercato domestico"),_xlfn.MAXIFS(Dati!$X$2:$X$1216,Dati!$C$2:$C$1216,$A9,Dati!$O$2:$O$1216,"Totale aggregato",Dati!$P$2:$P$1216,"Nessuna",Dati!$V$2:$V$1216,"Consuntivo",Dati!$U$2:$U$1216,M9,Dati!$N$2:$N$1216,"Spesa o budget delle organizzazioni")))</f>
        <v>308.336283185841</v>
      </c>
      <c r="P9" s="20" t="n">
        <f aca="false">IF(M9="",0,COUNTIFS(Dati!$C$2:$C$1216,$A9,Dati!$O$2:$O$1216,"Totale aggregato",Dati!$P$2:$P$1216,"Nessuna",Dati!$V$2:$V$1216,"Consuntivo",Dati!$U$2:$U$1216,M9,Dati!$N$2:$N$1216,"Mercato domestico")+COUNTIFS(Dati!$C$2:$C$1216,$A9,Dati!$O$2:$O$1216,"Totale aggregato",Dati!$P$2:$P$1216,"Nessuna",Dati!$V$2:$V$1216,"Consuntivo",Dati!$U$2:$U$1216,M9,Dati!$N$2:$N$1216,"Spesa o budget delle organizzazioni"))</f>
        <v>1</v>
      </c>
      <c r="Q9" s="18" t="s">
        <v>7495</v>
      </c>
    </row>
    <row r="10" customFormat="false" ht="35.05" hidden="false" customHeight="false" outlineLevel="0" collapsed="false">
      <c r="A10" s="12" t="s">
        <v>1663</v>
      </c>
      <c r="B10" s="12" t="s">
        <v>1664</v>
      </c>
      <c r="C10" s="20" t="n">
        <f aca="false">COUNTIF(Dati!$C$2:$C$1216,$A10)</f>
        <v>81</v>
      </c>
      <c r="D10" s="20" t="n">
        <f aca="false">IF(C10=0,0,SUMPRODUCT((Dati!$C$2:$C$1216=$A10)/COUNTIFS(Dati!$C$2:$C$1216,Dati!$C$2:$C$1216,Dati!$B$2:$B$1216,Dati!$B$2:$B$1216)))</f>
        <v>30</v>
      </c>
      <c r="E10" s="20" t="n">
        <f aca="false">COUNTIFS(Dati!$C$2:$C$1216,$A10,Dati!$AB$2:$AB$1216,"Domanda (end user)")</f>
        <v>12</v>
      </c>
      <c r="F10" s="20" t="n">
        <f aca="false">COUNTIFS(Dati!$C$2:$C$1216,$A10,Dati!$AB$2:$AB$1216,"Offerta (fornitori)")</f>
        <v>43</v>
      </c>
      <c r="G10" s="20" t="n">
        <f aca="false">COUNTIFS(Dati!$C$2:$C$1216,$A10,Dati!$AB$2:$AB$1216,"Misto")</f>
        <v>0</v>
      </c>
      <c r="H10" s="20" t="n">
        <f aca="false">COUNTIFS(Dati!$C$2:$C$1216,$A10,Dati!$AB$2:$AB$1216,"Non determinabile")</f>
        <v>26</v>
      </c>
      <c r="I10" s="20" t="n">
        <f aca="false">COUNTIFS(Dati!$C$2:$C$1216,$A10,Dati!$G$2:$G$1216,"Ente pubblico nazionale")+COUNTIFS(Dati!$C$2:$C$1216,$A10,Dati!$G$2:$G$1216,"Osservatorio o università")</f>
        <v>14</v>
      </c>
      <c r="J10" s="21" t="str">
        <f aca="false">IF(I10&gt;0,"Sì","No")</f>
        <v>Sì</v>
      </c>
      <c r="K10" s="20" t="n">
        <f aca="false">COUNTIFS(Dati!$C$2:$C$1216,$A10,Dati!$G$2:$G$1216,"Istituzione UE")</f>
        <v>1</v>
      </c>
      <c r="L10" s="20" t="n">
        <f aca="false">IF(COUNTIFS(Dati!$C$2:$C$1216,$A10,Dati!$V$2:$V$1216,"Consuntivo")=0,"",_xlfn.MAXIFS(Dati!$U$2:$U$1216,Dati!$C$2:$C$1216,$A10,Dati!$V$2:$V$1216,"Consuntivo"))</f>
        <v>2025</v>
      </c>
      <c r="M10" s="20" t="n">
        <f aca="false">IF(COUNTIFS(Dati!$C$2:$C$1216,$A10,Dati!$O$2:$O$1216,"Totale aggregato",Dati!$P$2:$P$1216,"Nessuna",Dati!$V$2:$V$1216,"Consuntivo",Dati!$N$2:$N$1216,"Mercato domestico")+COUNTIFS(Dati!$C$2:$C$1216,$A10,Dati!$O$2:$O$1216,"Totale aggregato",Dati!$P$2:$P$1216,"Nessuna",Dati!$V$2:$V$1216,"Consuntivo",Dati!$N$2:$N$1216,"Spesa o budget delle organizzazioni")=0,"",MAX(_xlfn.MAXIFS(Dati!$U$2:$U$1216,Dati!$C$2:$C$1216,$A10,Dati!$O$2:$O$1216,"Totale aggregato",Dati!$P$2:$P$1216,"Nessuna",Dati!$V$2:$V$1216,"Consuntivo",Dati!$N$2:$N$1216,"Mercato domestico"),_xlfn.MAXIFS(Dati!$U$2:$U$1216,Dati!$C$2:$C$1216,$A10,Dati!$O$2:$O$1216,"Totale aggregato",Dati!$P$2:$P$1216,"Nessuna",Dati!$V$2:$V$1216,"Consuntivo",Dati!$N$2:$N$1216,"Spesa o budget delle organizzazioni")))</f>
        <v>2025</v>
      </c>
      <c r="N10" s="22" t="n">
        <f aca="false">IF(P10=0,"",MIN(IF(COUNTIFS(Dati!$C$2:$C$1216,$A10,Dati!$O$2:$O$1216,"Totale aggregato",Dati!$P$2:$P$1216,"Nessuna",Dati!$V$2:$V$1216,"Consuntivo",Dati!$U$2:$U$1216,M10,Dati!$N$2:$N$1216,"Mercato domestico")&gt;0,_xlfn.MINIFS(Dati!$X$2:$X$1216,Dati!$C$2:$C$1216,$A10,Dati!$O$2:$O$1216,"Totale aggregato",Dati!$P$2:$P$1216,"Nessuna",Dati!$V$2:$V$1216,"Consuntivo",Dati!$U$2:$U$1216,M10,Dati!$N$2:$N$1216,"Mercato domestico"),1E+099),IF(COUNTIFS(Dati!$C$2:$C$1216,$A10,Dati!$O$2:$O$1216,"Totale aggregato",Dati!$P$2:$P$1216,"Nessuna",Dati!$V$2:$V$1216,"Consuntivo",Dati!$U$2:$U$1216,M10,Dati!$N$2:$N$1216,"Spesa o budget delle organizzazioni")&gt;0,_xlfn.MINIFS(Dati!$X$2:$X$1216,Dati!$C$2:$C$1216,$A10,Dati!$O$2:$O$1216,"Totale aggregato",Dati!$P$2:$P$1216,"Nessuna",Dati!$V$2:$V$1216,"Consuntivo",Dati!$U$2:$U$1216,M10,Dati!$N$2:$N$1216,"Spesa o budget delle organizzazioni"),1E+099)))</f>
        <v>5023.80530973451</v>
      </c>
      <c r="O10" s="22" t="n">
        <f aca="false">IF(P10=0,"",MAX(_xlfn.MAXIFS(Dati!$X$2:$X$1216,Dati!$C$2:$C$1216,$A10,Dati!$O$2:$O$1216,"Totale aggregato",Dati!$P$2:$P$1216,"Nessuna",Dati!$V$2:$V$1216,"Consuntivo",Dati!$U$2:$U$1216,M10,Dati!$N$2:$N$1216,"Mercato domestico"),_xlfn.MAXIFS(Dati!$X$2:$X$1216,Dati!$C$2:$C$1216,$A10,Dati!$O$2:$O$1216,"Totale aggregato",Dati!$P$2:$P$1216,"Nessuna",Dati!$V$2:$V$1216,"Consuntivo",Dati!$U$2:$U$1216,M10,Dati!$N$2:$N$1216,"Spesa o budget delle organizzazioni")))</f>
        <v>8185.8407079646</v>
      </c>
      <c r="P10" s="20" t="n">
        <f aca="false">IF(M10="",0,COUNTIFS(Dati!$C$2:$C$1216,$A10,Dati!$O$2:$O$1216,"Totale aggregato",Dati!$P$2:$P$1216,"Nessuna",Dati!$V$2:$V$1216,"Consuntivo",Dati!$U$2:$U$1216,M10,Dati!$N$2:$N$1216,"Mercato domestico")+COUNTIFS(Dati!$C$2:$C$1216,$A10,Dati!$O$2:$O$1216,"Totale aggregato",Dati!$P$2:$P$1216,"Nessuna",Dati!$V$2:$V$1216,"Consuntivo",Dati!$U$2:$U$1216,M10,Dati!$N$2:$N$1216,"Spesa o budget delle organizzazioni"))</f>
        <v>6</v>
      </c>
      <c r="Q10" s="18" t="s">
        <v>7496</v>
      </c>
    </row>
    <row r="11" customFormat="false" ht="35.05" hidden="false" customHeight="false" outlineLevel="0" collapsed="false">
      <c r="A11" s="12" t="s">
        <v>2125</v>
      </c>
      <c r="B11" s="12" t="s">
        <v>2126</v>
      </c>
      <c r="C11" s="20" t="n">
        <f aca="false">COUNTIF(Dati!$C$2:$C$1216,$A11)</f>
        <v>112</v>
      </c>
      <c r="D11" s="20" t="n">
        <f aca="false">IF(C11=0,0,SUMPRODUCT((Dati!$C$2:$C$1216=$A11)/COUNTIFS(Dati!$C$2:$C$1216,Dati!$C$2:$C$1216,Dati!$B$2:$B$1216,Dati!$B$2:$B$1216)))</f>
        <v>34</v>
      </c>
      <c r="E11" s="20" t="n">
        <f aca="false">COUNTIFS(Dati!$C$2:$C$1216,$A11,Dati!$AB$2:$AB$1216,"Domanda (end user)")</f>
        <v>11</v>
      </c>
      <c r="F11" s="20" t="n">
        <f aca="false">COUNTIFS(Dati!$C$2:$C$1216,$A11,Dati!$AB$2:$AB$1216,"Offerta (fornitori)")</f>
        <v>64</v>
      </c>
      <c r="G11" s="20" t="n">
        <f aca="false">COUNTIFS(Dati!$C$2:$C$1216,$A11,Dati!$AB$2:$AB$1216,"Misto")</f>
        <v>0</v>
      </c>
      <c r="H11" s="20" t="n">
        <f aca="false">COUNTIFS(Dati!$C$2:$C$1216,$A11,Dati!$AB$2:$AB$1216,"Non determinabile")</f>
        <v>37</v>
      </c>
      <c r="I11" s="20" t="n">
        <f aca="false">COUNTIFS(Dati!$C$2:$C$1216,$A11,Dati!$G$2:$G$1216,"Ente pubblico nazionale")+COUNTIFS(Dati!$C$2:$C$1216,$A11,Dati!$G$2:$G$1216,"Osservatorio o università")</f>
        <v>5</v>
      </c>
      <c r="J11" s="21" t="str">
        <f aca="false">IF(I11&gt;0,"Sì","No")</f>
        <v>Sì</v>
      </c>
      <c r="K11" s="20" t="n">
        <f aca="false">COUNTIFS(Dati!$C$2:$C$1216,$A11,Dati!$G$2:$G$1216,"Istituzione UE")</f>
        <v>1</v>
      </c>
      <c r="L11" s="20" t="n">
        <f aca="false">IF(COUNTIFS(Dati!$C$2:$C$1216,$A11,Dati!$V$2:$V$1216,"Consuntivo")=0,"",_xlfn.MAXIFS(Dati!$U$2:$U$1216,Dati!$C$2:$C$1216,$A11,Dati!$V$2:$V$1216,"Consuntivo"))</f>
        <v>2025</v>
      </c>
      <c r="M11" s="20" t="n">
        <f aca="false">IF(COUNTIFS(Dati!$C$2:$C$1216,$A11,Dati!$O$2:$O$1216,"Totale aggregato",Dati!$P$2:$P$1216,"Nessuna",Dati!$V$2:$V$1216,"Consuntivo",Dati!$N$2:$N$1216,"Mercato domestico")+COUNTIFS(Dati!$C$2:$C$1216,$A11,Dati!$O$2:$O$1216,"Totale aggregato",Dati!$P$2:$P$1216,"Nessuna",Dati!$V$2:$V$1216,"Consuntivo",Dati!$N$2:$N$1216,"Spesa o budget delle organizzazioni")=0,"",MAX(_xlfn.MAXIFS(Dati!$U$2:$U$1216,Dati!$C$2:$C$1216,$A11,Dati!$O$2:$O$1216,"Totale aggregato",Dati!$P$2:$P$1216,"Nessuna",Dati!$V$2:$V$1216,"Consuntivo",Dati!$N$2:$N$1216,"Mercato domestico"),_xlfn.MAXIFS(Dati!$U$2:$U$1216,Dati!$C$2:$C$1216,$A11,Dati!$O$2:$O$1216,"Totale aggregato",Dati!$P$2:$P$1216,"Nessuna",Dati!$V$2:$V$1216,"Consuntivo",Dati!$N$2:$N$1216,"Spesa o budget delle organizzazioni")))</f>
        <v>2025</v>
      </c>
      <c r="N11" s="22" t="n">
        <f aca="false">IF(P11=0,"",MIN(IF(COUNTIFS(Dati!$C$2:$C$1216,$A11,Dati!$O$2:$O$1216,"Totale aggregato",Dati!$P$2:$P$1216,"Nessuna",Dati!$V$2:$V$1216,"Consuntivo",Dati!$U$2:$U$1216,M11,Dati!$N$2:$N$1216,"Mercato domestico")&gt;0,_xlfn.MINIFS(Dati!$X$2:$X$1216,Dati!$C$2:$C$1216,$A11,Dati!$O$2:$O$1216,"Totale aggregato",Dati!$P$2:$P$1216,"Nessuna",Dati!$V$2:$V$1216,"Consuntivo",Dati!$U$2:$U$1216,M11,Dati!$N$2:$N$1216,"Mercato domestico"),1E+099),IF(COUNTIFS(Dati!$C$2:$C$1216,$A11,Dati!$O$2:$O$1216,"Totale aggregato",Dati!$P$2:$P$1216,"Nessuna",Dati!$V$2:$V$1216,"Consuntivo",Dati!$U$2:$U$1216,M11,Dati!$N$2:$N$1216,"Spesa o budget delle organizzazioni")&gt;0,_xlfn.MINIFS(Dati!$X$2:$X$1216,Dati!$C$2:$C$1216,$A11,Dati!$O$2:$O$1216,"Totale aggregato",Dati!$P$2:$P$1216,"Nessuna",Dati!$V$2:$V$1216,"Consuntivo",Dati!$U$2:$U$1216,M11,Dati!$N$2:$N$1216,"Spesa o budget delle organizzazioni"),1E+099)))</f>
        <v>94.6902654867257</v>
      </c>
      <c r="O11" s="22" t="n">
        <f aca="false">IF(P11=0,"",MAX(_xlfn.MAXIFS(Dati!$X$2:$X$1216,Dati!$C$2:$C$1216,$A11,Dati!$O$2:$O$1216,"Totale aggregato",Dati!$P$2:$P$1216,"Nessuna",Dati!$V$2:$V$1216,"Consuntivo",Dati!$U$2:$U$1216,M11,Dati!$N$2:$N$1216,"Mercato domestico"),_xlfn.MAXIFS(Dati!$X$2:$X$1216,Dati!$C$2:$C$1216,$A11,Dati!$O$2:$O$1216,"Totale aggregato",Dati!$P$2:$P$1216,"Nessuna",Dati!$V$2:$V$1216,"Consuntivo",Dati!$U$2:$U$1216,M11,Dati!$N$2:$N$1216,"Spesa o budget delle organizzazioni")))</f>
        <v>13365.2212389381</v>
      </c>
      <c r="P11" s="20" t="n">
        <f aca="false">IF(M11="",0,COUNTIFS(Dati!$C$2:$C$1216,$A11,Dati!$O$2:$O$1216,"Totale aggregato",Dati!$P$2:$P$1216,"Nessuna",Dati!$V$2:$V$1216,"Consuntivo",Dati!$U$2:$U$1216,M11,Dati!$N$2:$N$1216,"Mercato domestico")+COUNTIFS(Dati!$C$2:$C$1216,$A11,Dati!$O$2:$O$1216,"Totale aggregato",Dati!$P$2:$P$1216,"Nessuna",Dati!$V$2:$V$1216,"Consuntivo",Dati!$U$2:$U$1216,M11,Dati!$N$2:$N$1216,"Spesa o budget delle organizzazioni"))</f>
        <v>10</v>
      </c>
      <c r="Q11" s="18" t="s">
        <v>7497</v>
      </c>
    </row>
    <row r="12" customFormat="false" ht="23.85" hidden="false" customHeight="false" outlineLevel="0" collapsed="false">
      <c r="A12" s="12" t="s">
        <v>2657</v>
      </c>
      <c r="B12" s="12" t="s">
        <v>2658</v>
      </c>
      <c r="C12" s="20" t="n">
        <f aca="false">COUNTIF(Dati!$C$2:$C$1216,$A12)</f>
        <v>11</v>
      </c>
      <c r="D12" s="20" t="n">
        <f aca="false">IF(C12=0,0,SUMPRODUCT((Dati!$C$2:$C$1216=$A12)/COUNTIFS(Dati!$C$2:$C$1216,Dati!$C$2:$C$1216,Dati!$B$2:$B$1216,Dati!$B$2:$B$1216)))</f>
        <v>5</v>
      </c>
      <c r="E12" s="20" t="n">
        <f aca="false">COUNTIFS(Dati!$C$2:$C$1216,$A12,Dati!$AB$2:$AB$1216,"Domanda (end user)")</f>
        <v>0</v>
      </c>
      <c r="F12" s="20" t="n">
        <f aca="false">COUNTIFS(Dati!$C$2:$C$1216,$A12,Dati!$AB$2:$AB$1216,"Offerta (fornitori)")</f>
        <v>0</v>
      </c>
      <c r="G12" s="20" t="n">
        <f aca="false">COUNTIFS(Dati!$C$2:$C$1216,$A12,Dati!$AB$2:$AB$1216,"Misto")</f>
        <v>0</v>
      </c>
      <c r="H12" s="20" t="n">
        <f aca="false">COUNTIFS(Dati!$C$2:$C$1216,$A12,Dati!$AB$2:$AB$1216,"Non determinabile")</f>
        <v>11</v>
      </c>
      <c r="I12" s="20" t="n">
        <f aca="false">COUNTIFS(Dati!$C$2:$C$1216,$A12,Dati!$G$2:$G$1216,"Ente pubblico nazionale")+COUNTIFS(Dati!$C$2:$C$1216,$A12,Dati!$G$2:$G$1216,"Osservatorio o università")</f>
        <v>0</v>
      </c>
      <c r="J12" s="21" t="str">
        <f aca="false">IF(I12&gt;0,"Sì","No")</f>
        <v>No</v>
      </c>
      <c r="K12" s="20" t="n">
        <f aca="false">COUNTIFS(Dati!$C$2:$C$1216,$A12,Dati!$G$2:$G$1216,"Istituzione UE")</f>
        <v>1</v>
      </c>
      <c r="L12" s="20" t="n">
        <f aca="false">IF(COUNTIFS(Dati!$C$2:$C$1216,$A12,Dati!$V$2:$V$1216,"Consuntivo")=0,"",_xlfn.MAXIFS(Dati!$U$2:$U$1216,Dati!$C$2:$C$1216,$A12,Dati!$V$2:$V$1216,"Consuntivo"))</f>
        <v>2025</v>
      </c>
      <c r="M12" s="20" t="n">
        <f aca="false">IF(COUNTIFS(Dati!$C$2:$C$1216,$A12,Dati!$O$2:$O$1216,"Totale aggregato",Dati!$P$2:$P$1216,"Nessuna",Dati!$V$2:$V$1216,"Consuntivo",Dati!$N$2:$N$1216,"Mercato domestico")+COUNTIFS(Dati!$C$2:$C$1216,$A12,Dati!$O$2:$O$1216,"Totale aggregato",Dati!$P$2:$P$1216,"Nessuna",Dati!$V$2:$V$1216,"Consuntivo",Dati!$N$2:$N$1216,"Spesa o budget delle organizzazioni")=0,"",MAX(_xlfn.MAXIFS(Dati!$U$2:$U$1216,Dati!$C$2:$C$1216,$A12,Dati!$O$2:$O$1216,"Totale aggregato",Dati!$P$2:$P$1216,"Nessuna",Dati!$V$2:$V$1216,"Consuntivo",Dati!$N$2:$N$1216,"Mercato domestico"),_xlfn.MAXIFS(Dati!$U$2:$U$1216,Dati!$C$2:$C$1216,$A12,Dati!$O$2:$O$1216,"Totale aggregato",Dati!$P$2:$P$1216,"Nessuna",Dati!$V$2:$V$1216,"Consuntivo",Dati!$N$2:$N$1216,"Spesa o budget delle organizzazioni")))</f>
        <v>2025</v>
      </c>
      <c r="N12" s="22" t="n">
        <f aca="false">IF(P12=0,"",MIN(IF(COUNTIFS(Dati!$C$2:$C$1216,$A12,Dati!$O$2:$O$1216,"Totale aggregato",Dati!$P$2:$P$1216,"Nessuna",Dati!$V$2:$V$1216,"Consuntivo",Dati!$U$2:$U$1216,M12,Dati!$N$2:$N$1216,"Mercato domestico")&gt;0,_xlfn.MINIFS(Dati!$X$2:$X$1216,Dati!$C$2:$C$1216,$A12,Dati!$O$2:$O$1216,"Totale aggregato",Dati!$P$2:$P$1216,"Nessuna",Dati!$V$2:$V$1216,"Consuntivo",Dati!$U$2:$U$1216,M12,Dati!$N$2:$N$1216,"Mercato domestico"),1E+099),IF(COUNTIFS(Dati!$C$2:$C$1216,$A12,Dati!$O$2:$O$1216,"Totale aggregato",Dati!$P$2:$P$1216,"Nessuna",Dati!$V$2:$V$1216,"Consuntivo",Dati!$U$2:$U$1216,M12,Dati!$N$2:$N$1216,"Spesa o budget delle organizzazioni")&gt;0,_xlfn.MINIFS(Dati!$X$2:$X$1216,Dati!$C$2:$C$1216,$A12,Dati!$O$2:$O$1216,"Totale aggregato",Dati!$P$2:$P$1216,"Nessuna",Dati!$V$2:$V$1216,"Consuntivo",Dati!$U$2:$U$1216,M12,Dati!$N$2:$N$1216,"Spesa o budget delle organizzazioni"),1E+099)))</f>
        <v>151.327433628319</v>
      </c>
      <c r="O12" s="22" t="n">
        <f aca="false">IF(P12=0,"",MAX(_xlfn.MAXIFS(Dati!$X$2:$X$1216,Dati!$C$2:$C$1216,$A12,Dati!$O$2:$O$1216,"Totale aggregato",Dati!$P$2:$P$1216,"Nessuna",Dati!$V$2:$V$1216,"Consuntivo",Dati!$U$2:$U$1216,M12,Dati!$N$2:$N$1216,"Mercato domestico"),_xlfn.MAXIFS(Dati!$X$2:$X$1216,Dati!$C$2:$C$1216,$A12,Dati!$O$2:$O$1216,"Totale aggregato",Dati!$P$2:$P$1216,"Nessuna",Dati!$V$2:$V$1216,"Consuntivo",Dati!$U$2:$U$1216,M12,Dati!$N$2:$N$1216,"Spesa o budget delle organizzazioni")))</f>
        <v>151.327433628319</v>
      </c>
      <c r="P12" s="20" t="n">
        <f aca="false">IF(M12="",0,COUNTIFS(Dati!$C$2:$C$1216,$A12,Dati!$O$2:$O$1216,"Totale aggregato",Dati!$P$2:$P$1216,"Nessuna",Dati!$V$2:$V$1216,"Consuntivo",Dati!$U$2:$U$1216,M12,Dati!$N$2:$N$1216,"Mercato domestico")+COUNTIFS(Dati!$C$2:$C$1216,$A12,Dati!$O$2:$O$1216,"Totale aggregato",Dati!$P$2:$P$1216,"Nessuna",Dati!$V$2:$V$1216,"Consuntivo",Dati!$U$2:$U$1216,M12,Dati!$N$2:$N$1216,"Spesa o budget delle organizzazioni"))</f>
        <v>1</v>
      </c>
      <c r="Q12" s="18" t="s">
        <v>7498</v>
      </c>
    </row>
    <row r="13" customFormat="false" ht="23.85" hidden="false" customHeight="false" outlineLevel="0" collapsed="false">
      <c r="A13" s="12" t="s">
        <v>2716</v>
      </c>
      <c r="B13" s="12" t="s">
        <v>2717</v>
      </c>
      <c r="C13" s="20" t="n">
        <f aca="false">COUNTIF(Dati!$C$2:$C$1216,$A13)</f>
        <v>22</v>
      </c>
      <c r="D13" s="20" t="n">
        <f aca="false">IF(C13=0,0,SUMPRODUCT((Dati!$C$2:$C$1216=$A13)/COUNTIFS(Dati!$C$2:$C$1216,Dati!$C$2:$C$1216,Dati!$B$2:$B$1216,Dati!$B$2:$B$1216)))</f>
        <v>11</v>
      </c>
      <c r="E13" s="20" t="n">
        <f aca="false">COUNTIFS(Dati!$C$2:$C$1216,$A13,Dati!$AB$2:$AB$1216,"Domanda (end user)")</f>
        <v>10</v>
      </c>
      <c r="F13" s="20" t="n">
        <f aca="false">COUNTIFS(Dati!$C$2:$C$1216,$A13,Dati!$AB$2:$AB$1216,"Offerta (fornitori)")</f>
        <v>8</v>
      </c>
      <c r="G13" s="20" t="n">
        <f aca="false">COUNTIFS(Dati!$C$2:$C$1216,$A13,Dati!$AB$2:$AB$1216,"Misto")</f>
        <v>0</v>
      </c>
      <c r="H13" s="20" t="n">
        <f aca="false">COUNTIFS(Dati!$C$2:$C$1216,$A13,Dati!$AB$2:$AB$1216,"Non determinabile")</f>
        <v>4</v>
      </c>
      <c r="I13" s="20" t="n">
        <f aca="false">COUNTIFS(Dati!$C$2:$C$1216,$A13,Dati!$G$2:$G$1216,"Ente pubblico nazionale")+COUNTIFS(Dati!$C$2:$C$1216,$A13,Dati!$G$2:$G$1216,"Osservatorio o università")</f>
        <v>10</v>
      </c>
      <c r="J13" s="21" t="str">
        <f aca="false">IF(I13&gt;0,"Sì","No")</f>
        <v>Sì</v>
      </c>
      <c r="K13" s="20" t="n">
        <f aca="false">COUNTIFS(Dati!$C$2:$C$1216,$A13,Dati!$G$2:$G$1216,"Istituzione UE")</f>
        <v>0</v>
      </c>
      <c r="L13" s="20" t="n">
        <f aca="false">IF(COUNTIFS(Dati!$C$2:$C$1216,$A13,Dati!$V$2:$V$1216,"Consuntivo")=0,"",_xlfn.MAXIFS(Dati!$U$2:$U$1216,Dati!$C$2:$C$1216,$A13,Dati!$V$2:$V$1216,"Consuntivo"))</f>
        <v>2025</v>
      </c>
      <c r="M13" s="20" t="str">
        <f aca="false">IF(COUNTIFS(Dati!$C$2:$C$1216,$A13,Dati!$O$2:$O$1216,"Totale aggregato",Dati!$P$2:$P$1216,"Nessuna",Dati!$V$2:$V$1216,"Consuntivo",Dati!$N$2:$N$1216,"Mercato domestico")+COUNTIFS(Dati!$C$2:$C$1216,$A13,Dati!$O$2:$O$1216,"Totale aggregato",Dati!$P$2:$P$1216,"Nessuna",Dati!$V$2:$V$1216,"Consuntivo",Dati!$N$2:$N$1216,"Spesa o budget delle organizzazioni")=0,"",MAX(_xlfn.MAXIFS(Dati!$U$2:$U$1216,Dati!$C$2:$C$1216,$A13,Dati!$O$2:$O$1216,"Totale aggregato",Dati!$P$2:$P$1216,"Nessuna",Dati!$V$2:$V$1216,"Consuntivo",Dati!$N$2:$N$1216,"Mercato domestico"),_xlfn.MAXIFS(Dati!$U$2:$U$1216,Dati!$C$2:$C$1216,$A13,Dati!$O$2:$O$1216,"Totale aggregato",Dati!$P$2:$P$1216,"Nessuna",Dati!$V$2:$V$1216,"Consuntivo",Dati!$N$2:$N$1216,"Spesa o budget delle organizzazioni")))</f>
        <v/>
      </c>
      <c r="N13" s="22" t="str">
        <f aca="false">IF(P13=0,"",MIN(IF(COUNTIFS(Dati!$C$2:$C$1216,$A13,Dati!$O$2:$O$1216,"Totale aggregato",Dati!$P$2:$P$1216,"Nessuna",Dati!$V$2:$V$1216,"Consuntivo",Dati!$U$2:$U$1216,M13,Dati!$N$2:$N$1216,"Mercato domestico")&gt;0,_xlfn.MINIFS(Dati!$X$2:$X$1216,Dati!$C$2:$C$1216,$A13,Dati!$O$2:$O$1216,"Totale aggregato",Dati!$P$2:$P$1216,"Nessuna",Dati!$V$2:$V$1216,"Consuntivo",Dati!$U$2:$U$1216,M13,Dati!$N$2:$N$1216,"Mercato domestico"),1E+099),IF(COUNTIFS(Dati!$C$2:$C$1216,$A13,Dati!$O$2:$O$1216,"Totale aggregato",Dati!$P$2:$P$1216,"Nessuna",Dati!$V$2:$V$1216,"Consuntivo",Dati!$U$2:$U$1216,M13,Dati!$N$2:$N$1216,"Spesa o budget delle organizzazioni")&gt;0,_xlfn.MINIFS(Dati!$X$2:$X$1216,Dati!$C$2:$C$1216,$A13,Dati!$O$2:$O$1216,"Totale aggregato",Dati!$P$2:$P$1216,"Nessuna",Dati!$V$2:$V$1216,"Consuntivo",Dati!$U$2:$U$1216,M13,Dati!$N$2:$N$1216,"Spesa o budget delle organizzazioni"),1E+099)))</f>
        <v/>
      </c>
      <c r="O13" s="22" t="str">
        <f aca="false">IF(P13=0,"",MAX(_xlfn.MAXIFS(Dati!$X$2:$X$1216,Dati!$C$2:$C$1216,$A13,Dati!$O$2:$O$1216,"Totale aggregato",Dati!$P$2:$P$1216,"Nessuna",Dati!$V$2:$V$1216,"Consuntivo",Dati!$U$2:$U$1216,M13,Dati!$N$2:$N$1216,"Mercato domestico"),_xlfn.MAXIFS(Dati!$X$2:$X$1216,Dati!$C$2:$C$1216,$A13,Dati!$O$2:$O$1216,"Totale aggregato",Dati!$P$2:$P$1216,"Nessuna",Dati!$V$2:$V$1216,"Consuntivo",Dati!$U$2:$U$1216,M13,Dati!$N$2:$N$1216,"Spesa o budget delle organizzazioni")))</f>
        <v/>
      </c>
      <c r="P13" s="20" t="n">
        <f aca="false">IF(M13="",0,COUNTIFS(Dati!$C$2:$C$1216,$A13,Dati!$O$2:$O$1216,"Totale aggregato",Dati!$P$2:$P$1216,"Nessuna",Dati!$V$2:$V$1216,"Consuntivo",Dati!$U$2:$U$1216,M13,Dati!$N$2:$N$1216,"Mercato domestico")+COUNTIFS(Dati!$C$2:$C$1216,$A13,Dati!$O$2:$O$1216,"Totale aggregato",Dati!$P$2:$P$1216,"Nessuna",Dati!$V$2:$V$1216,"Consuntivo",Dati!$U$2:$U$1216,M13,Dati!$N$2:$N$1216,"Spesa o budget delle organizzazioni"))</f>
        <v>0</v>
      </c>
      <c r="Q13" s="18" t="s">
        <v>7499</v>
      </c>
    </row>
    <row r="14" customFormat="false" ht="35.05" hidden="false" customHeight="false" outlineLevel="0" collapsed="false">
      <c r="A14" s="12" t="s">
        <v>2850</v>
      </c>
      <c r="B14" s="12" t="s">
        <v>2851</v>
      </c>
      <c r="C14" s="20" t="n">
        <f aca="false">COUNTIF(Dati!$C$2:$C$1216,$A14)</f>
        <v>154</v>
      </c>
      <c r="D14" s="20" t="n">
        <f aca="false">IF(C14=0,0,SUMPRODUCT((Dati!$C$2:$C$1216=$A14)/COUNTIFS(Dati!$C$2:$C$1216,Dati!$C$2:$C$1216,Dati!$B$2:$B$1216,Dati!$B$2:$B$1216)))</f>
        <v>39</v>
      </c>
      <c r="E14" s="20" t="n">
        <f aca="false">COUNTIFS(Dati!$C$2:$C$1216,$A14,Dati!$AB$2:$AB$1216,"Domanda (end user)")</f>
        <v>16</v>
      </c>
      <c r="F14" s="20" t="n">
        <f aca="false">COUNTIFS(Dati!$C$2:$C$1216,$A14,Dati!$AB$2:$AB$1216,"Offerta (fornitori)")</f>
        <v>65</v>
      </c>
      <c r="G14" s="20" t="n">
        <f aca="false">COUNTIFS(Dati!$C$2:$C$1216,$A14,Dati!$AB$2:$AB$1216,"Misto")</f>
        <v>24</v>
      </c>
      <c r="H14" s="20" t="n">
        <f aca="false">COUNTIFS(Dati!$C$2:$C$1216,$A14,Dati!$AB$2:$AB$1216,"Non determinabile")</f>
        <v>49</v>
      </c>
      <c r="I14" s="20" t="n">
        <f aca="false">COUNTIFS(Dati!$C$2:$C$1216,$A14,Dati!$G$2:$G$1216,"Ente pubblico nazionale")+COUNTIFS(Dati!$C$2:$C$1216,$A14,Dati!$G$2:$G$1216,"Osservatorio o università")</f>
        <v>61</v>
      </c>
      <c r="J14" s="21" t="str">
        <f aca="false">IF(I14&gt;0,"Sì","No")</f>
        <v>Sì</v>
      </c>
      <c r="K14" s="20" t="n">
        <f aca="false">COUNTIFS(Dati!$C$2:$C$1216,$A14,Dati!$G$2:$G$1216,"Istituzione UE")</f>
        <v>1</v>
      </c>
      <c r="L14" s="20" t="n">
        <f aca="false">IF(COUNTIFS(Dati!$C$2:$C$1216,$A14,Dati!$V$2:$V$1216,"Consuntivo")=0,"",_xlfn.MAXIFS(Dati!$U$2:$U$1216,Dati!$C$2:$C$1216,$A14,Dati!$V$2:$V$1216,"Consuntivo"))</f>
        <v>2025</v>
      </c>
      <c r="M14" s="20" t="n">
        <f aca="false">IF(COUNTIFS(Dati!$C$2:$C$1216,$A14,Dati!$O$2:$O$1216,"Totale aggregato",Dati!$P$2:$P$1216,"Nessuna",Dati!$V$2:$V$1216,"Consuntivo",Dati!$N$2:$N$1216,"Mercato domestico")+COUNTIFS(Dati!$C$2:$C$1216,$A14,Dati!$O$2:$O$1216,"Totale aggregato",Dati!$P$2:$P$1216,"Nessuna",Dati!$V$2:$V$1216,"Consuntivo",Dati!$N$2:$N$1216,"Spesa o budget delle organizzazioni")=0,"",MAX(_xlfn.MAXIFS(Dati!$U$2:$U$1216,Dati!$C$2:$C$1216,$A14,Dati!$O$2:$O$1216,"Totale aggregato",Dati!$P$2:$P$1216,"Nessuna",Dati!$V$2:$V$1216,"Consuntivo",Dati!$N$2:$N$1216,"Mercato domestico"),_xlfn.MAXIFS(Dati!$U$2:$U$1216,Dati!$C$2:$C$1216,$A14,Dati!$O$2:$O$1216,"Totale aggregato",Dati!$P$2:$P$1216,"Nessuna",Dati!$V$2:$V$1216,"Consuntivo",Dati!$N$2:$N$1216,"Spesa o budget delle organizzazioni")))</f>
        <v>2025</v>
      </c>
      <c r="N14" s="22" t="n">
        <f aca="false">IF(P14=0,"",MIN(IF(COUNTIFS(Dati!$C$2:$C$1216,$A14,Dati!$O$2:$O$1216,"Totale aggregato",Dati!$P$2:$P$1216,"Nessuna",Dati!$V$2:$V$1216,"Consuntivo",Dati!$U$2:$U$1216,M14,Dati!$N$2:$N$1216,"Mercato domestico")&gt;0,_xlfn.MINIFS(Dati!$X$2:$X$1216,Dati!$C$2:$C$1216,$A14,Dati!$O$2:$O$1216,"Totale aggregato",Dati!$P$2:$P$1216,"Nessuna",Dati!$V$2:$V$1216,"Consuntivo",Dati!$U$2:$U$1216,M14,Dati!$N$2:$N$1216,"Mercato domestico"),1E+099),IF(COUNTIFS(Dati!$C$2:$C$1216,$A14,Dati!$O$2:$O$1216,"Totale aggregato",Dati!$P$2:$P$1216,"Nessuna",Dati!$V$2:$V$1216,"Consuntivo",Dati!$U$2:$U$1216,M14,Dati!$N$2:$N$1216,"Spesa o budget delle organizzazioni")&gt;0,_xlfn.MINIFS(Dati!$X$2:$X$1216,Dati!$C$2:$C$1216,$A14,Dati!$O$2:$O$1216,"Totale aggregato",Dati!$P$2:$P$1216,"Nessuna",Dati!$V$2:$V$1216,"Consuntivo",Dati!$U$2:$U$1216,M14,Dati!$N$2:$N$1216,"Spesa o budget delle organizzazioni"),1E+099)))</f>
        <v>2240</v>
      </c>
      <c r="O14" s="22" t="n">
        <f aca="false">IF(P14=0,"",MAX(_xlfn.MAXIFS(Dati!$X$2:$X$1216,Dati!$C$2:$C$1216,$A14,Dati!$O$2:$O$1216,"Totale aggregato",Dati!$P$2:$P$1216,"Nessuna",Dati!$V$2:$V$1216,"Consuntivo",Dati!$U$2:$U$1216,M14,Dati!$N$2:$N$1216,"Mercato domestico"),_xlfn.MAXIFS(Dati!$X$2:$X$1216,Dati!$C$2:$C$1216,$A14,Dati!$O$2:$O$1216,"Totale aggregato",Dati!$P$2:$P$1216,"Nessuna",Dati!$V$2:$V$1216,"Consuntivo",Dati!$U$2:$U$1216,M14,Dati!$N$2:$N$1216,"Spesa o budget delle organizzazioni")))</f>
        <v>3646.01769911504</v>
      </c>
      <c r="P14" s="20" t="n">
        <f aca="false">IF(M14="",0,COUNTIFS(Dati!$C$2:$C$1216,$A14,Dati!$O$2:$O$1216,"Totale aggregato",Dati!$P$2:$P$1216,"Nessuna",Dati!$V$2:$V$1216,"Consuntivo",Dati!$U$2:$U$1216,M14,Dati!$N$2:$N$1216,"Mercato domestico")+COUNTIFS(Dati!$C$2:$C$1216,$A14,Dati!$O$2:$O$1216,"Totale aggregato",Dati!$P$2:$P$1216,"Nessuna",Dati!$V$2:$V$1216,"Consuntivo",Dati!$U$2:$U$1216,M14,Dati!$N$2:$N$1216,"Spesa o budget delle organizzazioni"))</f>
        <v>5</v>
      </c>
      <c r="Q14" s="18" t="s">
        <v>7500</v>
      </c>
    </row>
    <row r="15" customFormat="false" ht="23.85" hidden="false" customHeight="false" outlineLevel="0" collapsed="false">
      <c r="A15" s="12" t="s">
        <v>3612</v>
      </c>
      <c r="B15" s="12" t="s">
        <v>3613</v>
      </c>
      <c r="C15" s="20" t="n">
        <f aca="false">COUNTIF(Dati!$C$2:$C$1216,$A15)</f>
        <v>7</v>
      </c>
      <c r="D15" s="20" t="n">
        <f aca="false">IF(C15=0,0,SUMPRODUCT((Dati!$C$2:$C$1216=$A15)/COUNTIFS(Dati!$C$2:$C$1216,Dati!$C$2:$C$1216,Dati!$B$2:$B$1216,Dati!$B$2:$B$1216)))</f>
        <v>3</v>
      </c>
      <c r="E15" s="20" t="n">
        <f aca="false">COUNTIFS(Dati!$C$2:$C$1216,$A15,Dati!$AB$2:$AB$1216,"Domanda (end user)")</f>
        <v>7</v>
      </c>
      <c r="F15" s="20" t="n">
        <f aca="false">COUNTIFS(Dati!$C$2:$C$1216,$A15,Dati!$AB$2:$AB$1216,"Offerta (fornitori)")</f>
        <v>0</v>
      </c>
      <c r="G15" s="20" t="n">
        <f aca="false">COUNTIFS(Dati!$C$2:$C$1216,$A15,Dati!$AB$2:$AB$1216,"Misto")</f>
        <v>0</v>
      </c>
      <c r="H15" s="20" t="n">
        <f aca="false">COUNTIFS(Dati!$C$2:$C$1216,$A15,Dati!$AB$2:$AB$1216,"Non determinabile")</f>
        <v>0</v>
      </c>
      <c r="I15" s="20" t="n">
        <f aca="false">COUNTIFS(Dati!$C$2:$C$1216,$A15,Dati!$G$2:$G$1216,"Ente pubblico nazionale")+COUNTIFS(Dati!$C$2:$C$1216,$A15,Dati!$G$2:$G$1216,"Osservatorio o università")</f>
        <v>7</v>
      </c>
      <c r="J15" s="21" t="str">
        <f aca="false">IF(I15&gt;0,"Sì","No")</f>
        <v>Sì</v>
      </c>
      <c r="K15" s="20" t="n">
        <f aca="false">COUNTIFS(Dati!$C$2:$C$1216,$A15,Dati!$G$2:$G$1216,"Istituzione UE")</f>
        <v>0</v>
      </c>
      <c r="L15" s="20" t="n">
        <f aca="false">IF(COUNTIFS(Dati!$C$2:$C$1216,$A15,Dati!$V$2:$V$1216,"Consuntivo")=0,"",_xlfn.MAXIFS(Dati!$U$2:$U$1216,Dati!$C$2:$C$1216,$A15,Dati!$V$2:$V$1216,"Consuntivo"))</f>
        <v>2025</v>
      </c>
      <c r="M15" s="20" t="str">
        <f aca="false">IF(COUNTIFS(Dati!$C$2:$C$1216,$A15,Dati!$O$2:$O$1216,"Totale aggregato",Dati!$P$2:$P$1216,"Nessuna",Dati!$V$2:$V$1216,"Consuntivo",Dati!$N$2:$N$1216,"Mercato domestico")+COUNTIFS(Dati!$C$2:$C$1216,$A15,Dati!$O$2:$O$1216,"Totale aggregato",Dati!$P$2:$P$1216,"Nessuna",Dati!$V$2:$V$1216,"Consuntivo",Dati!$N$2:$N$1216,"Spesa o budget delle organizzazioni")=0,"",MAX(_xlfn.MAXIFS(Dati!$U$2:$U$1216,Dati!$C$2:$C$1216,$A15,Dati!$O$2:$O$1216,"Totale aggregato",Dati!$P$2:$P$1216,"Nessuna",Dati!$V$2:$V$1216,"Consuntivo",Dati!$N$2:$N$1216,"Mercato domestico"),_xlfn.MAXIFS(Dati!$U$2:$U$1216,Dati!$C$2:$C$1216,$A15,Dati!$O$2:$O$1216,"Totale aggregato",Dati!$P$2:$P$1216,"Nessuna",Dati!$V$2:$V$1216,"Consuntivo",Dati!$N$2:$N$1216,"Spesa o budget delle organizzazioni")))</f>
        <v/>
      </c>
      <c r="N15" s="22" t="str">
        <f aca="false">IF(P15=0,"",MIN(IF(COUNTIFS(Dati!$C$2:$C$1216,$A15,Dati!$O$2:$O$1216,"Totale aggregato",Dati!$P$2:$P$1216,"Nessuna",Dati!$V$2:$V$1216,"Consuntivo",Dati!$U$2:$U$1216,M15,Dati!$N$2:$N$1216,"Mercato domestico")&gt;0,_xlfn.MINIFS(Dati!$X$2:$X$1216,Dati!$C$2:$C$1216,$A15,Dati!$O$2:$O$1216,"Totale aggregato",Dati!$P$2:$P$1216,"Nessuna",Dati!$V$2:$V$1216,"Consuntivo",Dati!$U$2:$U$1216,M15,Dati!$N$2:$N$1216,"Mercato domestico"),1E+099),IF(COUNTIFS(Dati!$C$2:$C$1216,$A15,Dati!$O$2:$O$1216,"Totale aggregato",Dati!$P$2:$P$1216,"Nessuna",Dati!$V$2:$V$1216,"Consuntivo",Dati!$U$2:$U$1216,M15,Dati!$N$2:$N$1216,"Spesa o budget delle organizzazioni")&gt;0,_xlfn.MINIFS(Dati!$X$2:$X$1216,Dati!$C$2:$C$1216,$A15,Dati!$O$2:$O$1216,"Totale aggregato",Dati!$P$2:$P$1216,"Nessuna",Dati!$V$2:$V$1216,"Consuntivo",Dati!$U$2:$U$1216,M15,Dati!$N$2:$N$1216,"Spesa o budget delle organizzazioni"),1E+099)))</f>
        <v/>
      </c>
      <c r="O15" s="22" t="str">
        <f aca="false">IF(P15=0,"",MAX(_xlfn.MAXIFS(Dati!$X$2:$X$1216,Dati!$C$2:$C$1216,$A15,Dati!$O$2:$O$1216,"Totale aggregato",Dati!$P$2:$P$1216,"Nessuna",Dati!$V$2:$V$1216,"Consuntivo",Dati!$U$2:$U$1216,M15,Dati!$N$2:$N$1216,"Mercato domestico"),_xlfn.MAXIFS(Dati!$X$2:$X$1216,Dati!$C$2:$C$1216,$A15,Dati!$O$2:$O$1216,"Totale aggregato",Dati!$P$2:$P$1216,"Nessuna",Dati!$V$2:$V$1216,"Consuntivo",Dati!$U$2:$U$1216,M15,Dati!$N$2:$N$1216,"Spesa o budget delle organizzazioni")))</f>
        <v/>
      </c>
      <c r="P15" s="20" t="n">
        <f aca="false">IF(M15="",0,COUNTIFS(Dati!$C$2:$C$1216,$A15,Dati!$O$2:$O$1216,"Totale aggregato",Dati!$P$2:$P$1216,"Nessuna",Dati!$V$2:$V$1216,"Consuntivo",Dati!$U$2:$U$1216,M15,Dati!$N$2:$N$1216,"Mercato domestico")+COUNTIFS(Dati!$C$2:$C$1216,$A15,Dati!$O$2:$O$1216,"Totale aggregato",Dati!$P$2:$P$1216,"Nessuna",Dati!$V$2:$V$1216,"Consuntivo",Dati!$U$2:$U$1216,M15,Dati!$N$2:$N$1216,"Spesa o budget delle organizzazioni"))</f>
        <v>0</v>
      </c>
      <c r="Q15" s="18" t="s">
        <v>7501</v>
      </c>
    </row>
    <row r="16" customFormat="false" ht="23.85" hidden="false" customHeight="false" outlineLevel="0" collapsed="false">
      <c r="A16" s="12" t="s">
        <v>3648</v>
      </c>
      <c r="B16" s="12" t="s">
        <v>3649</v>
      </c>
      <c r="C16" s="20" t="n">
        <f aca="false">COUNTIF(Dati!$C$2:$C$1216,$A16)</f>
        <v>7</v>
      </c>
      <c r="D16" s="20" t="n">
        <f aca="false">IF(C16=0,0,SUMPRODUCT((Dati!$C$2:$C$1216=$A16)/COUNTIFS(Dati!$C$2:$C$1216,Dati!$C$2:$C$1216,Dati!$B$2:$B$1216,Dati!$B$2:$B$1216)))</f>
        <v>6</v>
      </c>
      <c r="E16" s="20" t="n">
        <f aca="false">COUNTIFS(Dati!$C$2:$C$1216,$A16,Dati!$AB$2:$AB$1216,"Domanda (end user)")</f>
        <v>6</v>
      </c>
      <c r="F16" s="20" t="n">
        <f aca="false">COUNTIFS(Dati!$C$2:$C$1216,$A16,Dati!$AB$2:$AB$1216,"Offerta (fornitori)")</f>
        <v>0</v>
      </c>
      <c r="G16" s="20" t="n">
        <f aca="false">COUNTIFS(Dati!$C$2:$C$1216,$A16,Dati!$AB$2:$AB$1216,"Misto")</f>
        <v>0</v>
      </c>
      <c r="H16" s="20" t="n">
        <f aca="false">COUNTIFS(Dati!$C$2:$C$1216,$A16,Dati!$AB$2:$AB$1216,"Non determinabile")</f>
        <v>1</v>
      </c>
      <c r="I16" s="20" t="n">
        <f aca="false">COUNTIFS(Dati!$C$2:$C$1216,$A16,Dati!$G$2:$G$1216,"Ente pubblico nazionale")+COUNTIFS(Dati!$C$2:$C$1216,$A16,Dati!$G$2:$G$1216,"Osservatorio o università")</f>
        <v>5</v>
      </c>
      <c r="J16" s="21" t="str">
        <f aca="false">IF(I16&gt;0,"Sì","No")</f>
        <v>Sì</v>
      </c>
      <c r="K16" s="20" t="n">
        <f aca="false">COUNTIFS(Dati!$C$2:$C$1216,$A16,Dati!$G$2:$G$1216,"Istituzione UE")</f>
        <v>1</v>
      </c>
      <c r="L16" s="20" t="n">
        <f aca="false">IF(COUNTIFS(Dati!$C$2:$C$1216,$A16,Dati!$V$2:$V$1216,"Consuntivo")=0,"",_xlfn.MAXIFS(Dati!$U$2:$U$1216,Dati!$C$2:$C$1216,$A16,Dati!$V$2:$V$1216,"Consuntivo"))</f>
        <v>2025</v>
      </c>
      <c r="M16" s="20" t="str">
        <f aca="false">IF(COUNTIFS(Dati!$C$2:$C$1216,$A16,Dati!$O$2:$O$1216,"Totale aggregato",Dati!$P$2:$P$1216,"Nessuna",Dati!$V$2:$V$1216,"Consuntivo",Dati!$N$2:$N$1216,"Mercato domestico")+COUNTIFS(Dati!$C$2:$C$1216,$A16,Dati!$O$2:$O$1216,"Totale aggregato",Dati!$P$2:$P$1216,"Nessuna",Dati!$V$2:$V$1216,"Consuntivo",Dati!$N$2:$N$1216,"Spesa o budget delle organizzazioni")=0,"",MAX(_xlfn.MAXIFS(Dati!$U$2:$U$1216,Dati!$C$2:$C$1216,$A16,Dati!$O$2:$O$1216,"Totale aggregato",Dati!$P$2:$P$1216,"Nessuna",Dati!$V$2:$V$1216,"Consuntivo",Dati!$N$2:$N$1216,"Mercato domestico"),_xlfn.MAXIFS(Dati!$U$2:$U$1216,Dati!$C$2:$C$1216,$A16,Dati!$O$2:$O$1216,"Totale aggregato",Dati!$P$2:$P$1216,"Nessuna",Dati!$V$2:$V$1216,"Consuntivo",Dati!$N$2:$N$1216,"Spesa o budget delle organizzazioni")))</f>
        <v/>
      </c>
      <c r="N16" s="22" t="str">
        <f aca="false">IF(P16=0,"",MIN(IF(COUNTIFS(Dati!$C$2:$C$1216,$A16,Dati!$O$2:$O$1216,"Totale aggregato",Dati!$P$2:$P$1216,"Nessuna",Dati!$V$2:$V$1216,"Consuntivo",Dati!$U$2:$U$1216,M16,Dati!$N$2:$N$1216,"Mercato domestico")&gt;0,_xlfn.MINIFS(Dati!$X$2:$X$1216,Dati!$C$2:$C$1216,$A16,Dati!$O$2:$O$1216,"Totale aggregato",Dati!$P$2:$P$1216,"Nessuna",Dati!$V$2:$V$1216,"Consuntivo",Dati!$U$2:$U$1216,M16,Dati!$N$2:$N$1216,"Mercato domestico"),1E+099),IF(COUNTIFS(Dati!$C$2:$C$1216,$A16,Dati!$O$2:$O$1216,"Totale aggregato",Dati!$P$2:$P$1216,"Nessuna",Dati!$V$2:$V$1216,"Consuntivo",Dati!$U$2:$U$1216,M16,Dati!$N$2:$N$1216,"Spesa o budget delle organizzazioni")&gt;0,_xlfn.MINIFS(Dati!$X$2:$X$1216,Dati!$C$2:$C$1216,$A16,Dati!$O$2:$O$1216,"Totale aggregato",Dati!$P$2:$P$1216,"Nessuna",Dati!$V$2:$V$1216,"Consuntivo",Dati!$U$2:$U$1216,M16,Dati!$N$2:$N$1216,"Spesa o budget delle organizzazioni"),1E+099)))</f>
        <v/>
      </c>
      <c r="O16" s="22" t="str">
        <f aca="false">IF(P16=0,"",MAX(_xlfn.MAXIFS(Dati!$X$2:$X$1216,Dati!$C$2:$C$1216,$A16,Dati!$O$2:$O$1216,"Totale aggregato",Dati!$P$2:$P$1216,"Nessuna",Dati!$V$2:$V$1216,"Consuntivo",Dati!$U$2:$U$1216,M16,Dati!$N$2:$N$1216,"Mercato domestico"),_xlfn.MAXIFS(Dati!$X$2:$X$1216,Dati!$C$2:$C$1216,$A16,Dati!$O$2:$O$1216,"Totale aggregato",Dati!$P$2:$P$1216,"Nessuna",Dati!$V$2:$V$1216,"Consuntivo",Dati!$U$2:$U$1216,M16,Dati!$N$2:$N$1216,"Spesa o budget delle organizzazioni")))</f>
        <v/>
      </c>
      <c r="P16" s="20" t="n">
        <f aca="false">IF(M16="",0,COUNTIFS(Dati!$C$2:$C$1216,$A16,Dati!$O$2:$O$1216,"Totale aggregato",Dati!$P$2:$P$1216,"Nessuna",Dati!$V$2:$V$1216,"Consuntivo",Dati!$U$2:$U$1216,M16,Dati!$N$2:$N$1216,"Mercato domestico")+COUNTIFS(Dati!$C$2:$C$1216,$A16,Dati!$O$2:$O$1216,"Totale aggregato",Dati!$P$2:$P$1216,"Nessuna",Dati!$V$2:$V$1216,"Consuntivo",Dati!$U$2:$U$1216,M16,Dati!$N$2:$N$1216,"Spesa o budget delle organizzazioni"))</f>
        <v>0</v>
      </c>
      <c r="Q16" s="18" t="s">
        <v>7502</v>
      </c>
    </row>
    <row r="17" customFormat="false" ht="15" hidden="false" customHeight="false" outlineLevel="0" collapsed="false">
      <c r="A17" s="12" t="s">
        <v>3702</v>
      </c>
      <c r="B17" s="12" t="s">
        <v>3703</v>
      </c>
      <c r="C17" s="20" t="n">
        <f aca="false">COUNTIF(Dati!$C$2:$C$1216,$A17)</f>
        <v>12</v>
      </c>
      <c r="D17" s="20" t="n">
        <f aca="false">IF(C17=0,0,SUMPRODUCT((Dati!$C$2:$C$1216=$A17)/COUNTIFS(Dati!$C$2:$C$1216,Dati!$C$2:$C$1216,Dati!$B$2:$B$1216,Dati!$B$2:$B$1216)))</f>
        <v>2</v>
      </c>
      <c r="E17" s="20" t="n">
        <f aca="false">COUNTIFS(Dati!$C$2:$C$1216,$A17,Dati!$AB$2:$AB$1216,"Domanda (end user)")</f>
        <v>12</v>
      </c>
      <c r="F17" s="20" t="n">
        <f aca="false">COUNTIFS(Dati!$C$2:$C$1216,$A17,Dati!$AB$2:$AB$1216,"Offerta (fornitori)")</f>
        <v>0</v>
      </c>
      <c r="G17" s="20" t="n">
        <f aca="false">COUNTIFS(Dati!$C$2:$C$1216,$A17,Dati!$AB$2:$AB$1216,"Misto")</f>
        <v>0</v>
      </c>
      <c r="H17" s="20" t="n">
        <f aca="false">COUNTIFS(Dati!$C$2:$C$1216,$A17,Dati!$AB$2:$AB$1216,"Non determinabile")</f>
        <v>0</v>
      </c>
      <c r="I17" s="20" t="n">
        <f aca="false">COUNTIFS(Dati!$C$2:$C$1216,$A17,Dati!$G$2:$G$1216,"Ente pubblico nazionale")+COUNTIFS(Dati!$C$2:$C$1216,$A17,Dati!$G$2:$G$1216,"Osservatorio o università")</f>
        <v>12</v>
      </c>
      <c r="J17" s="21" t="str">
        <f aca="false">IF(I17&gt;0,"Sì","No")</f>
        <v>Sì</v>
      </c>
      <c r="K17" s="20" t="n">
        <f aca="false">COUNTIFS(Dati!$C$2:$C$1216,$A17,Dati!$G$2:$G$1216,"Istituzione UE")</f>
        <v>0</v>
      </c>
      <c r="L17" s="20" t="n">
        <f aca="false">IF(COUNTIFS(Dati!$C$2:$C$1216,$A17,Dati!$V$2:$V$1216,"Consuntivo")=0,"",_xlfn.MAXIFS(Dati!$U$2:$U$1216,Dati!$C$2:$C$1216,$A17,Dati!$V$2:$V$1216,"Consuntivo"))</f>
        <v>2024</v>
      </c>
      <c r="M17" s="20" t="str">
        <f aca="false">IF(COUNTIFS(Dati!$C$2:$C$1216,$A17,Dati!$O$2:$O$1216,"Totale aggregato",Dati!$P$2:$P$1216,"Nessuna",Dati!$V$2:$V$1216,"Consuntivo",Dati!$N$2:$N$1216,"Mercato domestico")+COUNTIFS(Dati!$C$2:$C$1216,$A17,Dati!$O$2:$O$1216,"Totale aggregato",Dati!$P$2:$P$1216,"Nessuna",Dati!$V$2:$V$1216,"Consuntivo",Dati!$N$2:$N$1216,"Spesa o budget delle organizzazioni")=0,"",MAX(_xlfn.MAXIFS(Dati!$U$2:$U$1216,Dati!$C$2:$C$1216,$A17,Dati!$O$2:$O$1216,"Totale aggregato",Dati!$P$2:$P$1216,"Nessuna",Dati!$V$2:$V$1216,"Consuntivo",Dati!$N$2:$N$1216,"Mercato domestico"),_xlfn.MAXIFS(Dati!$U$2:$U$1216,Dati!$C$2:$C$1216,$A17,Dati!$O$2:$O$1216,"Totale aggregato",Dati!$P$2:$P$1216,"Nessuna",Dati!$V$2:$V$1216,"Consuntivo",Dati!$N$2:$N$1216,"Spesa o budget delle organizzazioni")))</f>
        <v/>
      </c>
      <c r="N17" s="22" t="str">
        <f aca="false">IF(P17=0,"",MIN(IF(COUNTIFS(Dati!$C$2:$C$1216,$A17,Dati!$O$2:$O$1216,"Totale aggregato",Dati!$P$2:$P$1216,"Nessuna",Dati!$V$2:$V$1216,"Consuntivo",Dati!$U$2:$U$1216,M17,Dati!$N$2:$N$1216,"Mercato domestico")&gt;0,_xlfn.MINIFS(Dati!$X$2:$X$1216,Dati!$C$2:$C$1216,$A17,Dati!$O$2:$O$1216,"Totale aggregato",Dati!$P$2:$P$1216,"Nessuna",Dati!$V$2:$V$1216,"Consuntivo",Dati!$U$2:$U$1216,M17,Dati!$N$2:$N$1216,"Mercato domestico"),1E+099),IF(COUNTIFS(Dati!$C$2:$C$1216,$A17,Dati!$O$2:$O$1216,"Totale aggregato",Dati!$P$2:$P$1216,"Nessuna",Dati!$V$2:$V$1216,"Consuntivo",Dati!$U$2:$U$1216,M17,Dati!$N$2:$N$1216,"Spesa o budget delle organizzazioni")&gt;0,_xlfn.MINIFS(Dati!$X$2:$X$1216,Dati!$C$2:$C$1216,$A17,Dati!$O$2:$O$1216,"Totale aggregato",Dati!$P$2:$P$1216,"Nessuna",Dati!$V$2:$V$1216,"Consuntivo",Dati!$U$2:$U$1216,M17,Dati!$N$2:$N$1216,"Spesa o budget delle organizzazioni"),1E+099)))</f>
        <v/>
      </c>
      <c r="O17" s="22" t="str">
        <f aca="false">IF(P17=0,"",MAX(_xlfn.MAXIFS(Dati!$X$2:$X$1216,Dati!$C$2:$C$1216,$A17,Dati!$O$2:$O$1216,"Totale aggregato",Dati!$P$2:$P$1216,"Nessuna",Dati!$V$2:$V$1216,"Consuntivo",Dati!$U$2:$U$1216,M17,Dati!$N$2:$N$1216,"Mercato domestico"),_xlfn.MAXIFS(Dati!$X$2:$X$1216,Dati!$C$2:$C$1216,$A17,Dati!$O$2:$O$1216,"Totale aggregato",Dati!$P$2:$P$1216,"Nessuna",Dati!$V$2:$V$1216,"Consuntivo",Dati!$U$2:$U$1216,M17,Dati!$N$2:$N$1216,"Spesa o budget delle organizzazioni")))</f>
        <v/>
      </c>
      <c r="P17" s="20" t="n">
        <f aca="false">IF(M17="",0,COUNTIFS(Dati!$C$2:$C$1216,$A17,Dati!$O$2:$O$1216,"Totale aggregato",Dati!$P$2:$P$1216,"Nessuna",Dati!$V$2:$V$1216,"Consuntivo",Dati!$U$2:$U$1216,M17,Dati!$N$2:$N$1216,"Mercato domestico")+COUNTIFS(Dati!$C$2:$C$1216,$A17,Dati!$O$2:$O$1216,"Totale aggregato",Dati!$P$2:$P$1216,"Nessuna",Dati!$V$2:$V$1216,"Consuntivo",Dati!$U$2:$U$1216,M17,Dati!$N$2:$N$1216,"Spesa o budget delle organizzazioni"))</f>
        <v>0</v>
      </c>
      <c r="Q17" s="18" t="s">
        <v>7503</v>
      </c>
    </row>
    <row r="18" customFormat="false" ht="15" hidden="false" customHeight="false" outlineLevel="0" collapsed="false">
      <c r="A18" s="12" t="s">
        <v>3747</v>
      </c>
      <c r="B18" s="12" t="s">
        <v>3748</v>
      </c>
      <c r="C18" s="20" t="n">
        <f aca="false">COUNTIF(Dati!$C$2:$C$1216,$A18)</f>
        <v>2</v>
      </c>
      <c r="D18" s="20" t="n">
        <f aca="false">IF(C18=0,0,SUMPRODUCT((Dati!$C$2:$C$1216=$A18)/COUNTIFS(Dati!$C$2:$C$1216,Dati!$C$2:$C$1216,Dati!$B$2:$B$1216,Dati!$B$2:$B$1216)))</f>
        <v>1</v>
      </c>
      <c r="E18" s="20" t="n">
        <f aca="false">COUNTIFS(Dati!$C$2:$C$1216,$A18,Dati!$AB$2:$AB$1216,"Domanda (end user)")</f>
        <v>2</v>
      </c>
      <c r="F18" s="20" t="n">
        <f aca="false">COUNTIFS(Dati!$C$2:$C$1216,$A18,Dati!$AB$2:$AB$1216,"Offerta (fornitori)")</f>
        <v>0</v>
      </c>
      <c r="G18" s="20" t="n">
        <f aca="false">COUNTIFS(Dati!$C$2:$C$1216,$A18,Dati!$AB$2:$AB$1216,"Misto")</f>
        <v>0</v>
      </c>
      <c r="H18" s="20" t="n">
        <f aca="false">COUNTIFS(Dati!$C$2:$C$1216,$A18,Dati!$AB$2:$AB$1216,"Non determinabile")</f>
        <v>0</v>
      </c>
      <c r="I18" s="20" t="n">
        <f aca="false">COUNTIFS(Dati!$C$2:$C$1216,$A18,Dati!$G$2:$G$1216,"Ente pubblico nazionale")+COUNTIFS(Dati!$C$2:$C$1216,$A18,Dati!$G$2:$G$1216,"Osservatorio o università")</f>
        <v>0</v>
      </c>
      <c r="J18" s="21" t="str">
        <f aca="false">IF(I18&gt;0,"Sì","No")</f>
        <v>No</v>
      </c>
      <c r="K18" s="20" t="n">
        <f aca="false">COUNTIFS(Dati!$C$2:$C$1216,$A18,Dati!$G$2:$G$1216,"Istituzione UE")</f>
        <v>2</v>
      </c>
      <c r="L18" s="20" t="n">
        <f aca="false">IF(COUNTIFS(Dati!$C$2:$C$1216,$A18,Dati!$V$2:$V$1216,"Consuntivo")=0,"",_xlfn.MAXIFS(Dati!$U$2:$U$1216,Dati!$C$2:$C$1216,$A18,Dati!$V$2:$V$1216,"Consuntivo"))</f>
        <v>2023</v>
      </c>
      <c r="M18" s="20" t="str">
        <f aca="false">IF(COUNTIFS(Dati!$C$2:$C$1216,$A18,Dati!$O$2:$O$1216,"Totale aggregato",Dati!$P$2:$P$1216,"Nessuna",Dati!$V$2:$V$1216,"Consuntivo",Dati!$N$2:$N$1216,"Mercato domestico")+COUNTIFS(Dati!$C$2:$C$1216,$A18,Dati!$O$2:$O$1216,"Totale aggregato",Dati!$P$2:$P$1216,"Nessuna",Dati!$V$2:$V$1216,"Consuntivo",Dati!$N$2:$N$1216,"Spesa o budget delle organizzazioni")=0,"",MAX(_xlfn.MAXIFS(Dati!$U$2:$U$1216,Dati!$C$2:$C$1216,$A18,Dati!$O$2:$O$1216,"Totale aggregato",Dati!$P$2:$P$1216,"Nessuna",Dati!$V$2:$V$1216,"Consuntivo",Dati!$N$2:$N$1216,"Mercato domestico"),_xlfn.MAXIFS(Dati!$U$2:$U$1216,Dati!$C$2:$C$1216,$A18,Dati!$O$2:$O$1216,"Totale aggregato",Dati!$P$2:$P$1216,"Nessuna",Dati!$V$2:$V$1216,"Consuntivo",Dati!$N$2:$N$1216,"Spesa o budget delle organizzazioni")))</f>
        <v/>
      </c>
      <c r="N18" s="22" t="str">
        <f aca="false">IF(P18=0,"",MIN(IF(COUNTIFS(Dati!$C$2:$C$1216,$A18,Dati!$O$2:$O$1216,"Totale aggregato",Dati!$P$2:$P$1216,"Nessuna",Dati!$V$2:$V$1216,"Consuntivo",Dati!$U$2:$U$1216,M18,Dati!$N$2:$N$1216,"Mercato domestico")&gt;0,_xlfn.MINIFS(Dati!$X$2:$X$1216,Dati!$C$2:$C$1216,$A18,Dati!$O$2:$O$1216,"Totale aggregato",Dati!$P$2:$P$1216,"Nessuna",Dati!$V$2:$V$1216,"Consuntivo",Dati!$U$2:$U$1216,M18,Dati!$N$2:$N$1216,"Mercato domestico"),1E+099),IF(COUNTIFS(Dati!$C$2:$C$1216,$A18,Dati!$O$2:$O$1216,"Totale aggregato",Dati!$P$2:$P$1216,"Nessuna",Dati!$V$2:$V$1216,"Consuntivo",Dati!$U$2:$U$1216,M18,Dati!$N$2:$N$1216,"Spesa o budget delle organizzazioni")&gt;0,_xlfn.MINIFS(Dati!$X$2:$X$1216,Dati!$C$2:$C$1216,$A18,Dati!$O$2:$O$1216,"Totale aggregato",Dati!$P$2:$P$1216,"Nessuna",Dati!$V$2:$V$1216,"Consuntivo",Dati!$U$2:$U$1216,M18,Dati!$N$2:$N$1216,"Spesa o budget delle organizzazioni"),1E+099)))</f>
        <v/>
      </c>
      <c r="O18" s="22" t="str">
        <f aca="false">IF(P18=0,"",MAX(_xlfn.MAXIFS(Dati!$X$2:$X$1216,Dati!$C$2:$C$1216,$A18,Dati!$O$2:$O$1216,"Totale aggregato",Dati!$P$2:$P$1216,"Nessuna",Dati!$V$2:$V$1216,"Consuntivo",Dati!$U$2:$U$1216,M18,Dati!$N$2:$N$1216,"Mercato domestico"),_xlfn.MAXIFS(Dati!$X$2:$X$1216,Dati!$C$2:$C$1216,$A18,Dati!$O$2:$O$1216,"Totale aggregato",Dati!$P$2:$P$1216,"Nessuna",Dati!$V$2:$V$1216,"Consuntivo",Dati!$U$2:$U$1216,M18,Dati!$N$2:$N$1216,"Spesa o budget delle organizzazioni")))</f>
        <v/>
      </c>
      <c r="P18" s="20" t="n">
        <f aca="false">IF(M18="",0,COUNTIFS(Dati!$C$2:$C$1216,$A18,Dati!$O$2:$O$1216,"Totale aggregato",Dati!$P$2:$P$1216,"Nessuna",Dati!$V$2:$V$1216,"Consuntivo",Dati!$U$2:$U$1216,M18,Dati!$N$2:$N$1216,"Mercato domestico")+COUNTIFS(Dati!$C$2:$C$1216,$A18,Dati!$O$2:$O$1216,"Totale aggregato",Dati!$P$2:$P$1216,"Nessuna",Dati!$V$2:$V$1216,"Consuntivo",Dati!$U$2:$U$1216,M18,Dati!$N$2:$N$1216,"Spesa o budget delle organizzazioni"))</f>
        <v>0</v>
      </c>
      <c r="Q18" s="18" t="s">
        <v>7504</v>
      </c>
    </row>
    <row r="19" customFormat="false" ht="35.05" hidden="false" customHeight="false" outlineLevel="0" collapsed="false">
      <c r="A19" s="12" t="s">
        <v>3762</v>
      </c>
      <c r="B19" s="12" t="s">
        <v>3763</v>
      </c>
      <c r="C19" s="20" t="n">
        <f aca="false">COUNTIF(Dati!$C$2:$C$1216,$A19)</f>
        <v>35</v>
      </c>
      <c r="D19" s="20" t="n">
        <f aca="false">IF(C19=0,0,SUMPRODUCT((Dati!$C$2:$C$1216=$A19)/COUNTIFS(Dati!$C$2:$C$1216,Dati!$C$2:$C$1216,Dati!$B$2:$B$1216,Dati!$B$2:$B$1216)))</f>
        <v>9</v>
      </c>
      <c r="E19" s="20" t="n">
        <f aca="false">COUNTIFS(Dati!$C$2:$C$1216,$A19,Dati!$AB$2:$AB$1216,"Domanda (end user)")</f>
        <v>13</v>
      </c>
      <c r="F19" s="20" t="n">
        <f aca="false">COUNTIFS(Dati!$C$2:$C$1216,$A19,Dati!$AB$2:$AB$1216,"Offerta (fornitori)")</f>
        <v>12</v>
      </c>
      <c r="G19" s="20" t="n">
        <f aca="false">COUNTIFS(Dati!$C$2:$C$1216,$A19,Dati!$AB$2:$AB$1216,"Misto")</f>
        <v>0</v>
      </c>
      <c r="H19" s="20" t="n">
        <f aca="false">COUNTIFS(Dati!$C$2:$C$1216,$A19,Dati!$AB$2:$AB$1216,"Non determinabile")</f>
        <v>10</v>
      </c>
      <c r="I19" s="20" t="n">
        <f aca="false">COUNTIFS(Dati!$C$2:$C$1216,$A19,Dati!$G$2:$G$1216,"Ente pubblico nazionale")+COUNTIFS(Dati!$C$2:$C$1216,$A19,Dati!$G$2:$G$1216,"Osservatorio o università")</f>
        <v>14</v>
      </c>
      <c r="J19" s="21" t="str">
        <f aca="false">IF(I19&gt;0,"Sì","No")</f>
        <v>Sì</v>
      </c>
      <c r="K19" s="20" t="n">
        <f aca="false">COUNTIFS(Dati!$C$2:$C$1216,$A19,Dati!$G$2:$G$1216,"Istituzione UE")</f>
        <v>0</v>
      </c>
      <c r="L19" s="20" t="n">
        <f aca="false">IF(COUNTIFS(Dati!$C$2:$C$1216,$A19,Dati!$V$2:$V$1216,"Consuntivo")=0,"",_xlfn.MAXIFS(Dati!$U$2:$U$1216,Dati!$C$2:$C$1216,$A19,Dati!$V$2:$V$1216,"Consuntivo"))</f>
        <v>2025</v>
      </c>
      <c r="M19" s="20" t="n">
        <f aca="false">IF(COUNTIFS(Dati!$C$2:$C$1216,$A19,Dati!$O$2:$O$1216,"Totale aggregato",Dati!$P$2:$P$1216,"Nessuna",Dati!$V$2:$V$1216,"Consuntivo",Dati!$N$2:$N$1216,"Mercato domestico")+COUNTIFS(Dati!$C$2:$C$1216,$A19,Dati!$O$2:$O$1216,"Totale aggregato",Dati!$P$2:$P$1216,"Nessuna",Dati!$V$2:$V$1216,"Consuntivo",Dati!$N$2:$N$1216,"Spesa o budget delle organizzazioni")=0,"",MAX(_xlfn.MAXIFS(Dati!$U$2:$U$1216,Dati!$C$2:$C$1216,$A19,Dati!$O$2:$O$1216,"Totale aggregato",Dati!$P$2:$P$1216,"Nessuna",Dati!$V$2:$V$1216,"Consuntivo",Dati!$N$2:$N$1216,"Mercato domestico"),_xlfn.MAXIFS(Dati!$U$2:$U$1216,Dati!$C$2:$C$1216,$A19,Dati!$O$2:$O$1216,"Totale aggregato",Dati!$P$2:$P$1216,"Nessuna",Dati!$V$2:$V$1216,"Consuntivo",Dati!$N$2:$N$1216,"Spesa o budget delle organizzazioni")))</f>
        <v>2025</v>
      </c>
      <c r="N19" s="22" t="n">
        <f aca="false">IF(P19=0,"",MIN(IF(COUNTIFS(Dati!$C$2:$C$1216,$A19,Dati!$O$2:$O$1216,"Totale aggregato",Dati!$P$2:$P$1216,"Nessuna",Dati!$V$2:$V$1216,"Consuntivo",Dati!$U$2:$U$1216,M19,Dati!$N$2:$N$1216,"Mercato domestico")&gt;0,_xlfn.MINIFS(Dati!$X$2:$X$1216,Dati!$C$2:$C$1216,$A19,Dati!$O$2:$O$1216,"Totale aggregato",Dati!$P$2:$P$1216,"Nessuna",Dati!$V$2:$V$1216,"Consuntivo",Dati!$U$2:$U$1216,M19,Dati!$N$2:$N$1216,"Mercato domestico"),1E+099),IF(COUNTIFS(Dati!$C$2:$C$1216,$A19,Dati!$O$2:$O$1216,"Totale aggregato",Dati!$P$2:$P$1216,"Nessuna",Dati!$V$2:$V$1216,"Consuntivo",Dati!$U$2:$U$1216,M19,Dati!$N$2:$N$1216,"Spesa o budget delle organizzazioni")&gt;0,_xlfn.MINIFS(Dati!$X$2:$X$1216,Dati!$C$2:$C$1216,$A19,Dati!$O$2:$O$1216,"Totale aggregato",Dati!$P$2:$P$1216,"Nessuna",Dati!$V$2:$V$1216,"Consuntivo",Dati!$U$2:$U$1216,M19,Dati!$N$2:$N$1216,"Spesa o budget delle organizzazioni"),1E+099)))</f>
        <v>2088.49557522124</v>
      </c>
      <c r="O19" s="22" t="n">
        <f aca="false">IF(P19=0,"",MAX(_xlfn.MAXIFS(Dati!$X$2:$X$1216,Dati!$C$2:$C$1216,$A19,Dati!$O$2:$O$1216,"Totale aggregato",Dati!$P$2:$P$1216,"Nessuna",Dati!$V$2:$V$1216,"Consuntivo",Dati!$U$2:$U$1216,M19,Dati!$N$2:$N$1216,"Mercato domestico"),_xlfn.MAXIFS(Dati!$X$2:$X$1216,Dati!$C$2:$C$1216,$A19,Dati!$O$2:$O$1216,"Totale aggregato",Dati!$P$2:$P$1216,"Nessuna",Dati!$V$2:$V$1216,"Consuntivo",Dati!$U$2:$U$1216,M19,Dati!$N$2:$N$1216,"Spesa o budget delle organizzazioni")))</f>
        <v>2640</v>
      </c>
      <c r="P19" s="20" t="n">
        <f aca="false">IF(M19="",0,COUNTIFS(Dati!$C$2:$C$1216,$A19,Dati!$O$2:$O$1216,"Totale aggregato",Dati!$P$2:$P$1216,"Nessuna",Dati!$V$2:$V$1216,"Consuntivo",Dati!$U$2:$U$1216,M19,Dati!$N$2:$N$1216,"Mercato domestico")+COUNTIFS(Dati!$C$2:$C$1216,$A19,Dati!$O$2:$O$1216,"Totale aggregato",Dati!$P$2:$P$1216,"Nessuna",Dati!$V$2:$V$1216,"Consuntivo",Dati!$U$2:$U$1216,M19,Dati!$N$2:$N$1216,"Spesa o budget delle organizzazioni"))</f>
        <v>2</v>
      </c>
      <c r="Q19" s="18" t="s">
        <v>7505</v>
      </c>
    </row>
    <row r="20" customFormat="false" ht="35.05" hidden="false" customHeight="false" outlineLevel="0" collapsed="false">
      <c r="A20" s="12" t="s">
        <v>3908</v>
      </c>
      <c r="B20" s="12" t="s">
        <v>3909</v>
      </c>
      <c r="C20" s="20" t="n">
        <f aca="false">COUNTIF(Dati!$C$2:$C$1216,$A20)</f>
        <v>81</v>
      </c>
      <c r="D20" s="20" t="n">
        <f aca="false">IF(C20=0,0,SUMPRODUCT((Dati!$C$2:$C$1216=$A20)/COUNTIFS(Dati!$C$2:$C$1216,Dati!$C$2:$C$1216,Dati!$B$2:$B$1216,Dati!$B$2:$B$1216)))</f>
        <v>25</v>
      </c>
      <c r="E20" s="20" t="n">
        <f aca="false">COUNTIFS(Dati!$C$2:$C$1216,$A20,Dati!$AB$2:$AB$1216,"Domanda (end user)")</f>
        <v>39</v>
      </c>
      <c r="F20" s="20" t="n">
        <f aca="false">COUNTIFS(Dati!$C$2:$C$1216,$A20,Dati!$AB$2:$AB$1216,"Offerta (fornitori)")</f>
        <v>1</v>
      </c>
      <c r="G20" s="20" t="n">
        <f aca="false">COUNTIFS(Dati!$C$2:$C$1216,$A20,Dati!$AB$2:$AB$1216,"Misto")</f>
        <v>0</v>
      </c>
      <c r="H20" s="20" t="n">
        <f aca="false">COUNTIFS(Dati!$C$2:$C$1216,$A20,Dati!$AB$2:$AB$1216,"Non determinabile")</f>
        <v>41</v>
      </c>
      <c r="I20" s="20" t="n">
        <f aca="false">COUNTIFS(Dati!$C$2:$C$1216,$A20,Dati!$G$2:$G$1216,"Ente pubblico nazionale")+COUNTIFS(Dati!$C$2:$C$1216,$A20,Dati!$G$2:$G$1216,"Osservatorio o università")</f>
        <v>27</v>
      </c>
      <c r="J20" s="21" t="str">
        <f aca="false">IF(I20&gt;0,"Sì","No")</f>
        <v>Sì</v>
      </c>
      <c r="K20" s="20" t="n">
        <f aca="false">COUNTIFS(Dati!$C$2:$C$1216,$A20,Dati!$G$2:$G$1216,"Istituzione UE")</f>
        <v>1</v>
      </c>
      <c r="L20" s="20" t="n">
        <f aca="false">IF(COUNTIFS(Dati!$C$2:$C$1216,$A20,Dati!$V$2:$V$1216,"Consuntivo")=0,"",_xlfn.MAXIFS(Dati!$U$2:$U$1216,Dati!$C$2:$C$1216,$A20,Dati!$V$2:$V$1216,"Consuntivo"))</f>
        <v>2025</v>
      </c>
      <c r="M20" s="20" t="n">
        <f aca="false">IF(COUNTIFS(Dati!$C$2:$C$1216,$A20,Dati!$O$2:$O$1216,"Totale aggregato",Dati!$P$2:$P$1216,"Nessuna",Dati!$V$2:$V$1216,"Consuntivo",Dati!$N$2:$N$1216,"Mercato domestico")+COUNTIFS(Dati!$C$2:$C$1216,$A20,Dati!$O$2:$O$1216,"Totale aggregato",Dati!$P$2:$P$1216,"Nessuna",Dati!$V$2:$V$1216,"Consuntivo",Dati!$N$2:$N$1216,"Spesa o budget delle organizzazioni")=0,"",MAX(_xlfn.MAXIFS(Dati!$U$2:$U$1216,Dati!$C$2:$C$1216,$A20,Dati!$O$2:$O$1216,"Totale aggregato",Dati!$P$2:$P$1216,"Nessuna",Dati!$V$2:$V$1216,"Consuntivo",Dati!$N$2:$N$1216,"Mercato domestico"),_xlfn.MAXIFS(Dati!$U$2:$U$1216,Dati!$C$2:$C$1216,$A20,Dati!$O$2:$O$1216,"Totale aggregato",Dati!$P$2:$P$1216,"Nessuna",Dati!$V$2:$V$1216,"Consuntivo",Dati!$N$2:$N$1216,"Spesa o budget delle organizzazioni")))</f>
        <v>2025</v>
      </c>
      <c r="N20" s="22" t="n">
        <f aca="false">IF(P20=0,"",MIN(IF(COUNTIFS(Dati!$C$2:$C$1216,$A20,Dati!$O$2:$O$1216,"Totale aggregato",Dati!$P$2:$P$1216,"Nessuna",Dati!$V$2:$V$1216,"Consuntivo",Dati!$U$2:$U$1216,M20,Dati!$N$2:$N$1216,"Mercato domestico")&gt;0,_xlfn.MINIFS(Dati!$X$2:$X$1216,Dati!$C$2:$C$1216,$A20,Dati!$O$2:$O$1216,"Totale aggregato",Dati!$P$2:$P$1216,"Nessuna",Dati!$V$2:$V$1216,"Consuntivo",Dati!$U$2:$U$1216,M20,Dati!$N$2:$N$1216,"Mercato domestico"),1E+099),IF(COUNTIFS(Dati!$C$2:$C$1216,$A20,Dati!$O$2:$O$1216,"Totale aggregato",Dati!$P$2:$P$1216,"Nessuna",Dati!$V$2:$V$1216,"Consuntivo",Dati!$U$2:$U$1216,M20,Dati!$N$2:$N$1216,"Spesa o budget delle organizzazioni")&gt;0,_xlfn.MINIFS(Dati!$X$2:$X$1216,Dati!$C$2:$C$1216,$A20,Dati!$O$2:$O$1216,"Totale aggregato",Dati!$P$2:$P$1216,"Nessuna",Dati!$V$2:$V$1216,"Consuntivo",Dati!$U$2:$U$1216,M20,Dati!$N$2:$N$1216,"Spesa o budget delle organizzazioni"),1E+099)))</f>
        <v>348.672566371681</v>
      </c>
      <c r="O20" s="22" t="n">
        <f aca="false">IF(P20=0,"",MAX(_xlfn.MAXIFS(Dati!$X$2:$X$1216,Dati!$C$2:$C$1216,$A20,Dati!$O$2:$O$1216,"Totale aggregato",Dati!$P$2:$P$1216,"Nessuna",Dati!$V$2:$V$1216,"Consuntivo",Dati!$U$2:$U$1216,M20,Dati!$N$2:$N$1216,"Mercato domestico"),_xlfn.MAXIFS(Dati!$X$2:$X$1216,Dati!$C$2:$C$1216,$A20,Dati!$O$2:$O$1216,"Totale aggregato",Dati!$P$2:$P$1216,"Nessuna",Dati!$V$2:$V$1216,"Consuntivo",Dati!$U$2:$U$1216,M20,Dati!$N$2:$N$1216,"Spesa o budget delle organizzazioni")))</f>
        <v>1424.77876106195</v>
      </c>
      <c r="P20" s="20" t="n">
        <f aca="false">IF(M20="",0,COUNTIFS(Dati!$C$2:$C$1216,$A20,Dati!$O$2:$O$1216,"Totale aggregato",Dati!$P$2:$P$1216,"Nessuna",Dati!$V$2:$V$1216,"Consuntivo",Dati!$U$2:$U$1216,M20,Dati!$N$2:$N$1216,"Mercato domestico")+COUNTIFS(Dati!$C$2:$C$1216,$A20,Dati!$O$2:$O$1216,"Totale aggregato",Dati!$P$2:$P$1216,"Nessuna",Dati!$V$2:$V$1216,"Consuntivo",Dati!$U$2:$U$1216,M20,Dati!$N$2:$N$1216,"Spesa o budget delle organizzazioni"))</f>
        <v>4</v>
      </c>
      <c r="Q20" s="18" t="s">
        <v>7506</v>
      </c>
    </row>
    <row r="21" customFormat="false" ht="23.85" hidden="false" customHeight="false" outlineLevel="0" collapsed="false">
      <c r="A21" s="12" t="s">
        <v>4319</v>
      </c>
      <c r="B21" s="12" t="s">
        <v>4320</v>
      </c>
      <c r="C21" s="20" t="n">
        <f aca="false">COUNTIF(Dati!$C$2:$C$1216,$A21)</f>
        <v>16</v>
      </c>
      <c r="D21" s="20" t="n">
        <f aca="false">IF(C21=0,0,SUMPRODUCT((Dati!$C$2:$C$1216=$A21)/COUNTIFS(Dati!$C$2:$C$1216,Dati!$C$2:$C$1216,Dati!$B$2:$B$1216,Dati!$B$2:$B$1216)))</f>
        <v>7</v>
      </c>
      <c r="E21" s="20" t="n">
        <f aca="false">COUNTIFS(Dati!$C$2:$C$1216,$A21,Dati!$AB$2:$AB$1216,"Domanda (end user)")</f>
        <v>9</v>
      </c>
      <c r="F21" s="20" t="n">
        <f aca="false">COUNTIFS(Dati!$C$2:$C$1216,$A21,Dati!$AB$2:$AB$1216,"Offerta (fornitori)")</f>
        <v>1</v>
      </c>
      <c r="G21" s="20" t="n">
        <f aca="false">COUNTIFS(Dati!$C$2:$C$1216,$A21,Dati!$AB$2:$AB$1216,"Misto")</f>
        <v>0</v>
      </c>
      <c r="H21" s="20" t="n">
        <f aca="false">COUNTIFS(Dati!$C$2:$C$1216,$A21,Dati!$AB$2:$AB$1216,"Non determinabile")</f>
        <v>6</v>
      </c>
      <c r="I21" s="20" t="n">
        <f aca="false">COUNTIFS(Dati!$C$2:$C$1216,$A21,Dati!$G$2:$G$1216,"Ente pubblico nazionale")+COUNTIFS(Dati!$C$2:$C$1216,$A21,Dati!$G$2:$G$1216,"Osservatorio o università")</f>
        <v>11</v>
      </c>
      <c r="J21" s="21" t="str">
        <f aca="false">IF(I21&gt;0,"Sì","No")</f>
        <v>Sì</v>
      </c>
      <c r="K21" s="20" t="n">
        <f aca="false">COUNTIFS(Dati!$C$2:$C$1216,$A21,Dati!$G$2:$G$1216,"Istituzione UE")</f>
        <v>1</v>
      </c>
      <c r="L21" s="20" t="n">
        <f aca="false">IF(COUNTIFS(Dati!$C$2:$C$1216,$A21,Dati!$V$2:$V$1216,"Consuntivo")=0,"",_xlfn.MAXIFS(Dati!$U$2:$U$1216,Dati!$C$2:$C$1216,$A21,Dati!$V$2:$V$1216,"Consuntivo"))</f>
        <v>2025</v>
      </c>
      <c r="M21" s="20" t="n">
        <f aca="false">IF(COUNTIFS(Dati!$C$2:$C$1216,$A21,Dati!$O$2:$O$1216,"Totale aggregato",Dati!$P$2:$P$1216,"Nessuna",Dati!$V$2:$V$1216,"Consuntivo",Dati!$N$2:$N$1216,"Mercato domestico")+COUNTIFS(Dati!$C$2:$C$1216,$A21,Dati!$O$2:$O$1216,"Totale aggregato",Dati!$P$2:$P$1216,"Nessuna",Dati!$V$2:$V$1216,"Consuntivo",Dati!$N$2:$N$1216,"Spesa o budget delle organizzazioni")=0,"",MAX(_xlfn.MAXIFS(Dati!$U$2:$U$1216,Dati!$C$2:$C$1216,$A21,Dati!$O$2:$O$1216,"Totale aggregato",Dati!$P$2:$P$1216,"Nessuna",Dati!$V$2:$V$1216,"Consuntivo",Dati!$N$2:$N$1216,"Mercato domestico"),_xlfn.MAXIFS(Dati!$U$2:$U$1216,Dati!$C$2:$C$1216,$A21,Dati!$O$2:$O$1216,"Totale aggregato",Dati!$P$2:$P$1216,"Nessuna",Dati!$V$2:$V$1216,"Consuntivo",Dati!$N$2:$N$1216,"Spesa o budget delle organizzazioni")))</f>
        <v>2025</v>
      </c>
      <c r="N21" s="22" t="n">
        <f aca="false">IF(P21=0,"",MIN(IF(COUNTIFS(Dati!$C$2:$C$1216,$A21,Dati!$O$2:$O$1216,"Totale aggregato",Dati!$P$2:$P$1216,"Nessuna",Dati!$V$2:$V$1216,"Consuntivo",Dati!$U$2:$U$1216,M21,Dati!$N$2:$N$1216,"Mercato domestico")&gt;0,_xlfn.MINIFS(Dati!$X$2:$X$1216,Dati!$C$2:$C$1216,$A21,Dati!$O$2:$O$1216,"Totale aggregato",Dati!$P$2:$P$1216,"Nessuna",Dati!$V$2:$V$1216,"Consuntivo",Dati!$U$2:$U$1216,M21,Dati!$N$2:$N$1216,"Mercato domestico"),1E+099),IF(COUNTIFS(Dati!$C$2:$C$1216,$A21,Dati!$O$2:$O$1216,"Totale aggregato",Dati!$P$2:$P$1216,"Nessuna",Dati!$V$2:$V$1216,"Consuntivo",Dati!$U$2:$U$1216,M21,Dati!$N$2:$N$1216,"Spesa o budget delle organizzazioni")&gt;0,_xlfn.MINIFS(Dati!$X$2:$X$1216,Dati!$C$2:$C$1216,$A21,Dati!$O$2:$O$1216,"Totale aggregato",Dati!$P$2:$P$1216,"Nessuna",Dati!$V$2:$V$1216,"Consuntivo",Dati!$U$2:$U$1216,M21,Dati!$N$2:$N$1216,"Spesa o budget delle organizzazioni"),1E+099)))</f>
        <v>1061.94690265487</v>
      </c>
      <c r="O21" s="22" t="n">
        <f aca="false">IF(P21=0,"",MAX(_xlfn.MAXIFS(Dati!$X$2:$X$1216,Dati!$C$2:$C$1216,$A21,Dati!$O$2:$O$1216,"Totale aggregato",Dati!$P$2:$P$1216,"Nessuna",Dati!$V$2:$V$1216,"Consuntivo",Dati!$U$2:$U$1216,M21,Dati!$N$2:$N$1216,"Mercato domestico"),_xlfn.MAXIFS(Dati!$X$2:$X$1216,Dati!$C$2:$C$1216,$A21,Dati!$O$2:$O$1216,"Totale aggregato",Dati!$P$2:$P$1216,"Nessuna",Dati!$V$2:$V$1216,"Consuntivo",Dati!$U$2:$U$1216,M21,Dati!$N$2:$N$1216,"Spesa o budget delle organizzazioni")))</f>
        <v>1061.94690265487</v>
      </c>
      <c r="P21" s="20" t="n">
        <f aca="false">IF(M21="",0,COUNTIFS(Dati!$C$2:$C$1216,$A21,Dati!$O$2:$O$1216,"Totale aggregato",Dati!$P$2:$P$1216,"Nessuna",Dati!$V$2:$V$1216,"Consuntivo",Dati!$U$2:$U$1216,M21,Dati!$N$2:$N$1216,"Mercato domestico")+COUNTIFS(Dati!$C$2:$C$1216,$A21,Dati!$O$2:$O$1216,"Totale aggregato",Dati!$P$2:$P$1216,"Nessuna",Dati!$V$2:$V$1216,"Consuntivo",Dati!$U$2:$U$1216,M21,Dati!$N$2:$N$1216,"Spesa o budget delle organizzazioni"))</f>
        <v>1</v>
      </c>
      <c r="Q21" s="18" t="s">
        <v>7507</v>
      </c>
    </row>
    <row r="22" customFormat="false" ht="23.85" hidden="false" customHeight="false" outlineLevel="0" collapsed="false">
      <c r="A22" s="12" t="s">
        <v>4407</v>
      </c>
      <c r="B22" s="12" t="s">
        <v>4408</v>
      </c>
      <c r="C22" s="20" t="n">
        <f aca="false">COUNTIF(Dati!$C$2:$C$1216,$A22)</f>
        <v>36</v>
      </c>
      <c r="D22" s="20" t="n">
        <f aca="false">IF(C22=0,0,SUMPRODUCT((Dati!$C$2:$C$1216=$A22)/COUNTIFS(Dati!$C$2:$C$1216,Dati!$C$2:$C$1216,Dati!$B$2:$B$1216,Dati!$B$2:$B$1216)))</f>
        <v>17</v>
      </c>
      <c r="E22" s="20" t="n">
        <f aca="false">COUNTIFS(Dati!$C$2:$C$1216,$A22,Dati!$AB$2:$AB$1216,"Domanda (end user)")</f>
        <v>17</v>
      </c>
      <c r="F22" s="20" t="n">
        <f aca="false">COUNTIFS(Dati!$C$2:$C$1216,$A22,Dati!$AB$2:$AB$1216,"Offerta (fornitori)")</f>
        <v>15</v>
      </c>
      <c r="G22" s="20" t="n">
        <f aca="false">COUNTIFS(Dati!$C$2:$C$1216,$A22,Dati!$AB$2:$AB$1216,"Misto")</f>
        <v>0</v>
      </c>
      <c r="H22" s="20" t="n">
        <f aca="false">COUNTIFS(Dati!$C$2:$C$1216,$A22,Dati!$AB$2:$AB$1216,"Non determinabile")</f>
        <v>4</v>
      </c>
      <c r="I22" s="20" t="n">
        <f aca="false">COUNTIFS(Dati!$C$2:$C$1216,$A22,Dati!$G$2:$G$1216,"Ente pubblico nazionale")+COUNTIFS(Dati!$C$2:$C$1216,$A22,Dati!$G$2:$G$1216,"Osservatorio o università")</f>
        <v>14</v>
      </c>
      <c r="J22" s="21" t="str">
        <f aca="false">IF(I22&gt;0,"Sì","No")</f>
        <v>Sì</v>
      </c>
      <c r="K22" s="20" t="n">
        <f aca="false">COUNTIFS(Dati!$C$2:$C$1216,$A22,Dati!$G$2:$G$1216,"Istituzione UE")</f>
        <v>1</v>
      </c>
      <c r="L22" s="20" t="n">
        <f aca="false">IF(COUNTIFS(Dati!$C$2:$C$1216,$A22,Dati!$V$2:$V$1216,"Consuntivo")=0,"",_xlfn.MAXIFS(Dati!$U$2:$U$1216,Dati!$C$2:$C$1216,$A22,Dati!$V$2:$V$1216,"Consuntivo"))</f>
        <v>2025</v>
      </c>
      <c r="M22" s="20" t="n">
        <f aca="false">IF(COUNTIFS(Dati!$C$2:$C$1216,$A22,Dati!$O$2:$O$1216,"Totale aggregato",Dati!$P$2:$P$1216,"Nessuna",Dati!$V$2:$V$1216,"Consuntivo",Dati!$N$2:$N$1216,"Mercato domestico")+COUNTIFS(Dati!$C$2:$C$1216,$A22,Dati!$O$2:$O$1216,"Totale aggregato",Dati!$P$2:$P$1216,"Nessuna",Dati!$V$2:$V$1216,"Consuntivo",Dati!$N$2:$N$1216,"Spesa o budget delle organizzazioni")=0,"",MAX(_xlfn.MAXIFS(Dati!$U$2:$U$1216,Dati!$C$2:$C$1216,$A22,Dati!$O$2:$O$1216,"Totale aggregato",Dati!$P$2:$P$1216,"Nessuna",Dati!$V$2:$V$1216,"Consuntivo",Dati!$N$2:$N$1216,"Mercato domestico"),_xlfn.MAXIFS(Dati!$U$2:$U$1216,Dati!$C$2:$C$1216,$A22,Dati!$O$2:$O$1216,"Totale aggregato",Dati!$P$2:$P$1216,"Nessuna",Dati!$V$2:$V$1216,"Consuntivo",Dati!$N$2:$N$1216,"Spesa o budget delle organizzazioni")))</f>
        <v>2024</v>
      </c>
      <c r="N22" s="22" t="n">
        <f aca="false">IF(P22=0,"",MIN(IF(COUNTIFS(Dati!$C$2:$C$1216,$A22,Dati!$O$2:$O$1216,"Totale aggregato",Dati!$P$2:$P$1216,"Nessuna",Dati!$V$2:$V$1216,"Consuntivo",Dati!$U$2:$U$1216,M22,Dati!$N$2:$N$1216,"Mercato domestico")&gt;0,_xlfn.MINIFS(Dati!$X$2:$X$1216,Dati!$C$2:$C$1216,$A22,Dati!$O$2:$O$1216,"Totale aggregato",Dati!$P$2:$P$1216,"Nessuna",Dati!$V$2:$V$1216,"Consuntivo",Dati!$U$2:$U$1216,M22,Dati!$N$2:$N$1216,"Mercato domestico"),1E+099),IF(COUNTIFS(Dati!$C$2:$C$1216,$A22,Dati!$O$2:$O$1216,"Totale aggregato",Dati!$P$2:$P$1216,"Nessuna",Dati!$V$2:$V$1216,"Consuntivo",Dati!$U$2:$U$1216,M22,Dati!$N$2:$N$1216,"Spesa o budget delle organizzazioni")&gt;0,_xlfn.MINIFS(Dati!$X$2:$X$1216,Dati!$C$2:$C$1216,$A22,Dati!$O$2:$O$1216,"Totale aggregato",Dati!$P$2:$P$1216,"Nessuna",Dati!$V$2:$V$1216,"Consuntivo",Dati!$U$2:$U$1216,M22,Dati!$N$2:$N$1216,"Spesa o budget delle organizzazioni"),1E+099)))</f>
        <v>154.458598726115</v>
      </c>
      <c r="O22" s="22" t="n">
        <f aca="false">IF(P22=0,"",MAX(_xlfn.MAXIFS(Dati!$X$2:$X$1216,Dati!$C$2:$C$1216,$A22,Dati!$O$2:$O$1216,"Totale aggregato",Dati!$P$2:$P$1216,"Nessuna",Dati!$V$2:$V$1216,"Consuntivo",Dati!$U$2:$U$1216,M22,Dati!$N$2:$N$1216,"Mercato domestico"),_xlfn.MAXIFS(Dati!$X$2:$X$1216,Dati!$C$2:$C$1216,$A22,Dati!$O$2:$O$1216,"Totale aggregato",Dati!$P$2:$P$1216,"Nessuna",Dati!$V$2:$V$1216,"Consuntivo",Dati!$U$2:$U$1216,M22,Dati!$N$2:$N$1216,"Spesa o budget delle organizzazioni")))</f>
        <v>304.878048780488</v>
      </c>
      <c r="P22" s="20" t="n">
        <f aca="false">IF(M22="",0,COUNTIFS(Dati!$C$2:$C$1216,$A22,Dati!$O$2:$O$1216,"Totale aggregato",Dati!$P$2:$P$1216,"Nessuna",Dati!$V$2:$V$1216,"Consuntivo",Dati!$U$2:$U$1216,M22,Dati!$N$2:$N$1216,"Mercato domestico")+COUNTIFS(Dati!$C$2:$C$1216,$A22,Dati!$O$2:$O$1216,"Totale aggregato",Dati!$P$2:$P$1216,"Nessuna",Dati!$V$2:$V$1216,"Consuntivo",Dati!$U$2:$U$1216,M22,Dati!$N$2:$N$1216,"Spesa o budget delle organizzazioni"))</f>
        <v>2</v>
      </c>
      <c r="Q22" s="18" t="s">
        <v>7508</v>
      </c>
    </row>
    <row r="23" customFormat="false" ht="23.85" hidden="false" customHeight="false" outlineLevel="0" collapsed="false">
      <c r="A23" s="12" t="s">
        <v>4615</v>
      </c>
      <c r="B23" s="12" t="s">
        <v>4616</v>
      </c>
      <c r="C23" s="20" t="n">
        <f aca="false">COUNTIF(Dati!$C$2:$C$1216,$A23)</f>
        <v>22</v>
      </c>
      <c r="D23" s="20" t="n">
        <f aca="false">IF(C23=0,0,SUMPRODUCT((Dati!$C$2:$C$1216=$A23)/COUNTIFS(Dati!$C$2:$C$1216,Dati!$C$2:$C$1216,Dati!$B$2:$B$1216,Dati!$B$2:$B$1216)))</f>
        <v>14</v>
      </c>
      <c r="E23" s="20" t="n">
        <f aca="false">COUNTIFS(Dati!$C$2:$C$1216,$A23,Dati!$AB$2:$AB$1216,"Domanda (end user)")</f>
        <v>7</v>
      </c>
      <c r="F23" s="20" t="n">
        <f aca="false">COUNTIFS(Dati!$C$2:$C$1216,$A23,Dati!$AB$2:$AB$1216,"Offerta (fornitori)")</f>
        <v>2</v>
      </c>
      <c r="G23" s="20" t="n">
        <f aca="false">COUNTIFS(Dati!$C$2:$C$1216,$A23,Dati!$AB$2:$AB$1216,"Misto")</f>
        <v>0</v>
      </c>
      <c r="H23" s="20" t="n">
        <f aca="false">COUNTIFS(Dati!$C$2:$C$1216,$A23,Dati!$AB$2:$AB$1216,"Non determinabile")</f>
        <v>13</v>
      </c>
      <c r="I23" s="20" t="n">
        <f aca="false">COUNTIFS(Dati!$C$2:$C$1216,$A23,Dati!$G$2:$G$1216,"Ente pubblico nazionale")+COUNTIFS(Dati!$C$2:$C$1216,$A23,Dati!$G$2:$G$1216,"Osservatorio o università")</f>
        <v>5</v>
      </c>
      <c r="J23" s="21" t="str">
        <f aca="false">IF(I23&gt;0,"Sì","No")</f>
        <v>Sì</v>
      </c>
      <c r="K23" s="20" t="n">
        <f aca="false">COUNTIFS(Dati!$C$2:$C$1216,$A23,Dati!$G$2:$G$1216,"Istituzione UE")</f>
        <v>1</v>
      </c>
      <c r="L23" s="20" t="n">
        <f aca="false">IF(COUNTIFS(Dati!$C$2:$C$1216,$A23,Dati!$V$2:$V$1216,"Consuntivo")=0,"",_xlfn.MAXIFS(Dati!$U$2:$U$1216,Dati!$C$2:$C$1216,$A23,Dati!$V$2:$V$1216,"Consuntivo"))</f>
        <v>2025</v>
      </c>
      <c r="M23" s="20" t="n">
        <f aca="false">IF(COUNTIFS(Dati!$C$2:$C$1216,$A23,Dati!$O$2:$O$1216,"Totale aggregato",Dati!$P$2:$P$1216,"Nessuna",Dati!$V$2:$V$1216,"Consuntivo",Dati!$N$2:$N$1216,"Mercato domestico")+COUNTIFS(Dati!$C$2:$C$1216,$A23,Dati!$O$2:$O$1216,"Totale aggregato",Dati!$P$2:$P$1216,"Nessuna",Dati!$V$2:$V$1216,"Consuntivo",Dati!$N$2:$N$1216,"Spesa o budget delle organizzazioni")=0,"",MAX(_xlfn.MAXIFS(Dati!$U$2:$U$1216,Dati!$C$2:$C$1216,$A23,Dati!$O$2:$O$1216,"Totale aggregato",Dati!$P$2:$P$1216,"Nessuna",Dati!$V$2:$V$1216,"Consuntivo",Dati!$N$2:$N$1216,"Mercato domestico"),_xlfn.MAXIFS(Dati!$U$2:$U$1216,Dati!$C$2:$C$1216,$A23,Dati!$O$2:$O$1216,"Totale aggregato",Dati!$P$2:$P$1216,"Nessuna",Dati!$V$2:$V$1216,"Consuntivo",Dati!$N$2:$N$1216,"Spesa o budget delle organizzazioni")))</f>
        <v>2025</v>
      </c>
      <c r="N23" s="22" t="n">
        <f aca="false">IF(P23=0,"",MIN(IF(COUNTIFS(Dati!$C$2:$C$1216,$A23,Dati!$O$2:$O$1216,"Totale aggregato",Dati!$P$2:$P$1216,"Nessuna",Dati!$V$2:$V$1216,"Consuntivo",Dati!$U$2:$U$1216,M23,Dati!$N$2:$N$1216,"Mercato domestico")&gt;0,_xlfn.MINIFS(Dati!$X$2:$X$1216,Dati!$C$2:$C$1216,$A23,Dati!$O$2:$O$1216,"Totale aggregato",Dati!$P$2:$P$1216,"Nessuna",Dati!$V$2:$V$1216,"Consuntivo",Dati!$U$2:$U$1216,M23,Dati!$N$2:$N$1216,"Mercato domestico"),1E+099),IF(COUNTIFS(Dati!$C$2:$C$1216,$A23,Dati!$O$2:$O$1216,"Totale aggregato",Dati!$P$2:$P$1216,"Nessuna",Dati!$V$2:$V$1216,"Consuntivo",Dati!$U$2:$U$1216,M23,Dati!$N$2:$N$1216,"Spesa o budget delle organizzazioni")&gt;0,_xlfn.MINIFS(Dati!$X$2:$X$1216,Dati!$C$2:$C$1216,$A23,Dati!$O$2:$O$1216,"Totale aggregato",Dati!$P$2:$P$1216,"Nessuna",Dati!$V$2:$V$1216,"Consuntivo",Dati!$U$2:$U$1216,M23,Dati!$N$2:$N$1216,"Spesa o budget delle organizzazioni"),1E+099)))</f>
        <v>190</v>
      </c>
      <c r="O23" s="22" t="n">
        <f aca="false">IF(P23=0,"",MAX(_xlfn.MAXIFS(Dati!$X$2:$X$1216,Dati!$C$2:$C$1216,$A23,Dati!$O$2:$O$1216,"Totale aggregato",Dati!$P$2:$P$1216,"Nessuna",Dati!$V$2:$V$1216,"Consuntivo",Dati!$U$2:$U$1216,M23,Dati!$N$2:$N$1216,"Mercato domestico"),_xlfn.MAXIFS(Dati!$X$2:$X$1216,Dati!$C$2:$C$1216,$A23,Dati!$O$2:$O$1216,"Totale aggregato",Dati!$P$2:$P$1216,"Nessuna",Dati!$V$2:$V$1216,"Consuntivo",Dati!$U$2:$U$1216,M23,Dati!$N$2:$N$1216,"Spesa o budget delle organizzazioni")))</f>
        <v>190</v>
      </c>
      <c r="P23" s="20" t="n">
        <f aca="false">IF(M23="",0,COUNTIFS(Dati!$C$2:$C$1216,$A23,Dati!$O$2:$O$1216,"Totale aggregato",Dati!$P$2:$P$1216,"Nessuna",Dati!$V$2:$V$1216,"Consuntivo",Dati!$U$2:$U$1216,M23,Dati!$N$2:$N$1216,"Mercato domestico")+COUNTIFS(Dati!$C$2:$C$1216,$A23,Dati!$O$2:$O$1216,"Totale aggregato",Dati!$P$2:$P$1216,"Nessuna",Dati!$V$2:$V$1216,"Consuntivo",Dati!$U$2:$U$1216,M23,Dati!$N$2:$N$1216,"Spesa o budget delle organizzazioni"))</f>
        <v>1</v>
      </c>
      <c r="Q23" s="18" t="s">
        <v>7509</v>
      </c>
    </row>
    <row r="24" customFormat="false" ht="15" hidden="false" customHeight="false" outlineLevel="0" collapsed="false">
      <c r="A24" s="12" t="s">
        <v>4777</v>
      </c>
      <c r="B24" s="12" t="s">
        <v>4778</v>
      </c>
      <c r="C24" s="20" t="n">
        <f aca="false">COUNTIF(Dati!$C$2:$C$1216,$A24)</f>
        <v>17</v>
      </c>
      <c r="D24" s="20" t="n">
        <f aca="false">IF(C24=0,0,SUMPRODUCT((Dati!$C$2:$C$1216=$A24)/COUNTIFS(Dati!$C$2:$C$1216,Dati!$C$2:$C$1216,Dati!$B$2:$B$1216,Dati!$B$2:$B$1216)))</f>
        <v>8</v>
      </c>
      <c r="E24" s="20" t="n">
        <f aca="false">COUNTIFS(Dati!$C$2:$C$1216,$A24,Dati!$AB$2:$AB$1216,"Domanda (end user)")</f>
        <v>13</v>
      </c>
      <c r="F24" s="20" t="n">
        <f aca="false">COUNTIFS(Dati!$C$2:$C$1216,$A24,Dati!$AB$2:$AB$1216,"Offerta (fornitori)")</f>
        <v>0</v>
      </c>
      <c r="G24" s="20" t="n">
        <f aca="false">COUNTIFS(Dati!$C$2:$C$1216,$A24,Dati!$AB$2:$AB$1216,"Misto")</f>
        <v>0</v>
      </c>
      <c r="H24" s="20" t="n">
        <f aca="false">COUNTIFS(Dati!$C$2:$C$1216,$A24,Dati!$AB$2:$AB$1216,"Non determinabile")</f>
        <v>4</v>
      </c>
      <c r="I24" s="20" t="n">
        <f aca="false">COUNTIFS(Dati!$C$2:$C$1216,$A24,Dati!$G$2:$G$1216,"Ente pubblico nazionale")+COUNTIFS(Dati!$C$2:$C$1216,$A24,Dati!$G$2:$G$1216,"Osservatorio o università")</f>
        <v>13</v>
      </c>
      <c r="J24" s="21" t="str">
        <f aca="false">IF(I24&gt;0,"Sì","No")</f>
        <v>Sì</v>
      </c>
      <c r="K24" s="20" t="n">
        <f aca="false">COUNTIFS(Dati!$C$2:$C$1216,$A24,Dati!$G$2:$G$1216,"Istituzione UE")</f>
        <v>1</v>
      </c>
      <c r="L24" s="20" t="n">
        <f aca="false">IF(COUNTIFS(Dati!$C$2:$C$1216,$A24,Dati!$V$2:$V$1216,"Consuntivo")=0,"",_xlfn.MAXIFS(Dati!$U$2:$U$1216,Dati!$C$2:$C$1216,$A24,Dati!$V$2:$V$1216,"Consuntivo"))</f>
        <v>2025</v>
      </c>
      <c r="M24" s="20" t="n">
        <f aca="false">IF(COUNTIFS(Dati!$C$2:$C$1216,$A24,Dati!$O$2:$O$1216,"Totale aggregato",Dati!$P$2:$P$1216,"Nessuna",Dati!$V$2:$V$1216,"Consuntivo",Dati!$N$2:$N$1216,"Mercato domestico")+COUNTIFS(Dati!$C$2:$C$1216,$A24,Dati!$O$2:$O$1216,"Totale aggregato",Dati!$P$2:$P$1216,"Nessuna",Dati!$V$2:$V$1216,"Consuntivo",Dati!$N$2:$N$1216,"Spesa o budget delle organizzazioni")=0,"",MAX(_xlfn.MAXIFS(Dati!$U$2:$U$1216,Dati!$C$2:$C$1216,$A24,Dati!$O$2:$O$1216,"Totale aggregato",Dati!$P$2:$P$1216,"Nessuna",Dati!$V$2:$V$1216,"Consuntivo",Dati!$N$2:$N$1216,"Mercato domestico"),_xlfn.MAXIFS(Dati!$U$2:$U$1216,Dati!$C$2:$C$1216,$A24,Dati!$O$2:$O$1216,"Totale aggregato",Dati!$P$2:$P$1216,"Nessuna",Dati!$V$2:$V$1216,"Consuntivo",Dati!$N$2:$N$1216,"Spesa o budget delle organizzazioni")))</f>
        <v>2025</v>
      </c>
      <c r="N24" s="22" t="n">
        <f aca="false">IF(P24=0,"",MIN(IF(COUNTIFS(Dati!$C$2:$C$1216,$A24,Dati!$O$2:$O$1216,"Totale aggregato",Dati!$P$2:$P$1216,"Nessuna",Dati!$V$2:$V$1216,"Consuntivo",Dati!$U$2:$U$1216,M24,Dati!$N$2:$N$1216,"Mercato domestico")&gt;0,_xlfn.MINIFS(Dati!$X$2:$X$1216,Dati!$C$2:$C$1216,$A24,Dati!$O$2:$O$1216,"Totale aggregato",Dati!$P$2:$P$1216,"Nessuna",Dati!$V$2:$V$1216,"Consuntivo",Dati!$U$2:$U$1216,M24,Dati!$N$2:$N$1216,"Mercato domestico"),1E+099),IF(COUNTIFS(Dati!$C$2:$C$1216,$A24,Dati!$O$2:$O$1216,"Totale aggregato",Dati!$P$2:$P$1216,"Nessuna",Dati!$V$2:$V$1216,"Consuntivo",Dati!$U$2:$U$1216,M24,Dati!$N$2:$N$1216,"Spesa o budget delle organizzazioni")&gt;0,_xlfn.MINIFS(Dati!$X$2:$X$1216,Dati!$C$2:$C$1216,$A24,Dati!$O$2:$O$1216,"Totale aggregato",Dati!$P$2:$P$1216,"Nessuna",Dati!$V$2:$V$1216,"Consuntivo",Dati!$U$2:$U$1216,M24,Dati!$N$2:$N$1216,"Spesa o budget delle organizzazioni"),1E+099)))</f>
        <v>200.884955752212</v>
      </c>
      <c r="O24" s="22" t="n">
        <f aca="false">IF(P24=0,"",MAX(_xlfn.MAXIFS(Dati!$X$2:$X$1216,Dati!$C$2:$C$1216,$A24,Dati!$O$2:$O$1216,"Totale aggregato",Dati!$P$2:$P$1216,"Nessuna",Dati!$V$2:$V$1216,"Consuntivo",Dati!$U$2:$U$1216,M24,Dati!$N$2:$N$1216,"Mercato domestico"),_xlfn.MAXIFS(Dati!$X$2:$X$1216,Dati!$C$2:$C$1216,$A24,Dati!$O$2:$O$1216,"Totale aggregato",Dati!$P$2:$P$1216,"Nessuna",Dati!$V$2:$V$1216,"Consuntivo",Dati!$U$2:$U$1216,M24,Dati!$N$2:$N$1216,"Spesa o budget delle organizzazioni")))</f>
        <v>200.884955752212</v>
      </c>
      <c r="P24" s="20" t="n">
        <f aca="false">IF(M24="",0,COUNTIFS(Dati!$C$2:$C$1216,$A24,Dati!$O$2:$O$1216,"Totale aggregato",Dati!$P$2:$P$1216,"Nessuna",Dati!$V$2:$V$1216,"Consuntivo",Dati!$U$2:$U$1216,M24,Dati!$N$2:$N$1216,"Mercato domestico")+COUNTIFS(Dati!$C$2:$C$1216,$A24,Dati!$O$2:$O$1216,"Totale aggregato",Dati!$P$2:$P$1216,"Nessuna",Dati!$V$2:$V$1216,"Consuntivo",Dati!$U$2:$U$1216,M24,Dati!$N$2:$N$1216,"Spesa o budget delle organizzazioni"))</f>
        <v>1</v>
      </c>
      <c r="Q24" s="18" t="s">
        <v>7510</v>
      </c>
    </row>
    <row r="25" customFormat="false" ht="15" hidden="false" customHeight="false" outlineLevel="0" collapsed="false">
      <c r="A25" s="12" t="s">
        <v>4873</v>
      </c>
      <c r="B25" s="12" t="s">
        <v>4874</v>
      </c>
      <c r="C25" s="20" t="n">
        <f aca="false">COUNTIF(Dati!$C$2:$C$1216,$A25)</f>
        <v>9</v>
      </c>
      <c r="D25" s="20" t="n">
        <f aca="false">IF(C25=0,0,SUMPRODUCT((Dati!$C$2:$C$1216=$A25)/COUNTIFS(Dati!$C$2:$C$1216,Dati!$C$2:$C$1216,Dati!$B$2:$B$1216,Dati!$B$2:$B$1216)))</f>
        <v>5</v>
      </c>
      <c r="E25" s="20" t="n">
        <f aca="false">COUNTIFS(Dati!$C$2:$C$1216,$A25,Dati!$AB$2:$AB$1216,"Domanda (end user)")</f>
        <v>8</v>
      </c>
      <c r="F25" s="20" t="n">
        <f aca="false">COUNTIFS(Dati!$C$2:$C$1216,$A25,Dati!$AB$2:$AB$1216,"Offerta (fornitori)")</f>
        <v>0</v>
      </c>
      <c r="G25" s="20" t="n">
        <f aca="false">COUNTIFS(Dati!$C$2:$C$1216,$A25,Dati!$AB$2:$AB$1216,"Misto")</f>
        <v>0</v>
      </c>
      <c r="H25" s="20" t="n">
        <f aca="false">COUNTIFS(Dati!$C$2:$C$1216,$A25,Dati!$AB$2:$AB$1216,"Non determinabile")</f>
        <v>1</v>
      </c>
      <c r="I25" s="20" t="n">
        <f aca="false">COUNTIFS(Dati!$C$2:$C$1216,$A25,Dati!$G$2:$G$1216,"Ente pubblico nazionale")+COUNTIFS(Dati!$C$2:$C$1216,$A25,Dati!$G$2:$G$1216,"Osservatorio o università")</f>
        <v>9</v>
      </c>
      <c r="J25" s="21" t="str">
        <f aca="false">IF(I25&gt;0,"Sì","No")</f>
        <v>Sì</v>
      </c>
      <c r="K25" s="20" t="n">
        <f aca="false">COUNTIFS(Dati!$C$2:$C$1216,$A25,Dati!$G$2:$G$1216,"Istituzione UE")</f>
        <v>0</v>
      </c>
      <c r="L25" s="20" t="n">
        <f aca="false">IF(COUNTIFS(Dati!$C$2:$C$1216,$A25,Dati!$V$2:$V$1216,"Consuntivo")=0,"",_xlfn.MAXIFS(Dati!$U$2:$U$1216,Dati!$C$2:$C$1216,$A25,Dati!$V$2:$V$1216,"Consuntivo"))</f>
        <v>2025</v>
      </c>
      <c r="M25" s="20" t="str">
        <f aca="false">IF(COUNTIFS(Dati!$C$2:$C$1216,$A25,Dati!$O$2:$O$1216,"Totale aggregato",Dati!$P$2:$P$1216,"Nessuna",Dati!$V$2:$V$1216,"Consuntivo",Dati!$N$2:$N$1216,"Mercato domestico")+COUNTIFS(Dati!$C$2:$C$1216,$A25,Dati!$O$2:$O$1216,"Totale aggregato",Dati!$P$2:$P$1216,"Nessuna",Dati!$V$2:$V$1216,"Consuntivo",Dati!$N$2:$N$1216,"Spesa o budget delle organizzazioni")=0,"",MAX(_xlfn.MAXIFS(Dati!$U$2:$U$1216,Dati!$C$2:$C$1216,$A25,Dati!$O$2:$O$1216,"Totale aggregato",Dati!$P$2:$P$1216,"Nessuna",Dati!$V$2:$V$1216,"Consuntivo",Dati!$N$2:$N$1216,"Mercato domestico"),_xlfn.MAXIFS(Dati!$U$2:$U$1216,Dati!$C$2:$C$1216,$A25,Dati!$O$2:$O$1216,"Totale aggregato",Dati!$P$2:$P$1216,"Nessuna",Dati!$V$2:$V$1216,"Consuntivo",Dati!$N$2:$N$1216,"Spesa o budget delle organizzazioni")))</f>
        <v/>
      </c>
      <c r="N25" s="22" t="str">
        <f aca="false">IF(P25=0,"",MIN(IF(COUNTIFS(Dati!$C$2:$C$1216,$A25,Dati!$O$2:$O$1216,"Totale aggregato",Dati!$P$2:$P$1216,"Nessuna",Dati!$V$2:$V$1216,"Consuntivo",Dati!$U$2:$U$1216,M25,Dati!$N$2:$N$1216,"Mercato domestico")&gt;0,_xlfn.MINIFS(Dati!$X$2:$X$1216,Dati!$C$2:$C$1216,$A25,Dati!$O$2:$O$1216,"Totale aggregato",Dati!$P$2:$P$1216,"Nessuna",Dati!$V$2:$V$1216,"Consuntivo",Dati!$U$2:$U$1216,M25,Dati!$N$2:$N$1216,"Mercato domestico"),1E+099),IF(COUNTIFS(Dati!$C$2:$C$1216,$A25,Dati!$O$2:$O$1216,"Totale aggregato",Dati!$P$2:$P$1216,"Nessuna",Dati!$V$2:$V$1216,"Consuntivo",Dati!$U$2:$U$1216,M25,Dati!$N$2:$N$1216,"Spesa o budget delle organizzazioni")&gt;0,_xlfn.MINIFS(Dati!$X$2:$X$1216,Dati!$C$2:$C$1216,$A25,Dati!$O$2:$O$1216,"Totale aggregato",Dati!$P$2:$P$1216,"Nessuna",Dati!$V$2:$V$1216,"Consuntivo",Dati!$U$2:$U$1216,M25,Dati!$N$2:$N$1216,"Spesa o budget delle organizzazioni"),1E+099)))</f>
        <v/>
      </c>
      <c r="O25" s="22" t="str">
        <f aca="false">IF(P25=0,"",MAX(_xlfn.MAXIFS(Dati!$X$2:$X$1216,Dati!$C$2:$C$1216,$A25,Dati!$O$2:$O$1216,"Totale aggregato",Dati!$P$2:$P$1216,"Nessuna",Dati!$V$2:$V$1216,"Consuntivo",Dati!$U$2:$U$1216,M25,Dati!$N$2:$N$1216,"Mercato domestico"),_xlfn.MAXIFS(Dati!$X$2:$X$1216,Dati!$C$2:$C$1216,$A25,Dati!$O$2:$O$1216,"Totale aggregato",Dati!$P$2:$P$1216,"Nessuna",Dati!$V$2:$V$1216,"Consuntivo",Dati!$U$2:$U$1216,M25,Dati!$N$2:$N$1216,"Spesa o budget delle organizzazioni")))</f>
        <v/>
      </c>
      <c r="P25" s="20" t="n">
        <f aca="false">IF(M25="",0,COUNTIFS(Dati!$C$2:$C$1216,$A25,Dati!$O$2:$O$1216,"Totale aggregato",Dati!$P$2:$P$1216,"Nessuna",Dati!$V$2:$V$1216,"Consuntivo",Dati!$U$2:$U$1216,M25,Dati!$N$2:$N$1216,"Mercato domestico")+COUNTIFS(Dati!$C$2:$C$1216,$A25,Dati!$O$2:$O$1216,"Totale aggregato",Dati!$P$2:$P$1216,"Nessuna",Dati!$V$2:$V$1216,"Consuntivo",Dati!$U$2:$U$1216,M25,Dati!$N$2:$N$1216,"Spesa o budget delle organizzazioni"))</f>
        <v>0</v>
      </c>
      <c r="Q25" s="18" t="s">
        <v>7511</v>
      </c>
    </row>
    <row r="26" customFormat="false" ht="15" hidden="false" customHeight="false" outlineLevel="0" collapsed="false">
      <c r="A26" s="12" t="s">
        <v>4941</v>
      </c>
      <c r="B26" s="12" t="s">
        <v>4942</v>
      </c>
      <c r="C26" s="20" t="n">
        <f aca="false">COUNTIF(Dati!$C$2:$C$1216,$A26)</f>
        <v>38</v>
      </c>
      <c r="D26" s="20" t="n">
        <f aca="false">IF(C26=0,0,SUMPRODUCT((Dati!$C$2:$C$1216=$A26)/COUNTIFS(Dati!$C$2:$C$1216,Dati!$C$2:$C$1216,Dati!$B$2:$B$1216,Dati!$B$2:$B$1216)))</f>
        <v>17</v>
      </c>
      <c r="E26" s="20" t="n">
        <f aca="false">COUNTIFS(Dati!$C$2:$C$1216,$A26,Dati!$AB$2:$AB$1216,"Domanda (end user)")</f>
        <v>9</v>
      </c>
      <c r="F26" s="20" t="n">
        <f aca="false">COUNTIFS(Dati!$C$2:$C$1216,$A26,Dati!$AB$2:$AB$1216,"Offerta (fornitori)")</f>
        <v>14</v>
      </c>
      <c r="G26" s="20" t="n">
        <f aca="false">COUNTIFS(Dati!$C$2:$C$1216,$A26,Dati!$AB$2:$AB$1216,"Misto")</f>
        <v>0</v>
      </c>
      <c r="H26" s="20" t="n">
        <f aca="false">COUNTIFS(Dati!$C$2:$C$1216,$A26,Dati!$AB$2:$AB$1216,"Non determinabile")</f>
        <v>15</v>
      </c>
      <c r="I26" s="20" t="n">
        <f aca="false">COUNTIFS(Dati!$C$2:$C$1216,$A26,Dati!$G$2:$G$1216,"Ente pubblico nazionale")+COUNTIFS(Dati!$C$2:$C$1216,$A26,Dati!$G$2:$G$1216,"Osservatorio o università")</f>
        <v>10</v>
      </c>
      <c r="J26" s="21" t="str">
        <f aca="false">IF(I26&gt;0,"Sì","No")</f>
        <v>Sì</v>
      </c>
      <c r="K26" s="20" t="n">
        <f aca="false">COUNTIFS(Dati!$C$2:$C$1216,$A26,Dati!$G$2:$G$1216,"Istituzione UE")</f>
        <v>1</v>
      </c>
      <c r="L26" s="20" t="n">
        <f aca="false">IF(COUNTIFS(Dati!$C$2:$C$1216,$A26,Dati!$V$2:$V$1216,"Consuntivo")=0,"",_xlfn.MAXIFS(Dati!$U$2:$U$1216,Dati!$C$2:$C$1216,$A26,Dati!$V$2:$V$1216,"Consuntivo"))</f>
        <v>2025</v>
      </c>
      <c r="M26" s="20" t="n">
        <f aca="false">IF(COUNTIFS(Dati!$C$2:$C$1216,$A26,Dati!$O$2:$O$1216,"Totale aggregato",Dati!$P$2:$P$1216,"Nessuna",Dati!$V$2:$V$1216,"Consuntivo",Dati!$N$2:$N$1216,"Mercato domestico")+COUNTIFS(Dati!$C$2:$C$1216,$A26,Dati!$O$2:$O$1216,"Totale aggregato",Dati!$P$2:$P$1216,"Nessuna",Dati!$V$2:$V$1216,"Consuntivo",Dati!$N$2:$N$1216,"Spesa o budget delle organizzazioni")=0,"",MAX(_xlfn.MAXIFS(Dati!$U$2:$U$1216,Dati!$C$2:$C$1216,$A26,Dati!$O$2:$O$1216,"Totale aggregato",Dati!$P$2:$P$1216,"Nessuna",Dati!$V$2:$V$1216,"Consuntivo",Dati!$N$2:$N$1216,"Mercato domestico"),_xlfn.MAXIFS(Dati!$U$2:$U$1216,Dati!$C$2:$C$1216,$A26,Dati!$O$2:$O$1216,"Totale aggregato",Dati!$P$2:$P$1216,"Nessuna",Dati!$V$2:$V$1216,"Consuntivo",Dati!$N$2:$N$1216,"Spesa o budget delle organizzazioni")))</f>
        <v>2025</v>
      </c>
      <c r="N26" s="22" t="n">
        <f aca="false">IF(P26=0,"",MIN(IF(COUNTIFS(Dati!$C$2:$C$1216,$A26,Dati!$O$2:$O$1216,"Totale aggregato",Dati!$P$2:$P$1216,"Nessuna",Dati!$V$2:$V$1216,"Consuntivo",Dati!$U$2:$U$1216,M26,Dati!$N$2:$N$1216,"Mercato domestico")&gt;0,_xlfn.MINIFS(Dati!$X$2:$X$1216,Dati!$C$2:$C$1216,$A26,Dati!$O$2:$O$1216,"Totale aggregato",Dati!$P$2:$P$1216,"Nessuna",Dati!$V$2:$V$1216,"Consuntivo",Dati!$U$2:$U$1216,M26,Dati!$N$2:$N$1216,"Mercato domestico"),1E+099),IF(COUNTIFS(Dati!$C$2:$C$1216,$A26,Dati!$O$2:$O$1216,"Totale aggregato",Dati!$P$2:$P$1216,"Nessuna",Dati!$V$2:$V$1216,"Consuntivo",Dati!$U$2:$U$1216,M26,Dati!$N$2:$N$1216,"Spesa o budget delle organizzazioni")&gt;0,_xlfn.MINIFS(Dati!$X$2:$X$1216,Dati!$C$2:$C$1216,$A26,Dati!$O$2:$O$1216,"Totale aggregato",Dati!$P$2:$P$1216,"Nessuna",Dati!$V$2:$V$1216,"Consuntivo",Dati!$U$2:$U$1216,M26,Dati!$N$2:$N$1216,"Spesa o budget delle organizzazioni"),1E+099)))</f>
        <v>4044.24778761062</v>
      </c>
      <c r="O26" s="22" t="n">
        <f aca="false">IF(P26=0,"",MAX(_xlfn.MAXIFS(Dati!$X$2:$X$1216,Dati!$C$2:$C$1216,$A26,Dati!$O$2:$O$1216,"Totale aggregato",Dati!$P$2:$P$1216,"Nessuna",Dati!$V$2:$V$1216,"Consuntivo",Dati!$U$2:$U$1216,M26,Dati!$N$2:$N$1216,"Mercato domestico"),_xlfn.MAXIFS(Dati!$X$2:$X$1216,Dati!$C$2:$C$1216,$A26,Dati!$O$2:$O$1216,"Totale aggregato",Dati!$P$2:$P$1216,"Nessuna",Dati!$V$2:$V$1216,"Consuntivo",Dati!$U$2:$U$1216,M26,Dati!$N$2:$N$1216,"Spesa o budget delle organizzazioni")))</f>
        <v>4690.26548672566</v>
      </c>
      <c r="P26" s="20" t="n">
        <f aca="false">IF(M26="",0,COUNTIFS(Dati!$C$2:$C$1216,$A26,Dati!$O$2:$O$1216,"Totale aggregato",Dati!$P$2:$P$1216,"Nessuna",Dati!$V$2:$V$1216,"Consuntivo",Dati!$U$2:$U$1216,M26,Dati!$N$2:$N$1216,"Mercato domestico")+COUNTIFS(Dati!$C$2:$C$1216,$A26,Dati!$O$2:$O$1216,"Totale aggregato",Dati!$P$2:$P$1216,"Nessuna",Dati!$V$2:$V$1216,"Consuntivo",Dati!$U$2:$U$1216,M26,Dati!$N$2:$N$1216,"Spesa o budget delle organizzazioni"))</f>
        <v>2</v>
      </c>
      <c r="Q26" s="18"/>
    </row>
    <row r="27" customFormat="false" ht="23.85" hidden="false" customHeight="false" outlineLevel="0" collapsed="false">
      <c r="A27" s="12" t="s">
        <v>5161</v>
      </c>
      <c r="B27" s="12" t="s">
        <v>5162</v>
      </c>
      <c r="C27" s="20" t="n">
        <f aca="false">COUNTIF(Dati!$C$2:$C$1216,$A27)</f>
        <v>29</v>
      </c>
      <c r="D27" s="20" t="n">
        <f aca="false">IF(C27=0,0,SUMPRODUCT((Dati!$C$2:$C$1216=$A27)/COUNTIFS(Dati!$C$2:$C$1216,Dati!$C$2:$C$1216,Dati!$B$2:$B$1216,Dati!$B$2:$B$1216)))</f>
        <v>14</v>
      </c>
      <c r="E27" s="20" t="n">
        <f aca="false">COUNTIFS(Dati!$C$2:$C$1216,$A27,Dati!$AB$2:$AB$1216,"Domanda (end user)")</f>
        <v>14</v>
      </c>
      <c r="F27" s="20" t="n">
        <f aca="false">COUNTIFS(Dati!$C$2:$C$1216,$A27,Dati!$AB$2:$AB$1216,"Offerta (fornitori)")</f>
        <v>1</v>
      </c>
      <c r="G27" s="20" t="n">
        <f aca="false">COUNTIFS(Dati!$C$2:$C$1216,$A27,Dati!$AB$2:$AB$1216,"Misto")</f>
        <v>0</v>
      </c>
      <c r="H27" s="20" t="n">
        <f aca="false">COUNTIFS(Dati!$C$2:$C$1216,$A27,Dati!$AB$2:$AB$1216,"Non determinabile")</f>
        <v>14</v>
      </c>
      <c r="I27" s="20" t="n">
        <f aca="false">COUNTIFS(Dati!$C$2:$C$1216,$A27,Dati!$G$2:$G$1216,"Ente pubblico nazionale")+COUNTIFS(Dati!$C$2:$C$1216,$A27,Dati!$G$2:$G$1216,"Osservatorio o università")</f>
        <v>15</v>
      </c>
      <c r="J27" s="21" t="str">
        <f aca="false">IF(I27&gt;0,"Sì","No")</f>
        <v>Sì</v>
      </c>
      <c r="K27" s="20" t="n">
        <f aca="false">COUNTIFS(Dati!$C$2:$C$1216,$A27,Dati!$G$2:$G$1216,"Istituzione UE")</f>
        <v>0</v>
      </c>
      <c r="L27" s="20" t="n">
        <f aca="false">IF(COUNTIFS(Dati!$C$2:$C$1216,$A27,Dati!$V$2:$V$1216,"Consuntivo")=0,"",_xlfn.MAXIFS(Dati!$U$2:$U$1216,Dati!$C$2:$C$1216,$A27,Dati!$V$2:$V$1216,"Consuntivo"))</f>
        <v>2025</v>
      </c>
      <c r="M27" s="20" t="n">
        <f aca="false">IF(COUNTIFS(Dati!$C$2:$C$1216,$A27,Dati!$O$2:$O$1216,"Totale aggregato",Dati!$P$2:$P$1216,"Nessuna",Dati!$V$2:$V$1216,"Consuntivo",Dati!$N$2:$N$1216,"Mercato domestico")+COUNTIFS(Dati!$C$2:$C$1216,$A27,Dati!$O$2:$O$1216,"Totale aggregato",Dati!$P$2:$P$1216,"Nessuna",Dati!$V$2:$V$1216,"Consuntivo",Dati!$N$2:$N$1216,"Spesa o budget delle organizzazioni")=0,"",MAX(_xlfn.MAXIFS(Dati!$U$2:$U$1216,Dati!$C$2:$C$1216,$A27,Dati!$O$2:$O$1216,"Totale aggregato",Dati!$P$2:$P$1216,"Nessuna",Dati!$V$2:$V$1216,"Consuntivo",Dati!$N$2:$N$1216,"Mercato domestico"),_xlfn.MAXIFS(Dati!$U$2:$U$1216,Dati!$C$2:$C$1216,$A27,Dati!$O$2:$O$1216,"Totale aggregato",Dati!$P$2:$P$1216,"Nessuna",Dati!$V$2:$V$1216,"Consuntivo",Dati!$N$2:$N$1216,"Spesa o budget delle organizzazioni")))</f>
        <v>2025</v>
      </c>
      <c r="N27" s="22" t="n">
        <f aca="false">IF(P27=0,"",MIN(IF(COUNTIFS(Dati!$C$2:$C$1216,$A27,Dati!$O$2:$O$1216,"Totale aggregato",Dati!$P$2:$P$1216,"Nessuna",Dati!$V$2:$V$1216,"Consuntivo",Dati!$U$2:$U$1216,M27,Dati!$N$2:$N$1216,"Mercato domestico")&gt;0,_xlfn.MINIFS(Dati!$X$2:$X$1216,Dati!$C$2:$C$1216,$A27,Dati!$O$2:$O$1216,"Totale aggregato",Dati!$P$2:$P$1216,"Nessuna",Dati!$V$2:$V$1216,"Consuntivo",Dati!$U$2:$U$1216,M27,Dati!$N$2:$N$1216,"Mercato domestico"),1E+099),IF(COUNTIFS(Dati!$C$2:$C$1216,$A27,Dati!$O$2:$O$1216,"Totale aggregato",Dati!$P$2:$P$1216,"Nessuna",Dati!$V$2:$V$1216,"Consuntivo",Dati!$U$2:$U$1216,M27,Dati!$N$2:$N$1216,"Spesa o budget delle organizzazioni")&gt;0,_xlfn.MINIFS(Dati!$X$2:$X$1216,Dati!$C$2:$C$1216,$A27,Dati!$O$2:$O$1216,"Totale aggregato",Dati!$P$2:$P$1216,"Nessuna",Dati!$V$2:$V$1216,"Consuntivo",Dati!$U$2:$U$1216,M27,Dati!$N$2:$N$1216,"Spesa o budget delle organizzazioni"),1E+099)))</f>
        <v>1320</v>
      </c>
      <c r="O27" s="22" t="n">
        <f aca="false">IF(P27=0,"",MAX(_xlfn.MAXIFS(Dati!$X$2:$X$1216,Dati!$C$2:$C$1216,$A27,Dati!$O$2:$O$1216,"Totale aggregato",Dati!$P$2:$P$1216,"Nessuna",Dati!$V$2:$V$1216,"Consuntivo",Dati!$U$2:$U$1216,M27,Dati!$N$2:$N$1216,"Mercato domestico"),_xlfn.MAXIFS(Dati!$X$2:$X$1216,Dati!$C$2:$C$1216,$A27,Dati!$O$2:$O$1216,"Totale aggregato",Dati!$P$2:$P$1216,"Nessuna",Dati!$V$2:$V$1216,"Consuntivo",Dati!$U$2:$U$1216,M27,Dati!$N$2:$N$1216,"Spesa o budget delle organizzazioni")))</f>
        <v>1646.01769911504</v>
      </c>
      <c r="P27" s="20" t="n">
        <f aca="false">IF(M27="",0,COUNTIFS(Dati!$C$2:$C$1216,$A27,Dati!$O$2:$O$1216,"Totale aggregato",Dati!$P$2:$P$1216,"Nessuna",Dati!$V$2:$V$1216,"Consuntivo",Dati!$U$2:$U$1216,M27,Dati!$N$2:$N$1216,"Mercato domestico")+COUNTIFS(Dati!$C$2:$C$1216,$A27,Dati!$O$2:$O$1216,"Totale aggregato",Dati!$P$2:$P$1216,"Nessuna",Dati!$V$2:$V$1216,"Consuntivo",Dati!$U$2:$U$1216,M27,Dati!$N$2:$N$1216,"Spesa o budget delle organizzazioni"))</f>
        <v>2</v>
      </c>
      <c r="Q27" s="18" t="s">
        <v>7512</v>
      </c>
    </row>
    <row r="28" customFormat="false" ht="23.85" hidden="false" customHeight="false" outlineLevel="0" collapsed="false">
      <c r="A28" s="12" t="s">
        <v>5317</v>
      </c>
      <c r="B28" s="12" t="s">
        <v>5318</v>
      </c>
      <c r="C28" s="20" t="n">
        <f aca="false">COUNTIF(Dati!$C$2:$C$1216,$A28)</f>
        <v>16</v>
      </c>
      <c r="D28" s="20" t="n">
        <f aca="false">IF(C28=0,0,SUMPRODUCT((Dati!$C$2:$C$1216=$A28)/COUNTIFS(Dati!$C$2:$C$1216,Dati!$C$2:$C$1216,Dati!$B$2:$B$1216,Dati!$B$2:$B$1216)))</f>
        <v>8</v>
      </c>
      <c r="E28" s="20" t="n">
        <f aca="false">COUNTIFS(Dati!$C$2:$C$1216,$A28,Dati!$AB$2:$AB$1216,"Domanda (end user)")</f>
        <v>1</v>
      </c>
      <c r="F28" s="20" t="n">
        <f aca="false">COUNTIFS(Dati!$C$2:$C$1216,$A28,Dati!$AB$2:$AB$1216,"Offerta (fornitori)")</f>
        <v>2</v>
      </c>
      <c r="G28" s="20" t="n">
        <f aca="false">COUNTIFS(Dati!$C$2:$C$1216,$A28,Dati!$AB$2:$AB$1216,"Misto")</f>
        <v>0</v>
      </c>
      <c r="H28" s="20" t="n">
        <f aca="false">COUNTIFS(Dati!$C$2:$C$1216,$A28,Dati!$AB$2:$AB$1216,"Non determinabile")</f>
        <v>13</v>
      </c>
      <c r="I28" s="20" t="n">
        <f aca="false">COUNTIFS(Dati!$C$2:$C$1216,$A28,Dati!$G$2:$G$1216,"Ente pubblico nazionale")+COUNTIFS(Dati!$C$2:$C$1216,$A28,Dati!$G$2:$G$1216,"Osservatorio o università")</f>
        <v>3</v>
      </c>
      <c r="J28" s="21" t="str">
        <f aca="false">IF(I28&gt;0,"Sì","No")</f>
        <v>Sì</v>
      </c>
      <c r="K28" s="20" t="n">
        <f aca="false">COUNTIFS(Dati!$C$2:$C$1216,$A28,Dati!$G$2:$G$1216,"Istituzione UE")</f>
        <v>0</v>
      </c>
      <c r="L28" s="20" t="n">
        <f aca="false">IF(COUNTIFS(Dati!$C$2:$C$1216,$A28,Dati!$V$2:$V$1216,"Consuntivo")=0,"",_xlfn.MAXIFS(Dati!$U$2:$U$1216,Dati!$C$2:$C$1216,$A28,Dati!$V$2:$V$1216,"Consuntivo"))</f>
        <v>2025</v>
      </c>
      <c r="M28" s="20" t="n">
        <f aca="false">IF(COUNTIFS(Dati!$C$2:$C$1216,$A28,Dati!$O$2:$O$1216,"Totale aggregato",Dati!$P$2:$P$1216,"Nessuna",Dati!$V$2:$V$1216,"Consuntivo",Dati!$N$2:$N$1216,"Mercato domestico")+COUNTIFS(Dati!$C$2:$C$1216,$A28,Dati!$O$2:$O$1216,"Totale aggregato",Dati!$P$2:$P$1216,"Nessuna",Dati!$V$2:$V$1216,"Consuntivo",Dati!$N$2:$N$1216,"Spesa o budget delle organizzazioni")=0,"",MAX(_xlfn.MAXIFS(Dati!$U$2:$U$1216,Dati!$C$2:$C$1216,$A28,Dati!$O$2:$O$1216,"Totale aggregato",Dati!$P$2:$P$1216,"Nessuna",Dati!$V$2:$V$1216,"Consuntivo",Dati!$N$2:$N$1216,"Mercato domestico"),_xlfn.MAXIFS(Dati!$U$2:$U$1216,Dati!$C$2:$C$1216,$A28,Dati!$O$2:$O$1216,"Totale aggregato",Dati!$P$2:$P$1216,"Nessuna",Dati!$V$2:$V$1216,"Consuntivo",Dati!$N$2:$N$1216,"Spesa o budget delle organizzazioni")))</f>
        <v>2025</v>
      </c>
      <c r="N28" s="22" t="n">
        <f aca="false">IF(P28=0,"",MIN(IF(COUNTIFS(Dati!$C$2:$C$1216,$A28,Dati!$O$2:$O$1216,"Totale aggregato",Dati!$P$2:$P$1216,"Nessuna",Dati!$V$2:$V$1216,"Consuntivo",Dati!$U$2:$U$1216,M28,Dati!$N$2:$N$1216,"Mercato domestico")&gt;0,_xlfn.MINIFS(Dati!$X$2:$X$1216,Dati!$C$2:$C$1216,$A28,Dati!$O$2:$O$1216,"Totale aggregato",Dati!$P$2:$P$1216,"Nessuna",Dati!$V$2:$V$1216,"Consuntivo",Dati!$U$2:$U$1216,M28,Dati!$N$2:$N$1216,"Mercato domestico"),1E+099),IF(COUNTIFS(Dati!$C$2:$C$1216,$A28,Dati!$O$2:$O$1216,"Totale aggregato",Dati!$P$2:$P$1216,"Nessuna",Dati!$V$2:$V$1216,"Consuntivo",Dati!$U$2:$U$1216,M28,Dati!$N$2:$N$1216,"Spesa o budget delle organizzazioni")&gt;0,_xlfn.MINIFS(Dati!$X$2:$X$1216,Dati!$C$2:$C$1216,$A28,Dati!$O$2:$O$1216,"Totale aggregato",Dati!$P$2:$P$1216,"Nessuna",Dati!$V$2:$V$1216,"Consuntivo",Dati!$U$2:$U$1216,M28,Dati!$N$2:$N$1216,"Spesa o budget delle organizzazioni"),1E+099)))</f>
        <v>212.035398230089</v>
      </c>
      <c r="O28" s="22" t="n">
        <f aca="false">IF(P28=0,"",MAX(_xlfn.MAXIFS(Dati!$X$2:$X$1216,Dati!$C$2:$C$1216,$A28,Dati!$O$2:$O$1216,"Totale aggregato",Dati!$P$2:$P$1216,"Nessuna",Dati!$V$2:$V$1216,"Consuntivo",Dati!$U$2:$U$1216,M28,Dati!$N$2:$N$1216,"Mercato domestico"),_xlfn.MAXIFS(Dati!$X$2:$X$1216,Dati!$C$2:$C$1216,$A28,Dati!$O$2:$O$1216,"Totale aggregato",Dati!$P$2:$P$1216,"Nessuna",Dati!$V$2:$V$1216,"Consuntivo",Dati!$U$2:$U$1216,M28,Dati!$N$2:$N$1216,"Spesa o budget delle organizzazioni")))</f>
        <v>442.477876106195</v>
      </c>
      <c r="P28" s="20" t="n">
        <f aca="false">IF(M28="",0,COUNTIFS(Dati!$C$2:$C$1216,$A28,Dati!$O$2:$O$1216,"Totale aggregato",Dati!$P$2:$P$1216,"Nessuna",Dati!$V$2:$V$1216,"Consuntivo",Dati!$U$2:$U$1216,M28,Dati!$N$2:$N$1216,"Mercato domestico")+COUNTIFS(Dati!$C$2:$C$1216,$A28,Dati!$O$2:$O$1216,"Totale aggregato",Dati!$P$2:$P$1216,"Nessuna",Dati!$V$2:$V$1216,"Consuntivo",Dati!$U$2:$U$1216,M28,Dati!$N$2:$N$1216,"Spesa o budget delle organizzazioni"))</f>
        <v>2</v>
      </c>
      <c r="Q28" s="18" t="s">
        <v>7513</v>
      </c>
    </row>
    <row r="29" customFormat="false" ht="46.25" hidden="false" customHeight="false" outlineLevel="0" collapsed="false">
      <c r="A29" s="12" t="s">
        <v>5397</v>
      </c>
      <c r="B29" s="12" t="s">
        <v>5398</v>
      </c>
      <c r="C29" s="20" t="n">
        <f aca="false">COUNTIF(Dati!$C$2:$C$1216,$A29)</f>
        <v>85</v>
      </c>
      <c r="D29" s="20" t="n">
        <f aca="false">IF(C29=0,0,SUMPRODUCT((Dati!$C$2:$C$1216=$A29)/COUNTIFS(Dati!$C$2:$C$1216,Dati!$C$2:$C$1216,Dati!$B$2:$B$1216,Dati!$B$2:$B$1216)))</f>
        <v>29</v>
      </c>
      <c r="E29" s="20" t="n">
        <f aca="false">COUNTIFS(Dati!$C$2:$C$1216,$A29,Dati!$AB$2:$AB$1216,"Domanda (end user)")</f>
        <v>44</v>
      </c>
      <c r="F29" s="20" t="n">
        <f aca="false">COUNTIFS(Dati!$C$2:$C$1216,$A29,Dati!$AB$2:$AB$1216,"Offerta (fornitori)")</f>
        <v>25</v>
      </c>
      <c r="G29" s="20" t="n">
        <f aca="false">COUNTIFS(Dati!$C$2:$C$1216,$A29,Dati!$AB$2:$AB$1216,"Misto")</f>
        <v>0</v>
      </c>
      <c r="H29" s="20" t="n">
        <f aca="false">COUNTIFS(Dati!$C$2:$C$1216,$A29,Dati!$AB$2:$AB$1216,"Non determinabile")</f>
        <v>16</v>
      </c>
      <c r="I29" s="20" t="n">
        <f aca="false">COUNTIFS(Dati!$C$2:$C$1216,$A29,Dati!$G$2:$G$1216,"Ente pubblico nazionale")+COUNTIFS(Dati!$C$2:$C$1216,$A29,Dati!$G$2:$G$1216,"Osservatorio o università")</f>
        <v>62</v>
      </c>
      <c r="J29" s="21" t="str">
        <f aca="false">IF(I29&gt;0,"Sì","No")</f>
        <v>Sì</v>
      </c>
      <c r="K29" s="20" t="n">
        <f aca="false">COUNTIFS(Dati!$C$2:$C$1216,$A29,Dati!$G$2:$G$1216,"Istituzione UE")</f>
        <v>0</v>
      </c>
      <c r="L29" s="20" t="n">
        <f aca="false">IF(COUNTIFS(Dati!$C$2:$C$1216,$A29,Dati!$V$2:$V$1216,"Consuntivo")=0,"",_xlfn.MAXIFS(Dati!$U$2:$U$1216,Dati!$C$2:$C$1216,$A29,Dati!$V$2:$V$1216,"Consuntivo"))</f>
        <v>2025</v>
      </c>
      <c r="M29" s="20" t="n">
        <f aca="false">IF(COUNTIFS(Dati!$C$2:$C$1216,$A29,Dati!$O$2:$O$1216,"Totale aggregato",Dati!$P$2:$P$1216,"Nessuna",Dati!$V$2:$V$1216,"Consuntivo",Dati!$N$2:$N$1216,"Mercato domestico")+COUNTIFS(Dati!$C$2:$C$1216,$A29,Dati!$O$2:$O$1216,"Totale aggregato",Dati!$P$2:$P$1216,"Nessuna",Dati!$V$2:$V$1216,"Consuntivo",Dati!$N$2:$N$1216,"Spesa o budget delle organizzazioni")=0,"",MAX(_xlfn.MAXIFS(Dati!$U$2:$U$1216,Dati!$C$2:$C$1216,$A29,Dati!$O$2:$O$1216,"Totale aggregato",Dati!$P$2:$P$1216,"Nessuna",Dati!$V$2:$V$1216,"Consuntivo",Dati!$N$2:$N$1216,"Mercato domestico"),_xlfn.MAXIFS(Dati!$U$2:$U$1216,Dati!$C$2:$C$1216,$A29,Dati!$O$2:$O$1216,"Totale aggregato",Dati!$P$2:$P$1216,"Nessuna",Dati!$V$2:$V$1216,"Consuntivo",Dati!$N$2:$N$1216,"Spesa o budget delle organizzazioni")))</f>
        <v>2025</v>
      </c>
      <c r="N29" s="22" t="n">
        <f aca="false">IF(P29=0,"",MIN(IF(COUNTIFS(Dati!$C$2:$C$1216,$A29,Dati!$O$2:$O$1216,"Totale aggregato",Dati!$P$2:$P$1216,"Nessuna",Dati!$V$2:$V$1216,"Consuntivo",Dati!$U$2:$U$1216,M29,Dati!$N$2:$N$1216,"Mercato domestico")&gt;0,_xlfn.MINIFS(Dati!$X$2:$X$1216,Dati!$C$2:$C$1216,$A29,Dati!$O$2:$O$1216,"Totale aggregato",Dati!$P$2:$P$1216,"Nessuna",Dati!$V$2:$V$1216,"Consuntivo",Dati!$U$2:$U$1216,M29,Dati!$N$2:$N$1216,"Mercato domestico"),1E+099),IF(COUNTIFS(Dati!$C$2:$C$1216,$A29,Dati!$O$2:$O$1216,"Totale aggregato",Dati!$P$2:$P$1216,"Nessuna",Dati!$V$2:$V$1216,"Consuntivo",Dati!$U$2:$U$1216,M29,Dati!$N$2:$N$1216,"Spesa o budget delle organizzazioni")&gt;0,_xlfn.MINIFS(Dati!$X$2:$X$1216,Dati!$C$2:$C$1216,$A29,Dati!$O$2:$O$1216,"Totale aggregato",Dati!$P$2:$P$1216,"Nessuna",Dati!$V$2:$V$1216,"Consuntivo",Dati!$U$2:$U$1216,M29,Dati!$N$2:$N$1216,"Spesa o budget delle organizzazioni"),1E+099)))</f>
        <v>10360</v>
      </c>
      <c r="O29" s="22" t="n">
        <f aca="false">IF(P29=0,"",MAX(_xlfn.MAXIFS(Dati!$X$2:$X$1216,Dati!$C$2:$C$1216,$A29,Dati!$O$2:$O$1216,"Totale aggregato",Dati!$P$2:$P$1216,"Nessuna",Dati!$V$2:$V$1216,"Consuntivo",Dati!$U$2:$U$1216,M29,Dati!$N$2:$N$1216,"Mercato domestico"),_xlfn.MAXIFS(Dati!$X$2:$X$1216,Dati!$C$2:$C$1216,$A29,Dati!$O$2:$O$1216,"Totale aggregato",Dati!$P$2:$P$1216,"Nessuna",Dati!$V$2:$V$1216,"Consuntivo",Dati!$U$2:$U$1216,M29,Dati!$N$2:$N$1216,"Spesa o budget delle organizzazioni")))</f>
        <v>15398.2300884956</v>
      </c>
      <c r="P29" s="20" t="n">
        <f aca="false">IF(M29="",0,COUNTIFS(Dati!$C$2:$C$1216,$A29,Dati!$O$2:$O$1216,"Totale aggregato",Dati!$P$2:$P$1216,"Nessuna",Dati!$V$2:$V$1216,"Consuntivo",Dati!$U$2:$U$1216,M29,Dati!$N$2:$N$1216,"Mercato domestico")+COUNTIFS(Dati!$C$2:$C$1216,$A29,Dati!$O$2:$O$1216,"Totale aggregato",Dati!$P$2:$P$1216,"Nessuna",Dati!$V$2:$V$1216,"Consuntivo",Dati!$U$2:$U$1216,M29,Dati!$N$2:$N$1216,"Spesa o budget delle organizzazioni"))</f>
        <v>4</v>
      </c>
      <c r="Q29" s="18" t="s">
        <v>7514</v>
      </c>
    </row>
    <row r="30" customFormat="false" ht="57.45" hidden="false" customHeight="false" outlineLevel="0" collapsed="false">
      <c r="A30" s="12" t="s">
        <v>91</v>
      </c>
      <c r="B30" s="12" t="s">
        <v>92</v>
      </c>
      <c r="C30" s="20" t="n">
        <f aca="false">COUNTIF(Dati!$C$2:$C$1216,$A30)</f>
        <v>108</v>
      </c>
      <c r="D30" s="20" t="n">
        <f aca="false">IF(C30=0,0,SUMPRODUCT((Dati!$C$2:$C$1216=$A30)/COUNTIFS(Dati!$C$2:$C$1216,Dati!$C$2:$C$1216,Dati!$B$2:$B$1216,Dati!$B$2:$B$1216)))</f>
        <v>26</v>
      </c>
      <c r="E30" s="20" t="n">
        <f aca="false">COUNTIFS(Dati!$C$2:$C$1216,$A30,Dati!$AB$2:$AB$1216,"Domanda (end user)")</f>
        <v>56</v>
      </c>
      <c r="F30" s="20" t="n">
        <f aca="false">COUNTIFS(Dati!$C$2:$C$1216,$A30,Dati!$AB$2:$AB$1216,"Offerta (fornitori)")</f>
        <v>0</v>
      </c>
      <c r="G30" s="20" t="n">
        <f aca="false">COUNTIFS(Dati!$C$2:$C$1216,$A30,Dati!$AB$2:$AB$1216,"Misto")</f>
        <v>0</v>
      </c>
      <c r="H30" s="20" t="n">
        <f aca="false">COUNTIFS(Dati!$C$2:$C$1216,$A30,Dati!$AB$2:$AB$1216,"Non determinabile")</f>
        <v>52</v>
      </c>
      <c r="I30" s="20" t="n">
        <f aca="false">COUNTIFS(Dati!$C$2:$C$1216,$A30,Dati!$G$2:$G$1216,"Ente pubblico nazionale")+COUNTIFS(Dati!$C$2:$C$1216,$A30,Dati!$G$2:$G$1216,"Osservatorio o università")</f>
        <v>0</v>
      </c>
      <c r="J30" s="21" t="str">
        <f aca="false">IF(I30&gt;0,"Sì","No")</f>
        <v>No</v>
      </c>
      <c r="K30" s="20" t="n">
        <f aca="false">COUNTIFS(Dati!$C$2:$C$1216,$A30,Dati!$G$2:$G$1216,"Istituzione UE")</f>
        <v>93</v>
      </c>
      <c r="L30" s="20" t="n">
        <f aca="false">IF(COUNTIFS(Dati!$C$2:$C$1216,$A30,Dati!$V$2:$V$1216,"Consuntivo")=0,"",_xlfn.MAXIFS(Dati!$U$2:$U$1216,Dati!$C$2:$C$1216,$A30,Dati!$V$2:$V$1216,"Consuntivo"))</f>
        <v>2025</v>
      </c>
      <c r="M30" s="20" t="n">
        <f aca="false">IF(COUNTIFS(Dati!$C$2:$C$1216,$A30,Dati!$O$2:$O$1216,"Totale aggregato",Dati!$P$2:$P$1216,"Nessuna",Dati!$V$2:$V$1216,"Consuntivo",Dati!$N$2:$N$1216,"Mercato domestico")+COUNTIFS(Dati!$C$2:$C$1216,$A30,Dati!$O$2:$O$1216,"Totale aggregato",Dati!$P$2:$P$1216,"Nessuna",Dati!$V$2:$V$1216,"Consuntivo",Dati!$N$2:$N$1216,"Spesa o budget delle organizzazioni")=0,"",MAX(_xlfn.MAXIFS(Dati!$U$2:$U$1216,Dati!$C$2:$C$1216,$A30,Dati!$O$2:$O$1216,"Totale aggregato",Dati!$P$2:$P$1216,"Nessuna",Dati!$V$2:$V$1216,"Consuntivo",Dati!$N$2:$N$1216,"Mercato domestico"),_xlfn.MAXIFS(Dati!$U$2:$U$1216,Dati!$C$2:$C$1216,$A30,Dati!$O$2:$O$1216,"Totale aggregato",Dati!$P$2:$P$1216,"Nessuna",Dati!$V$2:$V$1216,"Consuntivo",Dati!$N$2:$N$1216,"Spesa o budget delle organizzazioni")))</f>
        <v>2025</v>
      </c>
      <c r="N30" s="22" t="n">
        <f aca="false">IF(P30=0,"",MIN(IF(COUNTIFS(Dati!$C$2:$C$1216,$A30,Dati!$O$2:$O$1216,"Totale aggregato",Dati!$P$2:$P$1216,"Nessuna",Dati!$V$2:$V$1216,"Consuntivo",Dati!$U$2:$U$1216,M30,Dati!$N$2:$N$1216,"Mercato domestico")&gt;0,_xlfn.MINIFS(Dati!$X$2:$X$1216,Dati!$C$2:$C$1216,$A30,Dati!$O$2:$O$1216,"Totale aggregato",Dati!$P$2:$P$1216,"Nessuna",Dati!$V$2:$V$1216,"Consuntivo",Dati!$U$2:$U$1216,M30,Dati!$N$2:$N$1216,"Mercato domestico"),1E+099),IF(COUNTIFS(Dati!$C$2:$C$1216,$A30,Dati!$O$2:$O$1216,"Totale aggregato",Dati!$P$2:$P$1216,"Nessuna",Dati!$V$2:$V$1216,"Consuntivo",Dati!$U$2:$U$1216,M30,Dati!$N$2:$N$1216,"Spesa o budget delle organizzazioni")&gt;0,_xlfn.MINIFS(Dati!$X$2:$X$1216,Dati!$C$2:$C$1216,$A30,Dati!$O$2:$O$1216,"Totale aggregato",Dati!$P$2:$P$1216,"Nessuna",Dati!$V$2:$V$1216,"Consuntivo",Dati!$U$2:$U$1216,M30,Dati!$N$2:$N$1216,"Spesa o budget delle organizzazioni"),1E+099)))</f>
        <v>50000</v>
      </c>
      <c r="O30" s="22" t="n">
        <f aca="false">IF(P30=0,"",MAX(_xlfn.MAXIFS(Dati!$X$2:$X$1216,Dati!$C$2:$C$1216,$A30,Dati!$O$2:$O$1216,"Totale aggregato",Dati!$P$2:$P$1216,"Nessuna",Dati!$V$2:$V$1216,"Consuntivo",Dati!$U$2:$U$1216,M30,Dati!$N$2:$N$1216,"Mercato domestico"),_xlfn.MAXIFS(Dati!$X$2:$X$1216,Dati!$C$2:$C$1216,$A30,Dati!$O$2:$O$1216,"Totale aggregato",Dati!$P$2:$P$1216,"Nessuna",Dati!$V$2:$V$1216,"Consuntivo",Dati!$U$2:$U$1216,M30,Dati!$N$2:$N$1216,"Spesa o budget delle organizzazioni")))</f>
        <v>50000</v>
      </c>
      <c r="P30" s="20" t="n">
        <f aca="false">IF(M30="",0,COUNTIFS(Dati!$C$2:$C$1216,$A30,Dati!$O$2:$O$1216,"Totale aggregato",Dati!$P$2:$P$1216,"Nessuna",Dati!$V$2:$V$1216,"Consuntivo",Dati!$U$2:$U$1216,M30,Dati!$N$2:$N$1216,"Mercato domestico")+COUNTIFS(Dati!$C$2:$C$1216,$A30,Dati!$O$2:$O$1216,"Totale aggregato",Dati!$P$2:$P$1216,"Nessuna",Dati!$V$2:$V$1216,"Consuntivo",Dati!$U$2:$U$1216,M30,Dati!$N$2:$N$1216,"Spesa o budget delle organizzazioni"))</f>
        <v>1</v>
      </c>
      <c r="Q30" s="18" t="s">
        <v>7515</v>
      </c>
    </row>
  </sheetData>
  <autoFilter ref="A1:Q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70"/>
    <col collapsed="false" customWidth="true" hidden="false" outlineLevel="0" max="4" min="4" style="0" width="50"/>
    <col collapsed="false" customWidth="true" hidden="false" outlineLevel="0" max="5" min="5" style="0" width="40"/>
    <col collapsed="false" customWidth="true" hidden="false" outlineLevel="0" max="6" min="6" style="0" width="12"/>
  </cols>
  <sheetData>
    <row r="1" customFormat="false" ht="31.5" hidden="false" customHeight="true" outlineLevel="0" collapsed="false">
      <c r="A1" s="10" t="s">
        <v>63</v>
      </c>
      <c r="B1" s="10" t="s">
        <v>64</v>
      </c>
      <c r="C1" s="10" t="s">
        <v>7516</v>
      </c>
      <c r="D1" s="10" t="s">
        <v>7517</v>
      </c>
      <c r="E1" s="10" t="s">
        <v>7518</v>
      </c>
      <c r="F1" s="10" t="s">
        <v>7519</v>
      </c>
    </row>
    <row r="2" customFormat="false" ht="23.85" hidden="false" customHeight="false" outlineLevel="0" collapsed="false">
      <c r="A2" s="18" t="s">
        <v>91</v>
      </c>
      <c r="B2" s="18" t="s">
        <v>92</v>
      </c>
      <c r="C2" s="18" t="s">
        <v>7520</v>
      </c>
      <c r="D2" s="18" t="s">
        <v>7521</v>
      </c>
      <c r="E2" s="18" t="s">
        <v>7522</v>
      </c>
      <c r="F2" s="18" t="s">
        <v>4</v>
      </c>
    </row>
    <row r="3" customFormat="false" ht="35.05" hidden="false" customHeight="false" outlineLevel="0" collapsed="false">
      <c r="A3" s="18" t="s">
        <v>91</v>
      </c>
      <c r="B3" s="18" t="s">
        <v>92</v>
      </c>
      <c r="C3" s="18" t="s">
        <v>7523</v>
      </c>
      <c r="D3" s="18" t="s">
        <v>7524</v>
      </c>
      <c r="E3" s="18" t="s">
        <v>7525</v>
      </c>
      <c r="F3" s="18" t="s">
        <v>4</v>
      </c>
    </row>
    <row r="4" customFormat="false" ht="35.05" hidden="false" customHeight="false" outlineLevel="0" collapsed="false">
      <c r="A4" s="18" t="s">
        <v>91</v>
      </c>
      <c r="B4" s="18" t="s">
        <v>92</v>
      </c>
      <c r="C4" s="18" t="s">
        <v>7526</v>
      </c>
      <c r="D4" s="18" t="s">
        <v>7527</v>
      </c>
      <c r="E4" s="18" t="s">
        <v>7528</v>
      </c>
      <c r="F4" s="18" t="s">
        <v>4</v>
      </c>
    </row>
    <row r="5" customFormat="false" ht="23.85" hidden="false" customHeight="false" outlineLevel="0" collapsed="false">
      <c r="A5" s="18" t="s">
        <v>91</v>
      </c>
      <c r="B5" s="18" t="s">
        <v>92</v>
      </c>
      <c r="C5" s="18" t="s">
        <v>7529</v>
      </c>
      <c r="D5" s="18" t="s">
        <v>7530</v>
      </c>
      <c r="E5" s="18" t="s">
        <v>7531</v>
      </c>
      <c r="F5" s="18" t="s">
        <v>4</v>
      </c>
    </row>
    <row r="6" customFormat="false" ht="35.05" hidden="false" customHeight="false" outlineLevel="0" collapsed="false">
      <c r="A6" s="18" t="s">
        <v>91</v>
      </c>
      <c r="B6" s="18" t="s">
        <v>92</v>
      </c>
      <c r="C6" s="18" t="s">
        <v>7532</v>
      </c>
      <c r="D6" s="18" t="s">
        <v>7530</v>
      </c>
      <c r="E6" s="18" t="s">
        <v>7533</v>
      </c>
      <c r="F6" s="18" t="s">
        <v>4</v>
      </c>
    </row>
    <row r="7" customFormat="false" ht="23.85" hidden="false" customHeight="false" outlineLevel="0" collapsed="false">
      <c r="A7" s="18" t="s">
        <v>91</v>
      </c>
      <c r="B7" s="18" t="s">
        <v>92</v>
      </c>
      <c r="C7" s="18" t="s">
        <v>7534</v>
      </c>
      <c r="D7" s="18" t="s">
        <v>7535</v>
      </c>
      <c r="E7" s="18" t="s">
        <v>7536</v>
      </c>
      <c r="F7" s="18" t="s">
        <v>4</v>
      </c>
    </row>
    <row r="8" customFormat="false" ht="35.05" hidden="false" customHeight="false" outlineLevel="0" collapsed="false">
      <c r="A8" s="18" t="s">
        <v>91</v>
      </c>
      <c r="B8" s="18" t="s">
        <v>92</v>
      </c>
      <c r="C8" s="18" t="s">
        <v>7537</v>
      </c>
      <c r="D8" s="18" t="s">
        <v>7538</v>
      </c>
      <c r="E8" s="18" t="s">
        <v>7539</v>
      </c>
      <c r="F8" s="18" t="s">
        <v>4</v>
      </c>
    </row>
    <row r="9" customFormat="false" ht="46.25" hidden="false" customHeight="false" outlineLevel="0" collapsed="false">
      <c r="A9" s="18" t="s">
        <v>91</v>
      </c>
      <c r="B9" s="18" t="s">
        <v>92</v>
      </c>
      <c r="C9" s="18" t="s">
        <v>7540</v>
      </c>
      <c r="D9" s="18" t="s">
        <v>7541</v>
      </c>
      <c r="E9" s="18" t="s">
        <v>7542</v>
      </c>
      <c r="F9" s="18" t="s">
        <v>4</v>
      </c>
    </row>
    <row r="10" customFormat="false" ht="35.05" hidden="false" customHeight="false" outlineLevel="0" collapsed="false">
      <c r="A10" s="18" t="s">
        <v>91</v>
      </c>
      <c r="B10" s="18" t="s">
        <v>92</v>
      </c>
      <c r="C10" s="18" t="s">
        <v>7543</v>
      </c>
      <c r="D10" s="18" t="s">
        <v>7544</v>
      </c>
      <c r="E10" s="18" t="s">
        <v>7545</v>
      </c>
      <c r="F10" s="18" t="s">
        <v>4</v>
      </c>
    </row>
    <row r="11" customFormat="false" ht="23.85" hidden="false" customHeight="false" outlineLevel="0" collapsed="false">
      <c r="A11" s="18" t="s">
        <v>91</v>
      </c>
      <c r="B11" s="18" t="s">
        <v>92</v>
      </c>
      <c r="C11" s="18" t="s">
        <v>7546</v>
      </c>
      <c r="D11" s="18" t="s">
        <v>7547</v>
      </c>
      <c r="E11" s="18" t="s">
        <v>7548</v>
      </c>
      <c r="F11" s="18" t="s">
        <v>4</v>
      </c>
    </row>
    <row r="12" customFormat="false" ht="35.05" hidden="false" customHeight="false" outlineLevel="0" collapsed="false">
      <c r="A12" s="18" t="s">
        <v>91</v>
      </c>
      <c r="B12" s="18" t="s">
        <v>92</v>
      </c>
      <c r="C12" s="18" t="s">
        <v>7549</v>
      </c>
      <c r="D12" s="18" t="s">
        <v>7550</v>
      </c>
      <c r="E12" s="18" t="s">
        <v>7551</v>
      </c>
      <c r="F12" s="18" t="s">
        <v>4</v>
      </c>
    </row>
    <row r="13" customFormat="false" ht="35.05" hidden="false" customHeight="false" outlineLevel="0" collapsed="false">
      <c r="A13" s="18" t="s">
        <v>91</v>
      </c>
      <c r="B13" s="18" t="s">
        <v>92</v>
      </c>
      <c r="C13" s="18" t="s">
        <v>7552</v>
      </c>
      <c r="D13" s="18" t="s">
        <v>7530</v>
      </c>
      <c r="E13" s="18" t="s">
        <v>7553</v>
      </c>
      <c r="F13" s="18" t="s">
        <v>4</v>
      </c>
    </row>
    <row r="14" customFormat="false" ht="35.05" hidden="false" customHeight="false" outlineLevel="0" collapsed="false">
      <c r="A14" s="18" t="s">
        <v>91</v>
      </c>
      <c r="B14" s="18" t="s">
        <v>92</v>
      </c>
      <c r="C14" s="18" t="s">
        <v>7554</v>
      </c>
      <c r="D14" s="18" t="s">
        <v>7555</v>
      </c>
      <c r="E14" s="18" t="s">
        <v>7556</v>
      </c>
      <c r="F14" s="18" t="s">
        <v>4</v>
      </c>
    </row>
    <row r="15" customFormat="false" ht="35.05" hidden="false" customHeight="false" outlineLevel="0" collapsed="false">
      <c r="A15" s="18" t="s">
        <v>91</v>
      </c>
      <c r="B15" s="18" t="s">
        <v>92</v>
      </c>
      <c r="C15" s="18" t="s">
        <v>7557</v>
      </c>
      <c r="D15" s="18" t="s">
        <v>7558</v>
      </c>
      <c r="E15" s="18" t="s">
        <v>7559</v>
      </c>
      <c r="F15" s="18" t="s">
        <v>4</v>
      </c>
    </row>
    <row r="16" customFormat="false" ht="35.05" hidden="false" customHeight="false" outlineLevel="0" collapsed="false">
      <c r="A16" s="18" t="s">
        <v>658</v>
      </c>
      <c r="B16" s="18" t="s">
        <v>659</v>
      </c>
      <c r="C16" s="18" t="s">
        <v>7560</v>
      </c>
      <c r="D16" s="18" t="s">
        <v>7561</v>
      </c>
      <c r="E16" s="18" t="s">
        <v>7562</v>
      </c>
      <c r="F16" s="18" t="s">
        <v>4</v>
      </c>
    </row>
    <row r="17" customFormat="false" ht="15" hidden="false" customHeight="false" outlineLevel="0" collapsed="false">
      <c r="A17" s="18" t="s">
        <v>757</v>
      </c>
      <c r="B17" s="18" t="s">
        <v>758</v>
      </c>
      <c r="C17" s="18" t="s">
        <v>7563</v>
      </c>
      <c r="D17" s="18" t="s">
        <v>7564</v>
      </c>
      <c r="E17" s="18" t="s">
        <v>7565</v>
      </c>
      <c r="F17" s="18" t="s">
        <v>4</v>
      </c>
    </row>
    <row r="18" customFormat="false" ht="23.85" hidden="false" customHeight="false" outlineLevel="0" collapsed="false">
      <c r="A18" s="18" t="s">
        <v>757</v>
      </c>
      <c r="B18" s="18" t="s">
        <v>758</v>
      </c>
      <c r="C18" s="18" t="s">
        <v>7566</v>
      </c>
      <c r="D18" s="18" t="s">
        <v>7567</v>
      </c>
      <c r="E18" s="18" t="s">
        <v>7568</v>
      </c>
      <c r="F18" s="18" t="s">
        <v>4</v>
      </c>
    </row>
    <row r="19" customFormat="false" ht="23.85" hidden="false" customHeight="false" outlineLevel="0" collapsed="false">
      <c r="A19" s="18" t="s">
        <v>757</v>
      </c>
      <c r="B19" s="18" t="s">
        <v>758</v>
      </c>
      <c r="C19" s="18" t="s">
        <v>7569</v>
      </c>
      <c r="D19" s="18" t="s">
        <v>7570</v>
      </c>
      <c r="E19" s="18" t="s">
        <v>7571</v>
      </c>
      <c r="F19" s="18" t="s">
        <v>4</v>
      </c>
    </row>
    <row r="20" customFormat="false" ht="35.05" hidden="false" customHeight="false" outlineLevel="0" collapsed="false">
      <c r="A20" s="18" t="s">
        <v>757</v>
      </c>
      <c r="B20" s="18" t="s">
        <v>758</v>
      </c>
      <c r="C20" s="18" t="s">
        <v>7572</v>
      </c>
      <c r="D20" s="18" t="s">
        <v>7573</v>
      </c>
      <c r="E20" s="18" t="s">
        <v>7574</v>
      </c>
      <c r="F20" s="18" t="s">
        <v>4</v>
      </c>
    </row>
    <row r="21" customFormat="false" ht="46.25" hidden="false" customHeight="false" outlineLevel="0" collapsed="false">
      <c r="A21" s="18" t="s">
        <v>757</v>
      </c>
      <c r="B21" s="18" t="s">
        <v>758</v>
      </c>
      <c r="C21" s="18" t="s">
        <v>7575</v>
      </c>
      <c r="D21" s="18" t="s">
        <v>7576</v>
      </c>
      <c r="E21" s="18" t="s">
        <v>7577</v>
      </c>
      <c r="F21" s="18" t="s">
        <v>4</v>
      </c>
    </row>
    <row r="22" customFormat="false" ht="15" hidden="false" customHeight="false" outlineLevel="0" collapsed="false">
      <c r="A22" s="18" t="s">
        <v>757</v>
      </c>
      <c r="B22" s="18" t="s">
        <v>758</v>
      </c>
      <c r="C22" s="18" t="s">
        <v>7578</v>
      </c>
      <c r="D22" s="18" t="s">
        <v>7579</v>
      </c>
      <c r="E22" s="18" t="s">
        <v>7580</v>
      </c>
      <c r="F22" s="18" t="s">
        <v>4</v>
      </c>
    </row>
    <row r="23" customFormat="false" ht="23.85" hidden="false" customHeight="false" outlineLevel="0" collapsed="false">
      <c r="A23" s="18" t="s">
        <v>757</v>
      </c>
      <c r="B23" s="18" t="s">
        <v>758</v>
      </c>
      <c r="C23" s="18" t="s">
        <v>7581</v>
      </c>
      <c r="D23" s="18" t="s">
        <v>7582</v>
      </c>
      <c r="E23" s="18" t="s">
        <v>7583</v>
      </c>
      <c r="F23" s="18" t="s">
        <v>4</v>
      </c>
    </row>
    <row r="24" customFormat="false" ht="23.85" hidden="false" customHeight="false" outlineLevel="0" collapsed="false">
      <c r="A24" s="18" t="s">
        <v>948</v>
      </c>
      <c r="B24" s="18" t="s">
        <v>949</v>
      </c>
      <c r="C24" s="18" t="s">
        <v>7584</v>
      </c>
      <c r="D24" s="18" t="s">
        <v>7585</v>
      </c>
      <c r="E24" s="18" t="s">
        <v>7586</v>
      </c>
      <c r="F24" s="18" t="s">
        <v>4</v>
      </c>
    </row>
    <row r="25" customFormat="false" ht="15" hidden="false" customHeight="false" outlineLevel="0" collapsed="false">
      <c r="A25" s="18" t="s">
        <v>948</v>
      </c>
      <c r="B25" s="18" t="s">
        <v>949</v>
      </c>
      <c r="C25" s="18" t="s">
        <v>7587</v>
      </c>
      <c r="D25" s="18" t="s">
        <v>7588</v>
      </c>
      <c r="E25" s="18" t="s">
        <v>7589</v>
      </c>
      <c r="F25" s="18" t="s">
        <v>4</v>
      </c>
    </row>
    <row r="26" customFormat="false" ht="23.85" hidden="false" customHeight="false" outlineLevel="0" collapsed="false">
      <c r="A26" s="18" t="s">
        <v>948</v>
      </c>
      <c r="B26" s="18" t="s">
        <v>949</v>
      </c>
      <c r="C26" s="18" t="s">
        <v>7590</v>
      </c>
      <c r="D26" s="18" t="s">
        <v>7591</v>
      </c>
      <c r="E26" s="18" t="s">
        <v>7592</v>
      </c>
      <c r="F26" s="18" t="s">
        <v>4</v>
      </c>
    </row>
    <row r="27" customFormat="false" ht="15" hidden="false" customHeight="false" outlineLevel="0" collapsed="false">
      <c r="A27" s="18" t="s">
        <v>948</v>
      </c>
      <c r="B27" s="18" t="s">
        <v>949</v>
      </c>
      <c r="C27" s="18" t="s">
        <v>7593</v>
      </c>
      <c r="D27" s="18" t="s">
        <v>7594</v>
      </c>
      <c r="E27" s="18" t="s">
        <v>7595</v>
      </c>
      <c r="F27" s="18" t="s">
        <v>4</v>
      </c>
    </row>
    <row r="28" customFormat="false" ht="23.85" hidden="false" customHeight="false" outlineLevel="0" collapsed="false">
      <c r="A28" s="18" t="s">
        <v>948</v>
      </c>
      <c r="B28" s="18" t="s">
        <v>949</v>
      </c>
      <c r="C28" s="18" t="s">
        <v>7596</v>
      </c>
      <c r="D28" s="18" t="s">
        <v>7597</v>
      </c>
      <c r="E28" s="18" t="s">
        <v>7598</v>
      </c>
      <c r="F28" s="18" t="s">
        <v>4</v>
      </c>
    </row>
    <row r="29" customFormat="false" ht="15" hidden="false" customHeight="false" outlineLevel="0" collapsed="false">
      <c r="A29" s="18" t="s">
        <v>948</v>
      </c>
      <c r="B29" s="18" t="s">
        <v>949</v>
      </c>
      <c r="C29" s="18" t="s">
        <v>7599</v>
      </c>
      <c r="D29" s="18" t="s">
        <v>7600</v>
      </c>
      <c r="E29" s="18" t="s">
        <v>7580</v>
      </c>
      <c r="F29" s="18" t="s">
        <v>4</v>
      </c>
    </row>
    <row r="30" customFormat="false" ht="23.85" hidden="false" customHeight="false" outlineLevel="0" collapsed="false">
      <c r="A30" s="18" t="s">
        <v>1152</v>
      </c>
      <c r="B30" s="18" t="s">
        <v>1153</v>
      </c>
      <c r="C30" s="18" t="s">
        <v>7601</v>
      </c>
      <c r="D30" s="18" t="s">
        <v>7602</v>
      </c>
      <c r="E30" s="18" t="s">
        <v>7603</v>
      </c>
      <c r="F30" s="18" t="s">
        <v>4</v>
      </c>
    </row>
    <row r="31" customFormat="false" ht="15" hidden="false" customHeight="false" outlineLevel="0" collapsed="false">
      <c r="A31" s="18" t="s">
        <v>1152</v>
      </c>
      <c r="B31" s="18" t="s">
        <v>1153</v>
      </c>
      <c r="C31" s="18" t="s">
        <v>7604</v>
      </c>
      <c r="D31" s="18" t="s">
        <v>7605</v>
      </c>
      <c r="E31" s="18" t="s">
        <v>7606</v>
      </c>
      <c r="F31" s="18" t="s">
        <v>4</v>
      </c>
    </row>
    <row r="32" customFormat="false" ht="35.05" hidden="false" customHeight="false" outlineLevel="0" collapsed="false">
      <c r="A32" s="18" t="s">
        <v>1152</v>
      </c>
      <c r="B32" s="18" t="s">
        <v>1153</v>
      </c>
      <c r="C32" s="18" t="s">
        <v>7607</v>
      </c>
      <c r="D32" s="18" t="s">
        <v>7608</v>
      </c>
      <c r="E32" s="18" t="s">
        <v>7609</v>
      </c>
      <c r="F32" s="18" t="s">
        <v>4</v>
      </c>
    </row>
    <row r="33" customFormat="false" ht="35.05" hidden="false" customHeight="false" outlineLevel="0" collapsed="false">
      <c r="A33" s="18" t="s">
        <v>1152</v>
      </c>
      <c r="B33" s="18" t="s">
        <v>1153</v>
      </c>
      <c r="C33" s="18" t="s">
        <v>7610</v>
      </c>
      <c r="D33" s="18" t="s">
        <v>7611</v>
      </c>
      <c r="E33" s="18" t="s">
        <v>7612</v>
      </c>
      <c r="F33" s="18" t="s">
        <v>4</v>
      </c>
    </row>
    <row r="34" customFormat="false" ht="35.05" hidden="false" customHeight="false" outlineLevel="0" collapsed="false">
      <c r="A34" s="18" t="s">
        <v>1260</v>
      </c>
      <c r="B34" s="18" t="s">
        <v>1261</v>
      </c>
      <c r="C34" s="18" t="s">
        <v>7613</v>
      </c>
      <c r="D34" s="18" t="s">
        <v>7614</v>
      </c>
      <c r="E34" s="18" t="s">
        <v>7615</v>
      </c>
      <c r="F34" s="18" t="s">
        <v>4</v>
      </c>
    </row>
    <row r="35" customFormat="false" ht="23.85" hidden="false" customHeight="false" outlineLevel="0" collapsed="false">
      <c r="A35" s="18" t="s">
        <v>1260</v>
      </c>
      <c r="B35" s="18" t="s">
        <v>1261</v>
      </c>
      <c r="C35" s="18" t="s">
        <v>7616</v>
      </c>
      <c r="D35" s="18" t="s">
        <v>7617</v>
      </c>
      <c r="E35" s="18" t="s">
        <v>7618</v>
      </c>
      <c r="F35" s="18" t="s">
        <v>4</v>
      </c>
    </row>
    <row r="36" customFormat="false" ht="15" hidden="false" customHeight="false" outlineLevel="0" collapsed="false">
      <c r="A36" s="18" t="s">
        <v>1260</v>
      </c>
      <c r="B36" s="18" t="s">
        <v>1261</v>
      </c>
      <c r="C36" s="18" t="s">
        <v>7619</v>
      </c>
      <c r="D36" s="18" t="s">
        <v>7620</v>
      </c>
      <c r="E36" s="18" t="s">
        <v>7621</v>
      </c>
      <c r="F36" s="18" t="s">
        <v>4</v>
      </c>
    </row>
    <row r="37" customFormat="false" ht="23.85" hidden="false" customHeight="false" outlineLevel="0" collapsed="false">
      <c r="A37" s="18" t="s">
        <v>1293</v>
      </c>
      <c r="B37" s="18" t="s">
        <v>1294</v>
      </c>
      <c r="C37" s="18" t="s">
        <v>7622</v>
      </c>
      <c r="D37" s="18" t="s">
        <v>7623</v>
      </c>
      <c r="E37" s="18" t="s">
        <v>7589</v>
      </c>
      <c r="F37" s="18" t="s">
        <v>4</v>
      </c>
    </row>
    <row r="38" customFormat="false" ht="35.05" hidden="false" customHeight="false" outlineLevel="0" collapsed="false">
      <c r="A38" s="18" t="s">
        <v>1293</v>
      </c>
      <c r="B38" s="18" t="s">
        <v>1294</v>
      </c>
      <c r="C38" s="18" t="s">
        <v>7624</v>
      </c>
      <c r="D38" s="18" t="s">
        <v>7625</v>
      </c>
      <c r="E38" s="18" t="s">
        <v>7626</v>
      </c>
      <c r="F38" s="18" t="s">
        <v>4</v>
      </c>
    </row>
    <row r="39" customFormat="false" ht="35.05" hidden="false" customHeight="false" outlineLevel="0" collapsed="false">
      <c r="A39" s="18" t="s">
        <v>1293</v>
      </c>
      <c r="B39" s="18" t="s">
        <v>1294</v>
      </c>
      <c r="C39" s="18" t="s">
        <v>7627</v>
      </c>
      <c r="D39" s="18" t="s">
        <v>7628</v>
      </c>
      <c r="E39" s="18" t="s">
        <v>7629</v>
      </c>
      <c r="F39" s="18" t="s">
        <v>4</v>
      </c>
    </row>
    <row r="40" customFormat="false" ht="35.05" hidden="false" customHeight="false" outlineLevel="0" collapsed="false">
      <c r="A40" s="18" t="s">
        <v>1371</v>
      </c>
      <c r="B40" s="18" t="s">
        <v>1372</v>
      </c>
      <c r="C40" s="18" t="s">
        <v>7630</v>
      </c>
      <c r="D40" s="18" t="s">
        <v>7631</v>
      </c>
      <c r="E40" s="18" t="s">
        <v>7632</v>
      </c>
      <c r="F40" s="18" t="s">
        <v>4</v>
      </c>
    </row>
    <row r="41" customFormat="false" ht="23.85" hidden="false" customHeight="false" outlineLevel="0" collapsed="false">
      <c r="A41" s="18" t="s">
        <v>1371</v>
      </c>
      <c r="B41" s="18" t="s">
        <v>1372</v>
      </c>
      <c r="C41" s="18" t="s">
        <v>7633</v>
      </c>
      <c r="D41" s="18" t="s">
        <v>7634</v>
      </c>
      <c r="E41" s="18" t="s">
        <v>7635</v>
      </c>
      <c r="F41" s="18" t="s">
        <v>4</v>
      </c>
    </row>
    <row r="42" customFormat="false" ht="23.85" hidden="false" customHeight="false" outlineLevel="0" collapsed="false">
      <c r="A42" s="18" t="s">
        <v>1371</v>
      </c>
      <c r="B42" s="18" t="s">
        <v>1372</v>
      </c>
      <c r="C42" s="18" t="s">
        <v>7636</v>
      </c>
      <c r="D42" s="18" t="s">
        <v>7637</v>
      </c>
      <c r="E42" s="18" t="s">
        <v>7638</v>
      </c>
      <c r="F42" s="18" t="s">
        <v>4</v>
      </c>
    </row>
    <row r="43" customFormat="false" ht="23.85" hidden="false" customHeight="false" outlineLevel="0" collapsed="false">
      <c r="A43" s="18" t="s">
        <v>1490</v>
      </c>
      <c r="B43" s="18" t="s">
        <v>1491</v>
      </c>
      <c r="C43" s="18" t="s">
        <v>7639</v>
      </c>
      <c r="D43" s="18" t="s">
        <v>7640</v>
      </c>
      <c r="E43" s="18" t="s">
        <v>7641</v>
      </c>
      <c r="F43" s="18" t="s">
        <v>4</v>
      </c>
    </row>
    <row r="44" customFormat="false" ht="23.85" hidden="false" customHeight="false" outlineLevel="0" collapsed="false">
      <c r="A44" s="18" t="s">
        <v>1490</v>
      </c>
      <c r="B44" s="18" t="s">
        <v>1491</v>
      </c>
      <c r="C44" s="18" t="s">
        <v>7642</v>
      </c>
      <c r="D44" s="18" t="s">
        <v>7643</v>
      </c>
      <c r="E44" s="18" t="s">
        <v>7644</v>
      </c>
      <c r="F44" s="18" t="s">
        <v>4</v>
      </c>
    </row>
    <row r="45" customFormat="false" ht="23.85" hidden="false" customHeight="false" outlineLevel="0" collapsed="false">
      <c r="A45" s="18" t="s">
        <v>1556</v>
      </c>
      <c r="B45" s="18" t="s">
        <v>1557</v>
      </c>
      <c r="C45" s="18" t="s">
        <v>7645</v>
      </c>
      <c r="D45" s="18" t="s">
        <v>7646</v>
      </c>
      <c r="E45" s="18" t="s">
        <v>7647</v>
      </c>
      <c r="F45" s="18" t="s">
        <v>4</v>
      </c>
    </row>
    <row r="46" customFormat="false" ht="23.85" hidden="false" customHeight="false" outlineLevel="0" collapsed="false">
      <c r="A46" s="18" t="s">
        <v>1556</v>
      </c>
      <c r="B46" s="18" t="s">
        <v>1557</v>
      </c>
      <c r="C46" s="18" t="s">
        <v>7648</v>
      </c>
      <c r="D46" s="18" t="s">
        <v>7649</v>
      </c>
      <c r="E46" s="18" t="s">
        <v>7650</v>
      </c>
      <c r="F46" s="18" t="s">
        <v>4</v>
      </c>
    </row>
    <row r="47" customFormat="false" ht="15" hidden="false" customHeight="false" outlineLevel="0" collapsed="false">
      <c r="A47" s="18" t="s">
        <v>1556</v>
      </c>
      <c r="B47" s="18" t="s">
        <v>1557</v>
      </c>
      <c r="C47" s="18" t="s">
        <v>7651</v>
      </c>
      <c r="D47" s="18" t="s">
        <v>7652</v>
      </c>
      <c r="E47" s="18" t="s">
        <v>7653</v>
      </c>
      <c r="F47" s="18" t="s">
        <v>4</v>
      </c>
    </row>
    <row r="48" customFormat="false" ht="23.85" hidden="false" customHeight="false" outlineLevel="0" collapsed="false">
      <c r="A48" s="18" t="s">
        <v>1556</v>
      </c>
      <c r="B48" s="18" t="s">
        <v>1557</v>
      </c>
      <c r="C48" s="18" t="s">
        <v>7654</v>
      </c>
      <c r="D48" s="18" t="s">
        <v>7655</v>
      </c>
      <c r="E48" s="18" t="s">
        <v>7656</v>
      </c>
      <c r="F48" s="18" t="s">
        <v>4</v>
      </c>
    </row>
    <row r="49" customFormat="false" ht="57.45" hidden="false" customHeight="false" outlineLevel="0" collapsed="false">
      <c r="A49" s="18" t="s">
        <v>1663</v>
      </c>
      <c r="B49" s="18" t="s">
        <v>1664</v>
      </c>
      <c r="C49" s="18" t="s">
        <v>7657</v>
      </c>
      <c r="D49" s="18" t="s">
        <v>7658</v>
      </c>
      <c r="E49" s="18" t="s">
        <v>7659</v>
      </c>
      <c r="F49" s="18" t="s">
        <v>4</v>
      </c>
    </row>
    <row r="50" customFormat="false" ht="15" hidden="false" customHeight="false" outlineLevel="0" collapsed="false">
      <c r="A50" s="18" t="s">
        <v>1663</v>
      </c>
      <c r="B50" s="18" t="s">
        <v>1664</v>
      </c>
      <c r="C50" s="18" t="s">
        <v>7660</v>
      </c>
      <c r="D50" s="18" t="s">
        <v>7661</v>
      </c>
      <c r="E50" s="18" t="s">
        <v>7662</v>
      </c>
      <c r="F50" s="18" t="s">
        <v>4</v>
      </c>
    </row>
    <row r="51" customFormat="false" ht="23.85" hidden="false" customHeight="false" outlineLevel="0" collapsed="false">
      <c r="A51" s="18" t="s">
        <v>1663</v>
      </c>
      <c r="B51" s="18" t="s">
        <v>1664</v>
      </c>
      <c r="C51" s="18" t="s">
        <v>7663</v>
      </c>
      <c r="D51" s="18" t="s">
        <v>7664</v>
      </c>
      <c r="E51" s="18" t="s">
        <v>7665</v>
      </c>
      <c r="F51" s="18" t="s">
        <v>4</v>
      </c>
    </row>
    <row r="52" customFormat="false" ht="35.05" hidden="false" customHeight="false" outlineLevel="0" collapsed="false">
      <c r="A52" s="18" t="s">
        <v>1663</v>
      </c>
      <c r="B52" s="18" t="s">
        <v>1664</v>
      </c>
      <c r="C52" s="18" t="s">
        <v>7666</v>
      </c>
      <c r="D52" s="18" t="s">
        <v>7667</v>
      </c>
      <c r="E52" s="18" t="s">
        <v>7668</v>
      </c>
      <c r="F52" s="18" t="s">
        <v>4</v>
      </c>
    </row>
    <row r="53" customFormat="false" ht="23.85" hidden="false" customHeight="false" outlineLevel="0" collapsed="false">
      <c r="A53" s="18" t="s">
        <v>1663</v>
      </c>
      <c r="B53" s="18" t="s">
        <v>1664</v>
      </c>
      <c r="C53" s="18" t="s">
        <v>7669</v>
      </c>
      <c r="D53" s="18" t="s">
        <v>7670</v>
      </c>
      <c r="E53" s="18" t="s">
        <v>7671</v>
      </c>
      <c r="F53" s="18" t="s">
        <v>4</v>
      </c>
    </row>
    <row r="54" customFormat="false" ht="23.85" hidden="false" customHeight="false" outlineLevel="0" collapsed="false">
      <c r="A54" s="18" t="s">
        <v>1663</v>
      </c>
      <c r="B54" s="18" t="s">
        <v>1664</v>
      </c>
      <c r="C54" s="18" t="s">
        <v>7672</v>
      </c>
      <c r="D54" s="18" t="s">
        <v>7673</v>
      </c>
      <c r="E54" s="18" t="s">
        <v>7580</v>
      </c>
      <c r="F54" s="18" t="s">
        <v>4</v>
      </c>
    </row>
    <row r="55" customFormat="false" ht="35.05" hidden="false" customHeight="false" outlineLevel="0" collapsed="false">
      <c r="A55" s="18" t="s">
        <v>2125</v>
      </c>
      <c r="B55" s="18" t="s">
        <v>2126</v>
      </c>
      <c r="C55" s="18" t="s">
        <v>7674</v>
      </c>
      <c r="D55" s="18" t="s">
        <v>7675</v>
      </c>
      <c r="E55" s="18" t="s">
        <v>7676</v>
      </c>
      <c r="F55" s="18" t="s">
        <v>4</v>
      </c>
    </row>
    <row r="56" customFormat="false" ht="35.05" hidden="false" customHeight="false" outlineLevel="0" collapsed="false">
      <c r="A56" s="18" t="s">
        <v>2125</v>
      </c>
      <c r="B56" s="18" t="s">
        <v>2126</v>
      </c>
      <c r="C56" s="18" t="s">
        <v>7677</v>
      </c>
      <c r="D56" s="18" t="s">
        <v>7678</v>
      </c>
      <c r="E56" s="18" t="s">
        <v>7679</v>
      </c>
      <c r="F56" s="18" t="s">
        <v>4</v>
      </c>
    </row>
    <row r="57" customFormat="false" ht="46.25" hidden="false" customHeight="false" outlineLevel="0" collapsed="false">
      <c r="A57" s="18" t="s">
        <v>2125</v>
      </c>
      <c r="B57" s="18" t="s">
        <v>2126</v>
      </c>
      <c r="C57" s="18" t="s">
        <v>7680</v>
      </c>
      <c r="D57" s="18" t="s">
        <v>7681</v>
      </c>
      <c r="E57" s="18" t="s">
        <v>7682</v>
      </c>
      <c r="F57" s="18" t="s">
        <v>4</v>
      </c>
    </row>
    <row r="58" customFormat="false" ht="23.85" hidden="false" customHeight="false" outlineLevel="0" collapsed="false">
      <c r="A58" s="18" t="s">
        <v>2125</v>
      </c>
      <c r="B58" s="18" t="s">
        <v>2126</v>
      </c>
      <c r="C58" s="18" t="s">
        <v>7683</v>
      </c>
      <c r="D58" s="18" t="s">
        <v>7684</v>
      </c>
      <c r="E58" s="18" t="s">
        <v>7685</v>
      </c>
      <c r="F58" s="18" t="s">
        <v>4</v>
      </c>
    </row>
    <row r="59" customFormat="false" ht="23.85" hidden="false" customHeight="false" outlineLevel="0" collapsed="false">
      <c r="A59" s="18" t="s">
        <v>2125</v>
      </c>
      <c r="B59" s="18" t="s">
        <v>2126</v>
      </c>
      <c r="C59" s="18" t="s">
        <v>7686</v>
      </c>
      <c r="D59" s="18" t="s">
        <v>7687</v>
      </c>
      <c r="E59" s="18" t="s">
        <v>7688</v>
      </c>
      <c r="F59" s="18" t="s">
        <v>4</v>
      </c>
    </row>
    <row r="60" customFormat="false" ht="23.85" hidden="false" customHeight="false" outlineLevel="0" collapsed="false">
      <c r="A60" s="18" t="s">
        <v>2125</v>
      </c>
      <c r="B60" s="18" t="s">
        <v>2126</v>
      </c>
      <c r="C60" s="18" t="s">
        <v>7689</v>
      </c>
      <c r="D60" s="18" t="s">
        <v>7690</v>
      </c>
      <c r="E60" s="18" t="s">
        <v>7691</v>
      </c>
      <c r="F60" s="18" t="s">
        <v>4</v>
      </c>
    </row>
    <row r="61" customFormat="false" ht="35.05" hidden="false" customHeight="false" outlineLevel="0" collapsed="false">
      <c r="A61" s="18" t="s">
        <v>2125</v>
      </c>
      <c r="B61" s="18" t="s">
        <v>2126</v>
      </c>
      <c r="C61" s="18" t="s">
        <v>7692</v>
      </c>
      <c r="D61" s="18" t="s">
        <v>7693</v>
      </c>
      <c r="E61" s="18" t="s">
        <v>7694</v>
      </c>
      <c r="F61" s="18" t="s">
        <v>4</v>
      </c>
    </row>
    <row r="62" customFormat="false" ht="23.85" hidden="false" customHeight="false" outlineLevel="0" collapsed="false">
      <c r="A62" s="18" t="s">
        <v>2125</v>
      </c>
      <c r="B62" s="18" t="s">
        <v>2126</v>
      </c>
      <c r="C62" s="18" t="s">
        <v>7695</v>
      </c>
      <c r="D62" s="18" t="s">
        <v>7696</v>
      </c>
      <c r="E62" s="18" t="s">
        <v>7697</v>
      </c>
      <c r="F62" s="18" t="s">
        <v>4</v>
      </c>
    </row>
    <row r="63" customFormat="false" ht="35.05" hidden="false" customHeight="false" outlineLevel="0" collapsed="false">
      <c r="A63" s="18" t="s">
        <v>2125</v>
      </c>
      <c r="B63" s="18" t="s">
        <v>2126</v>
      </c>
      <c r="C63" s="18" t="s">
        <v>7698</v>
      </c>
      <c r="D63" s="18" t="s">
        <v>7699</v>
      </c>
      <c r="E63" s="18" t="s">
        <v>7700</v>
      </c>
      <c r="F63" s="18" t="s">
        <v>4</v>
      </c>
    </row>
    <row r="64" customFormat="false" ht="35.05" hidden="false" customHeight="false" outlineLevel="0" collapsed="false">
      <c r="A64" s="18" t="s">
        <v>2125</v>
      </c>
      <c r="B64" s="18" t="s">
        <v>2126</v>
      </c>
      <c r="C64" s="18" t="s">
        <v>7701</v>
      </c>
      <c r="D64" s="18" t="s">
        <v>7702</v>
      </c>
      <c r="E64" s="18" t="s">
        <v>7703</v>
      </c>
      <c r="F64" s="18" t="s">
        <v>4</v>
      </c>
    </row>
    <row r="65" customFormat="false" ht="46.25" hidden="false" customHeight="false" outlineLevel="0" collapsed="false">
      <c r="A65" s="18" t="s">
        <v>2125</v>
      </c>
      <c r="B65" s="18" t="s">
        <v>2126</v>
      </c>
      <c r="C65" s="18" t="s">
        <v>7704</v>
      </c>
      <c r="D65" s="18" t="s">
        <v>7705</v>
      </c>
      <c r="E65" s="18" t="s">
        <v>7706</v>
      </c>
      <c r="F65" s="18" t="s">
        <v>4</v>
      </c>
    </row>
    <row r="66" customFormat="false" ht="15" hidden="false" customHeight="false" outlineLevel="0" collapsed="false">
      <c r="A66" s="18" t="s">
        <v>2657</v>
      </c>
      <c r="B66" s="18" t="s">
        <v>2658</v>
      </c>
      <c r="C66" s="18" t="s">
        <v>7707</v>
      </c>
      <c r="D66" s="18" t="s">
        <v>7708</v>
      </c>
      <c r="E66" s="18" t="s">
        <v>7709</v>
      </c>
      <c r="F66" s="18" t="s">
        <v>4</v>
      </c>
    </row>
    <row r="67" customFormat="false" ht="23.85" hidden="false" customHeight="false" outlineLevel="0" collapsed="false">
      <c r="A67" s="18" t="s">
        <v>2657</v>
      </c>
      <c r="B67" s="18" t="s">
        <v>2658</v>
      </c>
      <c r="C67" s="18" t="s">
        <v>7710</v>
      </c>
      <c r="D67" s="18" t="s">
        <v>7711</v>
      </c>
      <c r="E67" s="18" t="s">
        <v>7712</v>
      </c>
      <c r="F67" s="18" t="s">
        <v>4</v>
      </c>
    </row>
    <row r="68" customFormat="false" ht="35.05" hidden="false" customHeight="false" outlineLevel="0" collapsed="false">
      <c r="A68" s="18" t="s">
        <v>2657</v>
      </c>
      <c r="B68" s="18" t="s">
        <v>2658</v>
      </c>
      <c r="C68" s="18" t="s">
        <v>7713</v>
      </c>
      <c r="D68" s="18" t="s">
        <v>7714</v>
      </c>
      <c r="E68" s="18" t="s">
        <v>7715</v>
      </c>
      <c r="F68" s="18" t="s">
        <v>4</v>
      </c>
    </row>
    <row r="69" customFormat="false" ht="15" hidden="false" customHeight="false" outlineLevel="0" collapsed="false">
      <c r="A69" s="18" t="s">
        <v>2716</v>
      </c>
      <c r="B69" s="18" t="s">
        <v>2717</v>
      </c>
      <c r="C69" s="18" t="s">
        <v>7716</v>
      </c>
      <c r="D69" s="18" t="s">
        <v>7717</v>
      </c>
      <c r="E69" s="18" t="s">
        <v>7718</v>
      </c>
      <c r="F69" s="18" t="s">
        <v>4</v>
      </c>
    </row>
    <row r="70" customFormat="false" ht="15" hidden="false" customHeight="false" outlineLevel="0" collapsed="false">
      <c r="A70" s="18" t="s">
        <v>2716</v>
      </c>
      <c r="B70" s="18" t="s">
        <v>2717</v>
      </c>
      <c r="C70" s="18" t="s">
        <v>7719</v>
      </c>
      <c r="D70" s="18" t="s">
        <v>7720</v>
      </c>
      <c r="E70" s="18" t="s">
        <v>7721</v>
      </c>
      <c r="F70" s="18" t="s">
        <v>4</v>
      </c>
    </row>
    <row r="71" customFormat="false" ht="15" hidden="false" customHeight="false" outlineLevel="0" collapsed="false">
      <c r="A71" s="18" t="s">
        <v>2716</v>
      </c>
      <c r="B71" s="18" t="s">
        <v>2717</v>
      </c>
      <c r="C71" s="18" t="s">
        <v>7722</v>
      </c>
      <c r="D71" s="18" t="s">
        <v>7723</v>
      </c>
      <c r="E71" s="18" t="s">
        <v>7606</v>
      </c>
      <c r="F71" s="18" t="s">
        <v>4</v>
      </c>
    </row>
    <row r="72" customFormat="false" ht="23.85" hidden="false" customHeight="false" outlineLevel="0" collapsed="false">
      <c r="A72" s="18" t="s">
        <v>2716</v>
      </c>
      <c r="B72" s="18" t="s">
        <v>2717</v>
      </c>
      <c r="C72" s="18" t="s">
        <v>7724</v>
      </c>
      <c r="D72" s="18" t="s">
        <v>7725</v>
      </c>
      <c r="E72" s="18" t="s">
        <v>7726</v>
      </c>
      <c r="F72" s="18" t="s">
        <v>4</v>
      </c>
    </row>
    <row r="73" customFormat="false" ht="23.85" hidden="false" customHeight="false" outlineLevel="0" collapsed="false">
      <c r="A73" s="18" t="s">
        <v>2716</v>
      </c>
      <c r="B73" s="18" t="s">
        <v>2717</v>
      </c>
      <c r="C73" s="18" t="s">
        <v>7727</v>
      </c>
      <c r="D73" s="18" t="s">
        <v>7728</v>
      </c>
      <c r="E73" s="18" t="s">
        <v>7729</v>
      </c>
      <c r="F73" s="18" t="s">
        <v>4</v>
      </c>
    </row>
    <row r="74" customFormat="false" ht="23.85" hidden="false" customHeight="false" outlineLevel="0" collapsed="false">
      <c r="A74" s="18" t="s">
        <v>2850</v>
      </c>
      <c r="B74" s="18" t="s">
        <v>2851</v>
      </c>
      <c r="C74" s="18" t="s">
        <v>7730</v>
      </c>
      <c r="D74" s="18" t="s">
        <v>7731</v>
      </c>
      <c r="E74" s="18" t="s">
        <v>7732</v>
      </c>
      <c r="F74" s="18" t="s">
        <v>4</v>
      </c>
    </row>
    <row r="75" customFormat="false" ht="23.85" hidden="false" customHeight="false" outlineLevel="0" collapsed="false">
      <c r="A75" s="18" t="s">
        <v>2850</v>
      </c>
      <c r="B75" s="18" t="s">
        <v>2851</v>
      </c>
      <c r="C75" s="18" t="s">
        <v>7733</v>
      </c>
      <c r="D75" s="18" t="s">
        <v>7734</v>
      </c>
      <c r="E75" s="18" t="s">
        <v>7735</v>
      </c>
      <c r="F75" s="18" t="s">
        <v>4</v>
      </c>
    </row>
    <row r="76" customFormat="false" ht="35.05" hidden="false" customHeight="false" outlineLevel="0" collapsed="false">
      <c r="A76" s="18" t="s">
        <v>2850</v>
      </c>
      <c r="B76" s="18" t="s">
        <v>2851</v>
      </c>
      <c r="C76" s="18" t="s">
        <v>7736</v>
      </c>
      <c r="D76" s="18" t="s">
        <v>7737</v>
      </c>
      <c r="E76" s="18" t="s">
        <v>7738</v>
      </c>
      <c r="F76" s="18" t="s">
        <v>4</v>
      </c>
    </row>
    <row r="77" customFormat="false" ht="23.85" hidden="false" customHeight="false" outlineLevel="0" collapsed="false">
      <c r="A77" s="18" t="s">
        <v>2850</v>
      </c>
      <c r="B77" s="18" t="s">
        <v>2851</v>
      </c>
      <c r="C77" s="18" t="s">
        <v>7739</v>
      </c>
      <c r="D77" s="18" t="s">
        <v>7740</v>
      </c>
      <c r="E77" s="18" t="s">
        <v>7741</v>
      </c>
      <c r="F77" s="18" t="s">
        <v>4</v>
      </c>
    </row>
    <row r="78" customFormat="false" ht="35.05" hidden="false" customHeight="false" outlineLevel="0" collapsed="false">
      <c r="A78" s="18" t="s">
        <v>2850</v>
      </c>
      <c r="B78" s="18" t="s">
        <v>2851</v>
      </c>
      <c r="C78" s="18" t="s">
        <v>7742</v>
      </c>
      <c r="D78" s="18" t="s">
        <v>7743</v>
      </c>
      <c r="E78" s="18" t="s">
        <v>7744</v>
      </c>
      <c r="F78" s="18" t="s">
        <v>4</v>
      </c>
    </row>
    <row r="79" customFormat="false" ht="23.85" hidden="false" customHeight="false" outlineLevel="0" collapsed="false">
      <c r="A79" s="18" t="s">
        <v>2850</v>
      </c>
      <c r="B79" s="18" t="s">
        <v>2851</v>
      </c>
      <c r="C79" s="18" t="s">
        <v>7745</v>
      </c>
      <c r="D79" s="18" t="s">
        <v>7746</v>
      </c>
      <c r="E79" s="18" t="s">
        <v>7747</v>
      </c>
      <c r="F79" s="18" t="s">
        <v>4</v>
      </c>
    </row>
    <row r="80" customFormat="false" ht="23.85" hidden="false" customHeight="false" outlineLevel="0" collapsed="false">
      <c r="A80" s="18" t="s">
        <v>2850</v>
      </c>
      <c r="B80" s="18" t="s">
        <v>2851</v>
      </c>
      <c r="C80" s="18" t="s">
        <v>7748</v>
      </c>
      <c r="D80" s="18" t="s">
        <v>7749</v>
      </c>
      <c r="E80" s="18" t="s">
        <v>7750</v>
      </c>
      <c r="F80" s="18" t="s">
        <v>4</v>
      </c>
    </row>
    <row r="81" customFormat="false" ht="23.85" hidden="false" customHeight="false" outlineLevel="0" collapsed="false">
      <c r="A81" s="18" t="s">
        <v>3612</v>
      </c>
      <c r="B81" s="18" t="s">
        <v>3613</v>
      </c>
      <c r="C81" s="18" t="s">
        <v>7751</v>
      </c>
      <c r="D81" s="18" t="s">
        <v>7752</v>
      </c>
      <c r="E81" s="18" t="s">
        <v>7753</v>
      </c>
      <c r="F81" s="18" t="s">
        <v>4</v>
      </c>
    </row>
    <row r="82" customFormat="false" ht="23.85" hidden="false" customHeight="false" outlineLevel="0" collapsed="false">
      <c r="A82" s="18" t="s">
        <v>3612</v>
      </c>
      <c r="B82" s="18" t="s">
        <v>3613</v>
      </c>
      <c r="C82" s="18" t="s">
        <v>7754</v>
      </c>
      <c r="D82" s="18" t="s">
        <v>7755</v>
      </c>
      <c r="E82" s="18" t="s">
        <v>7756</v>
      </c>
      <c r="F82" s="18" t="s">
        <v>4</v>
      </c>
    </row>
    <row r="83" customFormat="false" ht="23.85" hidden="false" customHeight="false" outlineLevel="0" collapsed="false">
      <c r="A83" s="18" t="s">
        <v>3648</v>
      </c>
      <c r="B83" s="18" t="s">
        <v>3649</v>
      </c>
      <c r="C83" s="18" t="s">
        <v>7757</v>
      </c>
      <c r="D83" s="18" t="s">
        <v>7758</v>
      </c>
      <c r="E83" s="18" t="s">
        <v>7759</v>
      </c>
      <c r="F83" s="18" t="s">
        <v>4</v>
      </c>
    </row>
    <row r="84" customFormat="false" ht="15" hidden="false" customHeight="false" outlineLevel="0" collapsed="false">
      <c r="A84" s="18" t="s">
        <v>3648</v>
      </c>
      <c r="B84" s="18" t="s">
        <v>3649</v>
      </c>
      <c r="C84" s="18" t="s">
        <v>7760</v>
      </c>
      <c r="D84" s="18" t="s">
        <v>7761</v>
      </c>
      <c r="E84" s="18" t="s">
        <v>7721</v>
      </c>
      <c r="F84" s="18" t="s">
        <v>4</v>
      </c>
    </row>
    <row r="85" customFormat="false" ht="23.85" hidden="false" customHeight="false" outlineLevel="0" collapsed="false">
      <c r="A85" s="18" t="s">
        <v>3702</v>
      </c>
      <c r="B85" s="18" t="s">
        <v>3703</v>
      </c>
      <c r="C85" s="18" t="s">
        <v>7762</v>
      </c>
      <c r="D85" s="18" t="s">
        <v>7763</v>
      </c>
      <c r="E85" s="18" t="s">
        <v>7764</v>
      </c>
      <c r="F85" s="18" t="s">
        <v>4</v>
      </c>
    </row>
    <row r="86" customFormat="false" ht="35.05" hidden="false" customHeight="false" outlineLevel="0" collapsed="false">
      <c r="A86" s="18" t="s">
        <v>3702</v>
      </c>
      <c r="B86" s="18" t="s">
        <v>3703</v>
      </c>
      <c r="C86" s="18" t="s">
        <v>7765</v>
      </c>
      <c r="D86" s="18" t="s">
        <v>7766</v>
      </c>
      <c r="E86" s="18" t="s">
        <v>7767</v>
      </c>
      <c r="F86" s="18" t="s">
        <v>4</v>
      </c>
    </row>
    <row r="87" customFormat="false" ht="23.85" hidden="false" customHeight="false" outlineLevel="0" collapsed="false">
      <c r="A87" s="18" t="s">
        <v>3702</v>
      </c>
      <c r="B87" s="18" t="s">
        <v>3703</v>
      </c>
      <c r="C87" s="18" t="s">
        <v>7768</v>
      </c>
      <c r="D87" s="18" t="s">
        <v>7769</v>
      </c>
      <c r="E87" s="18" t="s">
        <v>7770</v>
      </c>
      <c r="F87" s="18" t="s">
        <v>4</v>
      </c>
    </row>
    <row r="88" customFormat="false" ht="35.05" hidden="false" customHeight="false" outlineLevel="0" collapsed="false">
      <c r="A88" s="18" t="s">
        <v>3702</v>
      </c>
      <c r="B88" s="18" t="s">
        <v>3703</v>
      </c>
      <c r="C88" s="18" t="s">
        <v>7771</v>
      </c>
      <c r="D88" s="18" t="s">
        <v>7772</v>
      </c>
      <c r="E88" s="18" t="s">
        <v>7773</v>
      </c>
      <c r="F88" s="18" t="s">
        <v>4</v>
      </c>
    </row>
    <row r="89" customFormat="false" ht="15" hidden="false" customHeight="false" outlineLevel="0" collapsed="false">
      <c r="A89" s="18" t="s">
        <v>3702</v>
      </c>
      <c r="B89" s="18" t="s">
        <v>3703</v>
      </c>
      <c r="C89" s="18" t="s">
        <v>7774</v>
      </c>
      <c r="D89" s="18" t="s">
        <v>7775</v>
      </c>
      <c r="E89" s="18" t="s">
        <v>7776</v>
      </c>
      <c r="F89" s="18" t="s">
        <v>4</v>
      </c>
    </row>
    <row r="90" customFormat="false" ht="15" hidden="false" customHeight="false" outlineLevel="0" collapsed="false">
      <c r="A90" s="18" t="s">
        <v>3702</v>
      </c>
      <c r="B90" s="18" t="s">
        <v>3703</v>
      </c>
      <c r="C90" s="18" t="s">
        <v>7777</v>
      </c>
      <c r="D90" s="18" t="s">
        <v>7778</v>
      </c>
      <c r="E90" s="18" t="s">
        <v>7580</v>
      </c>
      <c r="F90" s="18" t="s">
        <v>4</v>
      </c>
    </row>
    <row r="91" customFormat="false" ht="23.85" hidden="false" customHeight="false" outlineLevel="0" collapsed="false">
      <c r="A91" s="18" t="s">
        <v>3747</v>
      </c>
      <c r="B91" s="18" t="s">
        <v>3748</v>
      </c>
      <c r="C91" s="18" t="s">
        <v>7779</v>
      </c>
      <c r="D91" s="18" t="s">
        <v>7780</v>
      </c>
      <c r="E91" s="18" t="s">
        <v>7781</v>
      </c>
      <c r="F91" s="18" t="s">
        <v>4</v>
      </c>
    </row>
    <row r="92" customFormat="false" ht="23.85" hidden="false" customHeight="false" outlineLevel="0" collapsed="false">
      <c r="A92" s="18" t="s">
        <v>3747</v>
      </c>
      <c r="B92" s="18" t="s">
        <v>3748</v>
      </c>
      <c r="C92" s="18" t="s">
        <v>7782</v>
      </c>
      <c r="D92" s="18" t="s">
        <v>7783</v>
      </c>
      <c r="E92" s="18" t="s">
        <v>7784</v>
      </c>
      <c r="F92" s="18" t="s">
        <v>4</v>
      </c>
    </row>
    <row r="93" customFormat="false" ht="23.85" hidden="false" customHeight="false" outlineLevel="0" collapsed="false">
      <c r="A93" s="18" t="s">
        <v>3747</v>
      </c>
      <c r="B93" s="18" t="s">
        <v>3748</v>
      </c>
      <c r="C93" s="18" t="s">
        <v>7785</v>
      </c>
      <c r="D93" s="18" t="s">
        <v>7786</v>
      </c>
      <c r="E93" s="18" t="s">
        <v>7787</v>
      </c>
      <c r="F93" s="18" t="s">
        <v>4</v>
      </c>
    </row>
    <row r="94" customFormat="false" ht="35.05" hidden="false" customHeight="false" outlineLevel="0" collapsed="false">
      <c r="A94" s="18" t="s">
        <v>3762</v>
      </c>
      <c r="B94" s="18" t="s">
        <v>3763</v>
      </c>
      <c r="C94" s="18" t="s">
        <v>7788</v>
      </c>
      <c r="D94" s="18" t="s">
        <v>7789</v>
      </c>
      <c r="E94" s="18" t="s">
        <v>7790</v>
      </c>
      <c r="F94" s="18" t="s">
        <v>4</v>
      </c>
    </row>
    <row r="95" customFormat="false" ht="23.85" hidden="false" customHeight="false" outlineLevel="0" collapsed="false">
      <c r="A95" s="18" t="s">
        <v>3762</v>
      </c>
      <c r="B95" s="18" t="s">
        <v>3763</v>
      </c>
      <c r="C95" s="18" t="s">
        <v>7791</v>
      </c>
      <c r="D95" s="18" t="s">
        <v>7792</v>
      </c>
      <c r="E95" s="18" t="s">
        <v>7793</v>
      </c>
      <c r="F95" s="18" t="s">
        <v>4</v>
      </c>
    </row>
    <row r="96" customFormat="false" ht="35.05" hidden="false" customHeight="false" outlineLevel="0" collapsed="false">
      <c r="A96" s="18" t="s">
        <v>3762</v>
      </c>
      <c r="B96" s="18" t="s">
        <v>3763</v>
      </c>
      <c r="C96" s="18" t="s">
        <v>7794</v>
      </c>
      <c r="D96" s="18" t="s">
        <v>7795</v>
      </c>
      <c r="E96" s="18" t="s">
        <v>7796</v>
      </c>
      <c r="F96" s="18" t="s">
        <v>4</v>
      </c>
    </row>
    <row r="97" customFormat="false" ht="23.85" hidden="false" customHeight="false" outlineLevel="0" collapsed="false">
      <c r="A97" s="18" t="s">
        <v>3762</v>
      </c>
      <c r="B97" s="18" t="s">
        <v>3763</v>
      </c>
      <c r="C97" s="18" t="s">
        <v>7797</v>
      </c>
      <c r="D97" s="18" t="s">
        <v>7585</v>
      </c>
      <c r="E97" s="18" t="s">
        <v>7798</v>
      </c>
      <c r="F97" s="18" t="s">
        <v>4</v>
      </c>
    </row>
    <row r="98" customFormat="false" ht="35.05" hidden="false" customHeight="false" outlineLevel="0" collapsed="false">
      <c r="A98" s="18" t="s">
        <v>3762</v>
      </c>
      <c r="B98" s="18" t="s">
        <v>3763</v>
      </c>
      <c r="C98" s="18" t="s">
        <v>7799</v>
      </c>
      <c r="D98" s="18" t="s">
        <v>7800</v>
      </c>
      <c r="E98" s="18" t="s">
        <v>7801</v>
      </c>
      <c r="F98" s="18" t="s">
        <v>4</v>
      </c>
    </row>
    <row r="99" customFormat="false" ht="15" hidden="false" customHeight="false" outlineLevel="0" collapsed="false">
      <c r="A99" s="18" t="s">
        <v>3762</v>
      </c>
      <c r="B99" s="18" t="s">
        <v>3763</v>
      </c>
      <c r="C99" s="18" t="s">
        <v>7802</v>
      </c>
      <c r="D99" s="18" t="s">
        <v>7803</v>
      </c>
      <c r="E99" s="18" t="s">
        <v>7580</v>
      </c>
      <c r="F99" s="18" t="s">
        <v>4</v>
      </c>
    </row>
    <row r="100" customFormat="false" ht="23.85" hidden="false" customHeight="false" outlineLevel="0" collapsed="false">
      <c r="A100" s="18" t="s">
        <v>3908</v>
      </c>
      <c r="B100" s="18" t="s">
        <v>3909</v>
      </c>
      <c r="C100" s="18" t="s">
        <v>7804</v>
      </c>
      <c r="D100" s="18" t="s">
        <v>7805</v>
      </c>
      <c r="E100" s="18" t="s">
        <v>7806</v>
      </c>
      <c r="F100" s="18" t="s">
        <v>4</v>
      </c>
    </row>
    <row r="101" customFormat="false" ht="35.05" hidden="false" customHeight="false" outlineLevel="0" collapsed="false">
      <c r="A101" s="18" t="s">
        <v>3908</v>
      </c>
      <c r="B101" s="18" t="s">
        <v>3909</v>
      </c>
      <c r="C101" s="18" t="s">
        <v>7807</v>
      </c>
      <c r="D101" s="18" t="s">
        <v>7808</v>
      </c>
      <c r="E101" s="18" t="s">
        <v>7809</v>
      </c>
      <c r="F101" s="18" t="s">
        <v>4</v>
      </c>
    </row>
    <row r="102" customFormat="false" ht="35.05" hidden="false" customHeight="false" outlineLevel="0" collapsed="false">
      <c r="A102" s="18" t="s">
        <v>3908</v>
      </c>
      <c r="B102" s="18" t="s">
        <v>3909</v>
      </c>
      <c r="C102" s="18" t="s">
        <v>7810</v>
      </c>
      <c r="D102" s="18" t="s">
        <v>7811</v>
      </c>
      <c r="E102" s="18" t="s">
        <v>7812</v>
      </c>
      <c r="F102" s="18" t="s">
        <v>4</v>
      </c>
    </row>
    <row r="103" customFormat="false" ht="23.85" hidden="false" customHeight="false" outlineLevel="0" collapsed="false">
      <c r="A103" s="18" t="s">
        <v>3908</v>
      </c>
      <c r="B103" s="18" t="s">
        <v>3909</v>
      </c>
      <c r="C103" s="18" t="s">
        <v>7813</v>
      </c>
      <c r="D103" s="18" t="s">
        <v>7737</v>
      </c>
      <c r="E103" s="18" t="s">
        <v>7814</v>
      </c>
      <c r="F103" s="18" t="s">
        <v>4</v>
      </c>
    </row>
    <row r="104" customFormat="false" ht="23.85" hidden="false" customHeight="false" outlineLevel="0" collapsed="false">
      <c r="A104" s="18" t="s">
        <v>3908</v>
      </c>
      <c r="B104" s="18" t="s">
        <v>3909</v>
      </c>
      <c r="C104" s="18" t="s">
        <v>7815</v>
      </c>
      <c r="D104" s="18" t="s">
        <v>7816</v>
      </c>
      <c r="E104" s="18" t="s">
        <v>7817</v>
      </c>
      <c r="F104" s="18" t="s">
        <v>4</v>
      </c>
    </row>
    <row r="105" customFormat="false" ht="23.85" hidden="false" customHeight="false" outlineLevel="0" collapsed="false">
      <c r="A105" s="18" t="s">
        <v>4319</v>
      </c>
      <c r="B105" s="18" t="s">
        <v>4320</v>
      </c>
      <c r="C105" s="18" t="s">
        <v>7818</v>
      </c>
      <c r="D105" s="18" t="s">
        <v>7819</v>
      </c>
      <c r="E105" s="18" t="s">
        <v>7820</v>
      </c>
      <c r="F105" s="18" t="s">
        <v>4</v>
      </c>
    </row>
    <row r="106" customFormat="false" ht="23.85" hidden="false" customHeight="false" outlineLevel="0" collapsed="false">
      <c r="A106" s="18" t="s">
        <v>4319</v>
      </c>
      <c r="B106" s="18" t="s">
        <v>4320</v>
      </c>
      <c r="C106" s="18" t="s">
        <v>7821</v>
      </c>
      <c r="D106" s="18" t="s">
        <v>7822</v>
      </c>
      <c r="E106" s="18" t="s">
        <v>7823</v>
      </c>
      <c r="F106" s="18" t="s">
        <v>4</v>
      </c>
    </row>
    <row r="107" customFormat="false" ht="35.05" hidden="false" customHeight="false" outlineLevel="0" collapsed="false">
      <c r="A107" s="18" t="s">
        <v>4319</v>
      </c>
      <c r="B107" s="18" t="s">
        <v>4320</v>
      </c>
      <c r="C107" s="18" t="s">
        <v>7824</v>
      </c>
      <c r="D107" s="18" t="s">
        <v>7825</v>
      </c>
      <c r="E107" s="18" t="s">
        <v>7826</v>
      </c>
      <c r="F107" s="18" t="s">
        <v>4</v>
      </c>
    </row>
    <row r="108" customFormat="false" ht="23.85" hidden="false" customHeight="false" outlineLevel="0" collapsed="false">
      <c r="A108" s="18" t="s">
        <v>4407</v>
      </c>
      <c r="B108" s="18" t="s">
        <v>4408</v>
      </c>
      <c r="C108" s="18" t="s">
        <v>7827</v>
      </c>
      <c r="D108" s="18" t="s">
        <v>7828</v>
      </c>
      <c r="E108" s="18" t="s">
        <v>7829</v>
      </c>
      <c r="F108" s="18" t="s">
        <v>4</v>
      </c>
    </row>
    <row r="109" customFormat="false" ht="23.85" hidden="false" customHeight="false" outlineLevel="0" collapsed="false">
      <c r="A109" s="18" t="s">
        <v>4407</v>
      </c>
      <c r="B109" s="18" t="s">
        <v>4408</v>
      </c>
      <c r="C109" s="18" t="s">
        <v>7830</v>
      </c>
      <c r="D109" s="18" t="s">
        <v>7831</v>
      </c>
      <c r="E109" s="18" t="s">
        <v>7832</v>
      </c>
      <c r="F109" s="18" t="s">
        <v>4</v>
      </c>
    </row>
    <row r="110" customFormat="false" ht="23.85" hidden="false" customHeight="false" outlineLevel="0" collapsed="false">
      <c r="A110" s="18" t="s">
        <v>4407</v>
      </c>
      <c r="B110" s="18" t="s">
        <v>4408</v>
      </c>
      <c r="C110" s="18" t="s">
        <v>7833</v>
      </c>
      <c r="D110" s="18" t="s">
        <v>7834</v>
      </c>
      <c r="E110" s="18" t="s">
        <v>7835</v>
      </c>
      <c r="F110" s="18" t="s">
        <v>4</v>
      </c>
    </row>
    <row r="111" customFormat="false" ht="23.85" hidden="false" customHeight="false" outlineLevel="0" collapsed="false">
      <c r="A111" s="18" t="s">
        <v>4407</v>
      </c>
      <c r="B111" s="18" t="s">
        <v>4408</v>
      </c>
      <c r="C111" s="18" t="s">
        <v>7836</v>
      </c>
      <c r="D111" s="18" t="s">
        <v>7837</v>
      </c>
      <c r="E111" s="18" t="s">
        <v>7838</v>
      </c>
      <c r="F111" s="18" t="s">
        <v>4</v>
      </c>
    </row>
    <row r="112" customFormat="false" ht="23.85" hidden="false" customHeight="false" outlineLevel="0" collapsed="false">
      <c r="A112" s="18" t="s">
        <v>4407</v>
      </c>
      <c r="B112" s="18" t="s">
        <v>4408</v>
      </c>
      <c r="C112" s="18" t="s">
        <v>7839</v>
      </c>
      <c r="D112" s="18" t="s">
        <v>7840</v>
      </c>
      <c r="E112" s="18" t="s">
        <v>7841</v>
      </c>
      <c r="F112" s="18" t="s">
        <v>4</v>
      </c>
    </row>
    <row r="113" customFormat="false" ht="23.85" hidden="false" customHeight="false" outlineLevel="0" collapsed="false">
      <c r="A113" s="18" t="s">
        <v>4615</v>
      </c>
      <c r="B113" s="18" t="s">
        <v>4616</v>
      </c>
      <c r="C113" s="18" t="s">
        <v>7842</v>
      </c>
      <c r="D113" s="18" t="s">
        <v>7843</v>
      </c>
      <c r="E113" s="18" t="s">
        <v>7844</v>
      </c>
      <c r="F113" s="18" t="s">
        <v>4</v>
      </c>
    </row>
    <row r="114" customFormat="false" ht="23.85" hidden="false" customHeight="false" outlineLevel="0" collapsed="false">
      <c r="A114" s="18" t="s">
        <v>4615</v>
      </c>
      <c r="B114" s="18" t="s">
        <v>4616</v>
      </c>
      <c r="C114" s="18" t="s">
        <v>7845</v>
      </c>
      <c r="D114" s="18" t="s">
        <v>7846</v>
      </c>
      <c r="E114" s="18" t="s">
        <v>7847</v>
      </c>
      <c r="F114" s="18" t="s">
        <v>4</v>
      </c>
    </row>
    <row r="115" customFormat="false" ht="23.85" hidden="false" customHeight="false" outlineLevel="0" collapsed="false">
      <c r="A115" s="18" t="s">
        <v>4615</v>
      </c>
      <c r="B115" s="18" t="s">
        <v>4616</v>
      </c>
      <c r="C115" s="18" t="s">
        <v>7848</v>
      </c>
      <c r="D115" s="18" t="s">
        <v>7849</v>
      </c>
      <c r="E115" s="18" t="s">
        <v>7850</v>
      </c>
      <c r="F115" s="18" t="s">
        <v>4</v>
      </c>
    </row>
    <row r="116" customFormat="false" ht="23.85" hidden="false" customHeight="false" outlineLevel="0" collapsed="false">
      <c r="A116" s="18" t="s">
        <v>4615</v>
      </c>
      <c r="B116" s="18" t="s">
        <v>4616</v>
      </c>
      <c r="C116" s="18" t="s">
        <v>7851</v>
      </c>
      <c r="D116" s="18" t="s">
        <v>7852</v>
      </c>
      <c r="E116" s="18" t="s">
        <v>7853</v>
      </c>
      <c r="F116" s="18" t="s">
        <v>4</v>
      </c>
    </row>
    <row r="117" customFormat="false" ht="35.05" hidden="false" customHeight="false" outlineLevel="0" collapsed="false">
      <c r="A117" s="18" t="s">
        <v>4777</v>
      </c>
      <c r="B117" s="18" t="s">
        <v>4778</v>
      </c>
      <c r="C117" s="18" t="s">
        <v>7854</v>
      </c>
      <c r="D117" s="18" t="s">
        <v>7855</v>
      </c>
      <c r="E117" s="18" t="s">
        <v>7856</v>
      </c>
      <c r="F117" s="18" t="s">
        <v>4</v>
      </c>
    </row>
    <row r="118" customFormat="false" ht="23.85" hidden="false" customHeight="false" outlineLevel="0" collapsed="false">
      <c r="A118" s="18" t="s">
        <v>4777</v>
      </c>
      <c r="B118" s="18" t="s">
        <v>4778</v>
      </c>
      <c r="C118" s="18" t="s">
        <v>7857</v>
      </c>
      <c r="D118" s="18" t="s">
        <v>7858</v>
      </c>
      <c r="E118" s="18" t="s">
        <v>7859</v>
      </c>
      <c r="F118" s="18" t="s">
        <v>4</v>
      </c>
    </row>
    <row r="119" customFormat="false" ht="15" hidden="false" customHeight="false" outlineLevel="0" collapsed="false">
      <c r="A119" s="18" t="s">
        <v>4777</v>
      </c>
      <c r="B119" s="18" t="s">
        <v>4778</v>
      </c>
      <c r="C119" s="18" t="s">
        <v>7860</v>
      </c>
      <c r="D119" s="18" t="s">
        <v>7861</v>
      </c>
      <c r="E119" s="18" t="s">
        <v>7721</v>
      </c>
      <c r="F119" s="18" t="s">
        <v>4</v>
      </c>
    </row>
    <row r="120" customFormat="false" ht="35.05" hidden="false" customHeight="false" outlineLevel="0" collapsed="false">
      <c r="A120" s="18" t="s">
        <v>4777</v>
      </c>
      <c r="B120" s="18" t="s">
        <v>4778</v>
      </c>
      <c r="C120" s="18" t="s">
        <v>7862</v>
      </c>
      <c r="D120" s="18" t="s">
        <v>7863</v>
      </c>
      <c r="E120" s="18" t="s">
        <v>7864</v>
      </c>
      <c r="F120" s="18" t="s">
        <v>4</v>
      </c>
    </row>
    <row r="121" customFormat="false" ht="23.85" hidden="false" customHeight="false" outlineLevel="0" collapsed="false">
      <c r="A121" s="18" t="s">
        <v>4873</v>
      </c>
      <c r="B121" s="18" t="s">
        <v>4874</v>
      </c>
      <c r="C121" s="18" t="s">
        <v>7865</v>
      </c>
      <c r="D121" s="18" t="s">
        <v>7866</v>
      </c>
      <c r="E121" s="18" t="s">
        <v>7867</v>
      </c>
      <c r="F121" s="18" t="s">
        <v>4</v>
      </c>
    </row>
    <row r="122" customFormat="false" ht="35.05" hidden="false" customHeight="false" outlineLevel="0" collapsed="false">
      <c r="A122" s="18" t="s">
        <v>4873</v>
      </c>
      <c r="B122" s="18" t="s">
        <v>4874</v>
      </c>
      <c r="C122" s="18" t="s">
        <v>7868</v>
      </c>
      <c r="D122" s="18" t="s">
        <v>7869</v>
      </c>
      <c r="E122" s="18" t="s">
        <v>7870</v>
      </c>
      <c r="F122" s="18" t="s">
        <v>4</v>
      </c>
    </row>
    <row r="123" customFormat="false" ht="15" hidden="false" customHeight="false" outlineLevel="0" collapsed="false">
      <c r="A123" s="18" t="s">
        <v>4873</v>
      </c>
      <c r="B123" s="18" t="s">
        <v>4874</v>
      </c>
      <c r="C123" s="18" t="s">
        <v>7871</v>
      </c>
      <c r="D123" s="18" t="s">
        <v>7872</v>
      </c>
      <c r="E123" s="18" t="s">
        <v>7873</v>
      </c>
      <c r="F123" s="18" t="s">
        <v>4</v>
      </c>
    </row>
    <row r="124" customFormat="false" ht="15" hidden="false" customHeight="false" outlineLevel="0" collapsed="false">
      <c r="A124" s="18" t="s">
        <v>4873</v>
      </c>
      <c r="B124" s="18" t="s">
        <v>4874</v>
      </c>
      <c r="C124" s="18" t="s">
        <v>7874</v>
      </c>
      <c r="D124" s="18" t="s">
        <v>7875</v>
      </c>
      <c r="E124" s="18" t="s">
        <v>7721</v>
      </c>
      <c r="F124" s="18" t="s">
        <v>4</v>
      </c>
    </row>
    <row r="125" customFormat="false" ht="23.85" hidden="false" customHeight="false" outlineLevel="0" collapsed="false">
      <c r="A125" s="18" t="s">
        <v>4873</v>
      </c>
      <c r="B125" s="18" t="s">
        <v>4874</v>
      </c>
      <c r="C125" s="18" t="s">
        <v>7876</v>
      </c>
      <c r="D125" s="18" t="s">
        <v>7877</v>
      </c>
      <c r="E125" s="18" t="s">
        <v>7878</v>
      </c>
      <c r="F125" s="18" t="s">
        <v>4</v>
      </c>
    </row>
    <row r="126" customFormat="false" ht="23.85" hidden="false" customHeight="false" outlineLevel="0" collapsed="false">
      <c r="A126" s="18" t="s">
        <v>4941</v>
      </c>
      <c r="B126" s="18" t="s">
        <v>4942</v>
      </c>
      <c r="C126" s="18" t="s">
        <v>7879</v>
      </c>
      <c r="D126" s="18" t="s">
        <v>7880</v>
      </c>
      <c r="E126" s="18" t="s">
        <v>7881</v>
      </c>
      <c r="F126" s="18" t="s">
        <v>4</v>
      </c>
    </row>
    <row r="127" customFormat="false" ht="46.25" hidden="false" customHeight="false" outlineLevel="0" collapsed="false">
      <c r="A127" s="18" t="s">
        <v>4941</v>
      </c>
      <c r="B127" s="18" t="s">
        <v>4942</v>
      </c>
      <c r="C127" s="18" t="s">
        <v>7882</v>
      </c>
      <c r="D127" s="18" t="s">
        <v>7883</v>
      </c>
      <c r="E127" s="18" t="s">
        <v>7884</v>
      </c>
      <c r="F127" s="18" t="s">
        <v>4</v>
      </c>
    </row>
    <row r="128" customFormat="false" ht="46.25" hidden="false" customHeight="false" outlineLevel="0" collapsed="false">
      <c r="A128" s="18" t="s">
        <v>4941</v>
      </c>
      <c r="B128" s="18" t="s">
        <v>4942</v>
      </c>
      <c r="C128" s="18" t="s">
        <v>7885</v>
      </c>
      <c r="D128" s="18" t="s">
        <v>7886</v>
      </c>
      <c r="E128" s="18" t="s">
        <v>7887</v>
      </c>
      <c r="F128" s="18" t="s">
        <v>4</v>
      </c>
    </row>
    <row r="129" customFormat="false" ht="23.85" hidden="false" customHeight="false" outlineLevel="0" collapsed="false">
      <c r="A129" s="18" t="s">
        <v>4941</v>
      </c>
      <c r="B129" s="18" t="s">
        <v>4942</v>
      </c>
      <c r="C129" s="18" t="s">
        <v>7888</v>
      </c>
      <c r="D129" s="18" t="s">
        <v>7889</v>
      </c>
      <c r="E129" s="18" t="s">
        <v>7890</v>
      </c>
      <c r="F129" s="18" t="s">
        <v>4</v>
      </c>
    </row>
    <row r="130" customFormat="false" ht="46.25" hidden="false" customHeight="false" outlineLevel="0" collapsed="false">
      <c r="A130" s="18" t="s">
        <v>4941</v>
      </c>
      <c r="B130" s="18" t="s">
        <v>4942</v>
      </c>
      <c r="C130" s="18" t="s">
        <v>7891</v>
      </c>
      <c r="D130" s="18" t="s">
        <v>7892</v>
      </c>
      <c r="E130" s="18" t="s">
        <v>7893</v>
      </c>
      <c r="F130" s="18" t="s">
        <v>4</v>
      </c>
    </row>
    <row r="131" customFormat="false" ht="23.85" hidden="false" customHeight="false" outlineLevel="0" collapsed="false">
      <c r="A131" s="18" t="s">
        <v>5161</v>
      </c>
      <c r="B131" s="18" t="s">
        <v>5162</v>
      </c>
      <c r="C131" s="18" t="s">
        <v>7894</v>
      </c>
      <c r="D131" s="18" t="s">
        <v>7895</v>
      </c>
      <c r="E131" s="18" t="s">
        <v>7896</v>
      </c>
      <c r="F131" s="18" t="s">
        <v>4</v>
      </c>
    </row>
    <row r="132" customFormat="false" ht="23.85" hidden="false" customHeight="false" outlineLevel="0" collapsed="false">
      <c r="A132" s="18" t="s">
        <v>5161</v>
      </c>
      <c r="B132" s="18" t="s">
        <v>5162</v>
      </c>
      <c r="C132" s="18" t="s">
        <v>7897</v>
      </c>
      <c r="D132" s="18" t="s">
        <v>7898</v>
      </c>
      <c r="E132" s="18" t="s">
        <v>7899</v>
      </c>
      <c r="F132" s="18" t="s">
        <v>4</v>
      </c>
    </row>
    <row r="133" customFormat="false" ht="23.85" hidden="false" customHeight="false" outlineLevel="0" collapsed="false">
      <c r="A133" s="18" t="s">
        <v>5161</v>
      </c>
      <c r="B133" s="18" t="s">
        <v>5162</v>
      </c>
      <c r="C133" s="18" t="s">
        <v>7900</v>
      </c>
      <c r="D133" s="18" t="s">
        <v>7901</v>
      </c>
      <c r="E133" s="18" t="s">
        <v>7753</v>
      </c>
      <c r="F133" s="18" t="s">
        <v>4</v>
      </c>
    </row>
    <row r="134" customFormat="false" ht="23.85" hidden="false" customHeight="false" outlineLevel="0" collapsed="false">
      <c r="A134" s="18" t="s">
        <v>5161</v>
      </c>
      <c r="B134" s="18" t="s">
        <v>5162</v>
      </c>
      <c r="C134" s="18" t="s">
        <v>7902</v>
      </c>
      <c r="D134" s="18" t="s">
        <v>7903</v>
      </c>
      <c r="E134" s="18" t="s">
        <v>7904</v>
      </c>
      <c r="F134" s="18" t="s">
        <v>4</v>
      </c>
    </row>
    <row r="135" customFormat="false" ht="23.85" hidden="false" customHeight="false" outlineLevel="0" collapsed="false">
      <c r="A135" s="18" t="s">
        <v>5317</v>
      </c>
      <c r="B135" s="18" t="s">
        <v>5318</v>
      </c>
      <c r="C135" s="18" t="s">
        <v>7905</v>
      </c>
      <c r="D135" s="18" t="s">
        <v>7906</v>
      </c>
      <c r="E135" s="18" t="s">
        <v>7907</v>
      </c>
      <c r="F135" s="18" t="s">
        <v>4</v>
      </c>
    </row>
    <row r="136" customFormat="false" ht="35.05" hidden="false" customHeight="false" outlineLevel="0" collapsed="false">
      <c r="A136" s="18" t="s">
        <v>5317</v>
      </c>
      <c r="B136" s="18" t="s">
        <v>5318</v>
      </c>
      <c r="C136" s="18" t="s">
        <v>7908</v>
      </c>
      <c r="D136" s="18" t="s">
        <v>7909</v>
      </c>
      <c r="E136" s="18" t="s">
        <v>7910</v>
      </c>
      <c r="F136" s="18" t="s">
        <v>4</v>
      </c>
    </row>
    <row r="137" customFormat="false" ht="46.25" hidden="false" customHeight="false" outlineLevel="0" collapsed="false">
      <c r="A137" s="18" t="s">
        <v>5317</v>
      </c>
      <c r="B137" s="18" t="s">
        <v>5318</v>
      </c>
      <c r="C137" s="18" t="s">
        <v>7911</v>
      </c>
      <c r="D137" s="18" t="s">
        <v>7912</v>
      </c>
      <c r="E137" s="18" t="s">
        <v>7913</v>
      </c>
      <c r="F137" s="18" t="s">
        <v>4</v>
      </c>
    </row>
    <row r="138" customFormat="false" ht="23.85" hidden="false" customHeight="false" outlineLevel="0" collapsed="false">
      <c r="A138" s="18" t="s">
        <v>5317</v>
      </c>
      <c r="B138" s="18" t="s">
        <v>5318</v>
      </c>
      <c r="C138" s="18" t="s">
        <v>7914</v>
      </c>
      <c r="D138" s="18" t="s">
        <v>7915</v>
      </c>
      <c r="E138" s="18" t="s">
        <v>7916</v>
      </c>
      <c r="F138" s="18" t="s">
        <v>4</v>
      </c>
    </row>
    <row r="139" customFormat="false" ht="23.85" hidden="false" customHeight="false" outlineLevel="0" collapsed="false">
      <c r="A139" s="18" t="s">
        <v>5317</v>
      </c>
      <c r="B139" s="18" t="s">
        <v>5318</v>
      </c>
      <c r="C139" s="18" t="s">
        <v>7917</v>
      </c>
      <c r="D139" s="18" t="s">
        <v>7918</v>
      </c>
      <c r="E139" s="18" t="s">
        <v>7919</v>
      </c>
      <c r="F139" s="18" t="s">
        <v>4</v>
      </c>
    </row>
    <row r="140" customFormat="false" ht="23.85" hidden="false" customHeight="false" outlineLevel="0" collapsed="false">
      <c r="A140" s="18" t="s">
        <v>5397</v>
      </c>
      <c r="B140" s="18" t="s">
        <v>5398</v>
      </c>
      <c r="C140" s="18" t="s">
        <v>7920</v>
      </c>
      <c r="D140" s="18" t="s">
        <v>7921</v>
      </c>
      <c r="E140" s="18" t="s">
        <v>7922</v>
      </c>
      <c r="F140" s="18" t="s">
        <v>4</v>
      </c>
    </row>
    <row r="141" customFormat="false" ht="23.85" hidden="false" customHeight="false" outlineLevel="0" collapsed="false">
      <c r="A141" s="18" t="s">
        <v>5397</v>
      </c>
      <c r="B141" s="18" t="s">
        <v>5398</v>
      </c>
      <c r="C141" s="18" t="s">
        <v>7923</v>
      </c>
      <c r="D141" s="18" t="s">
        <v>7924</v>
      </c>
      <c r="E141" s="18" t="s">
        <v>7925</v>
      </c>
      <c r="F141" s="18" t="s">
        <v>4</v>
      </c>
    </row>
    <row r="142" customFormat="false" ht="23.85" hidden="false" customHeight="false" outlineLevel="0" collapsed="false">
      <c r="A142" s="18" t="s">
        <v>5397</v>
      </c>
      <c r="B142" s="18" t="s">
        <v>5398</v>
      </c>
      <c r="C142" s="18" t="s">
        <v>7926</v>
      </c>
      <c r="D142" s="18" t="s">
        <v>7927</v>
      </c>
      <c r="E142" s="18" t="s">
        <v>7928</v>
      </c>
      <c r="F142" s="18" t="s">
        <v>4</v>
      </c>
    </row>
    <row r="143" customFormat="false" ht="23.85" hidden="false" customHeight="false" outlineLevel="0" collapsed="false">
      <c r="A143" s="18" t="s">
        <v>5397</v>
      </c>
      <c r="B143" s="18" t="s">
        <v>5398</v>
      </c>
      <c r="C143" s="18" t="s">
        <v>7929</v>
      </c>
      <c r="D143" s="18" t="s">
        <v>7930</v>
      </c>
      <c r="E143" s="18" t="s">
        <v>7931</v>
      </c>
      <c r="F143" s="18" t="s">
        <v>4</v>
      </c>
    </row>
    <row r="144" customFormat="false" ht="23.85" hidden="false" customHeight="false" outlineLevel="0" collapsed="false">
      <c r="A144" s="18" t="s">
        <v>5397</v>
      </c>
      <c r="B144" s="18" t="s">
        <v>5398</v>
      </c>
      <c r="C144" s="18" t="s">
        <v>7932</v>
      </c>
      <c r="D144" s="18" t="s">
        <v>7933</v>
      </c>
      <c r="E144" s="18" t="s">
        <v>7934</v>
      </c>
      <c r="F144" s="18" t="s">
        <v>4</v>
      </c>
    </row>
    <row r="145" customFormat="false" ht="35.05" hidden="false" customHeight="false" outlineLevel="0" collapsed="false">
      <c r="A145" s="18" t="s">
        <v>5397</v>
      </c>
      <c r="B145" s="18" t="s">
        <v>5398</v>
      </c>
      <c r="C145" s="18" t="s">
        <v>7935</v>
      </c>
      <c r="D145" s="18" t="s">
        <v>7936</v>
      </c>
      <c r="E145" s="18" t="s">
        <v>7937</v>
      </c>
      <c r="F145" s="18" t="s">
        <v>4</v>
      </c>
    </row>
    <row r="146" customFormat="false" ht="23.85" hidden="false" customHeight="false" outlineLevel="0" collapsed="false">
      <c r="A146" s="18" t="s">
        <v>106</v>
      </c>
      <c r="B146" s="18" t="s">
        <v>5753</v>
      </c>
      <c r="C146" s="18" t="s">
        <v>7938</v>
      </c>
      <c r="D146" s="18" t="s">
        <v>7939</v>
      </c>
      <c r="E146" s="18" t="s">
        <v>7940</v>
      </c>
      <c r="F146" s="18" t="s">
        <v>4</v>
      </c>
    </row>
    <row r="147" customFormat="false" ht="35.05" hidden="false" customHeight="false" outlineLevel="0" collapsed="false">
      <c r="A147" s="18" t="s">
        <v>106</v>
      </c>
      <c r="B147" s="18" t="s">
        <v>5753</v>
      </c>
      <c r="C147" s="18" t="s">
        <v>7941</v>
      </c>
      <c r="D147" s="18" t="s">
        <v>7942</v>
      </c>
      <c r="E147" s="18" t="s">
        <v>7943</v>
      </c>
      <c r="F147" s="18" t="s">
        <v>4</v>
      </c>
    </row>
    <row r="148" customFormat="false" ht="23.85" hidden="false" customHeight="false" outlineLevel="0" collapsed="false">
      <c r="A148" s="18" t="s">
        <v>106</v>
      </c>
      <c r="B148" s="18" t="s">
        <v>5753</v>
      </c>
      <c r="C148" s="18" t="s">
        <v>7944</v>
      </c>
      <c r="D148" s="18" t="s">
        <v>7945</v>
      </c>
      <c r="E148" s="18" t="s">
        <v>7946</v>
      </c>
      <c r="F148" s="18" t="s">
        <v>4</v>
      </c>
    </row>
    <row r="149" customFormat="false" ht="35.05" hidden="false" customHeight="false" outlineLevel="0" collapsed="false">
      <c r="A149" s="18" t="s">
        <v>106</v>
      </c>
      <c r="B149" s="18" t="s">
        <v>5753</v>
      </c>
      <c r="C149" s="18" t="s">
        <v>7947</v>
      </c>
      <c r="D149" s="18" t="s">
        <v>7948</v>
      </c>
      <c r="E149" s="18" t="s">
        <v>7949</v>
      </c>
      <c r="F149" s="18" t="s">
        <v>4</v>
      </c>
    </row>
    <row r="150" customFormat="false" ht="35.05" hidden="false" customHeight="false" outlineLevel="0" collapsed="false">
      <c r="A150" s="18" t="s">
        <v>106</v>
      </c>
      <c r="B150" s="18" t="s">
        <v>5753</v>
      </c>
      <c r="C150" s="18" t="s">
        <v>7950</v>
      </c>
      <c r="D150" s="18" t="s">
        <v>7951</v>
      </c>
      <c r="E150" s="18" t="s">
        <v>7952</v>
      </c>
      <c r="F150" s="18" t="s">
        <v>4</v>
      </c>
    </row>
    <row r="151" customFormat="false" ht="35.05" hidden="false" customHeight="false" outlineLevel="0" collapsed="false">
      <c r="A151" s="18" t="s">
        <v>106</v>
      </c>
      <c r="B151" s="18" t="s">
        <v>5753</v>
      </c>
      <c r="C151" s="18" t="s">
        <v>7953</v>
      </c>
      <c r="D151" s="18" t="s">
        <v>7954</v>
      </c>
      <c r="E151" s="18" t="s">
        <v>7955</v>
      </c>
      <c r="F151" s="18" t="s">
        <v>4</v>
      </c>
    </row>
    <row r="152" customFormat="false" ht="23.85" hidden="false" customHeight="false" outlineLevel="0" collapsed="false">
      <c r="A152" s="18" t="s">
        <v>6365</v>
      </c>
      <c r="B152" s="18" t="s">
        <v>6366</v>
      </c>
      <c r="C152" s="18" t="s">
        <v>7956</v>
      </c>
      <c r="D152" s="18" t="s">
        <v>7957</v>
      </c>
      <c r="E152" s="18" t="s">
        <v>7958</v>
      </c>
      <c r="F152" s="18" t="s">
        <v>4</v>
      </c>
    </row>
    <row r="153" customFormat="false" ht="35.05" hidden="false" customHeight="false" outlineLevel="0" collapsed="false">
      <c r="A153" s="18" t="s">
        <v>6365</v>
      </c>
      <c r="B153" s="18" t="s">
        <v>6366</v>
      </c>
      <c r="C153" s="18" t="s">
        <v>7959</v>
      </c>
      <c r="D153" s="18" t="s">
        <v>7960</v>
      </c>
      <c r="E153" s="18" t="s">
        <v>7961</v>
      </c>
      <c r="F153" s="18" t="s">
        <v>4</v>
      </c>
    </row>
    <row r="154" customFormat="false" ht="35.05" hidden="false" customHeight="false" outlineLevel="0" collapsed="false">
      <c r="A154" s="18" t="s">
        <v>6519</v>
      </c>
      <c r="B154" s="18" t="s">
        <v>6520</v>
      </c>
      <c r="C154" s="18" t="s">
        <v>7962</v>
      </c>
      <c r="D154" s="18" t="s">
        <v>7963</v>
      </c>
      <c r="E154" s="18" t="s">
        <v>7964</v>
      </c>
      <c r="F154" s="18" t="s">
        <v>4</v>
      </c>
    </row>
    <row r="155" customFormat="false" ht="23.85" hidden="false" customHeight="false" outlineLevel="0" collapsed="false">
      <c r="A155" s="18" t="s">
        <v>7965</v>
      </c>
      <c r="B155" s="18" t="s">
        <v>7966</v>
      </c>
      <c r="C155" s="18" t="s">
        <v>7967</v>
      </c>
      <c r="D155" s="18" t="s">
        <v>7968</v>
      </c>
      <c r="E155" s="18" t="s">
        <v>7969</v>
      </c>
      <c r="F155" s="18" t="s">
        <v>4</v>
      </c>
    </row>
    <row r="156" customFormat="false" ht="35.05" hidden="false" customHeight="false" outlineLevel="0" collapsed="false">
      <c r="A156" s="18" t="s">
        <v>6526</v>
      </c>
      <c r="B156" s="18" t="s">
        <v>6526</v>
      </c>
      <c r="C156" s="18" t="s">
        <v>7970</v>
      </c>
      <c r="D156" s="18" t="s">
        <v>7971</v>
      </c>
      <c r="E156" s="18" t="s">
        <v>7972</v>
      </c>
      <c r="F156" s="18" t="s">
        <v>4</v>
      </c>
    </row>
    <row r="157" customFormat="false" ht="35.05" hidden="false" customHeight="false" outlineLevel="0" collapsed="false">
      <c r="A157" s="18" t="s">
        <v>6526</v>
      </c>
      <c r="B157" s="18" t="s">
        <v>6526</v>
      </c>
      <c r="C157" s="18" t="s">
        <v>7973</v>
      </c>
      <c r="D157" s="18" t="s">
        <v>7974</v>
      </c>
      <c r="E157" s="18" t="s">
        <v>7975</v>
      </c>
      <c r="F157" s="18" t="s">
        <v>4</v>
      </c>
    </row>
    <row r="158" customFormat="false" ht="35.05" hidden="false" customHeight="false" outlineLevel="0" collapsed="false">
      <c r="A158" s="18" t="s">
        <v>7976</v>
      </c>
      <c r="B158" s="18" t="s">
        <v>7976</v>
      </c>
      <c r="C158" s="18" t="s">
        <v>7977</v>
      </c>
      <c r="D158" s="18" t="s">
        <v>7978</v>
      </c>
      <c r="E158" s="18" t="s">
        <v>7979</v>
      </c>
      <c r="F158" s="18" t="s">
        <v>4</v>
      </c>
    </row>
    <row r="159" customFormat="false" ht="46.25" hidden="false" customHeight="false" outlineLevel="0" collapsed="false">
      <c r="A159" s="18" t="s">
        <v>7976</v>
      </c>
      <c r="B159" s="18" t="s">
        <v>7976</v>
      </c>
      <c r="C159" s="18" t="s">
        <v>7980</v>
      </c>
      <c r="D159" s="18" t="s">
        <v>7981</v>
      </c>
      <c r="E159" s="18" t="s">
        <v>7982</v>
      </c>
      <c r="F159" s="18" t="s">
        <v>4</v>
      </c>
    </row>
  </sheetData>
  <autoFilter ref="A1:F1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12"/>
    <col collapsed="false" customWidth="true" hidden="false" outlineLevel="0" max="4" min="4" style="0" width="14"/>
    <col collapsed="false" customWidth="true" hidden="false" outlineLevel="0" max="5" min="5" style="0" width="34"/>
    <col collapsed="false" customWidth="true" hidden="false" outlineLevel="0" max="6" min="6" style="0" width="60"/>
    <col collapsed="false" customWidth="true" hidden="false" outlineLevel="0" max="7" min="7" style="0" width="40"/>
    <col collapsed="false" customWidth="true" hidden="false" outlineLevel="0" max="8" min="8" style="0" width="3"/>
    <col collapsed="false" customWidth="true" hidden="false" outlineLevel="0" max="9" min="9" style="0" width="16"/>
    <col collapsed="false" customWidth="true" hidden="false" outlineLevel="0" max="10" min="10" style="0" width="18"/>
  </cols>
  <sheetData>
    <row r="1" customFormat="false" ht="31.5" hidden="false" customHeight="true" outlineLevel="0" collapsed="false">
      <c r="A1" s="10" t="s">
        <v>7983</v>
      </c>
      <c r="B1" s="10" t="s">
        <v>7984</v>
      </c>
      <c r="C1" s="10" t="s">
        <v>7985</v>
      </c>
      <c r="D1" s="10" t="s">
        <v>7986</v>
      </c>
      <c r="E1" s="10" t="s">
        <v>7987</v>
      </c>
      <c r="F1" s="10" t="s">
        <v>70</v>
      </c>
      <c r="G1" s="10" t="s">
        <v>88</v>
      </c>
      <c r="I1" s="23" t="s">
        <v>77</v>
      </c>
      <c r="J1" s="23" t="s">
        <v>7988</v>
      </c>
    </row>
    <row r="2" customFormat="false" ht="15" hidden="false" customHeight="false" outlineLevel="0" collapsed="false">
      <c r="A2" s="24" t="s">
        <v>1162</v>
      </c>
      <c r="B2" s="24" t="n">
        <v>2019</v>
      </c>
      <c r="C2" s="25" t="str">
        <f aca="false">A2&amp;"|"&amp;B2</f>
        <v>BGN|2019</v>
      </c>
      <c r="D2" s="26" t="n">
        <v>1.9558</v>
      </c>
      <c r="E2" s="24" t="s">
        <v>7989</v>
      </c>
      <c r="F2" s="27" t="s">
        <v>7990</v>
      </c>
      <c r="G2" s="24"/>
      <c r="I2" s="24" t="s">
        <v>432</v>
      </c>
      <c r="J2" s="28" t="n">
        <v>1E-006</v>
      </c>
    </row>
    <row r="3" customFormat="false" ht="15" hidden="false" customHeight="false" outlineLevel="0" collapsed="false">
      <c r="A3" s="24" t="s">
        <v>1162</v>
      </c>
      <c r="B3" s="24" t="n">
        <v>2021</v>
      </c>
      <c r="C3" s="25" t="str">
        <f aca="false">A3&amp;"|"&amp;B3</f>
        <v>BGN|2021</v>
      </c>
      <c r="D3" s="26" t="n">
        <v>1.9558</v>
      </c>
      <c r="E3" s="24" t="s">
        <v>7989</v>
      </c>
      <c r="F3" s="27" t="s">
        <v>7991</v>
      </c>
      <c r="G3" s="24"/>
      <c r="I3" s="24" t="s">
        <v>392</v>
      </c>
      <c r="J3" s="28" t="n">
        <v>0.001</v>
      </c>
    </row>
    <row r="4" customFormat="false" ht="15" hidden="false" customHeight="false" outlineLevel="0" collapsed="false">
      <c r="A4" s="24" t="s">
        <v>1162</v>
      </c>
      <c r="B4" s="24" t="n">
        <v>2023</v>
      </c>
      <c r="C4" s="25" t="str">
        <f aca="false">A4&amp;"|"&amp;B4</f>
        <v>BGN|2023</v>
      </c>
      <c r="D4" s="26" t="n">
        <v>1.9558</v>
      </c>
      <c r="E4" s="24" t="s">
        <v>7989</v>
      </c>
      <c r="F4" s="27" t="s">
        <v>7992</v>
      </c>
      <c r="G4" s="24"/>
      <c r="I4" s="24" t="s">
        <v>105</v>
      </c>
      <c r="J4" s="28" t="n">
        <v>1</v>
      </c>
    </row>
    <row r="5" customFormat="false" ht="15" hidden="false" customHeight="false" outlineLevel="0" collapsed="false">
      <c r="A5" s="24" t="s">
        <v>1162</v>
      </c>
      <c r="B5" s="24" t="n">
        <v>2024</v>
      </c>
      <c r="C5" s="25" t="str">
        <f aca="false">A5&amp;"|"&amp;B5</f>
        <v>BGN|2024</v>
      </c>
      <c r="D5" s="26" t="n">
        <v>1.9558</v>
      </c>
      <c r="E5" s="24" t="s">
        <v>7989</v>
      </c>
      <c r="F5" s="27" t="s">
        <v>7993</v>
      </c>
      <c r="G5" s="24"/>
      <c r="I5" s="24" t="s">
        <v>129</v>
      </c>
      <c r="J5" s="28" t="n">
        <v>1000</v>
      </c>
    </row>
    <row r="6" customFormat="false" ht="15" hidden="false" customHeight="false" outlineLevel="0" collapsed="false">
      <c r="A6" s="24" t="s">
        <v>1162</v>
      </c>
      <c r="B6" s="24" t="n">
        <v>2025</v>
      </c>
      <c r="C6" s="25" t="str">
        <f aca="false">A6&amp;"|"&amp;B6</f>
        <v>BGN|2025</v>
      </c>
      <c r="D6" s="26" t="n">
        <v>1.9558</v>
      </c>
      <c r="E6" s="24" t="s">
        <v>7989</v>
      </c>
      <c r="F6" s="27" t="s">
        <v>7993</v>
      </c>
      <c r="G6" s="24"/>
    </row>
    <row r="7" customFormat="false" ht="15" hidden="false" customHeight="false" outlineLevel="0" collapsed="false">
      <c r="A7" s="24" t="s">
        <v>4476</v>
      </c>
      <c r="B7" s="24" t="n">
        <v>2024</v>
      </c>
      <c r="C7" s="25" t="str">
        <f aca="false">A7&amp;"|"&amp;B7</f>
        <v>CZK|2024</v>
      </c>
      <c r="D7" s="26" t="n">
        <v>25.12</v>
      </c>
      <c r="E7" s="24" t="s">
        <v>7989</v>
      </c>
      <c r="F7" s="27" t="s">
        <v>7993</v>
      </c>
      <c r="G7" s="24"/>
      <c r="I7" s="29" t="s">
        <v>7994</v>
      </c>
    </row>
    <row r="8" customFormat="false" ht="15" hidden="false" customHeight="false" outlineLevel="0" collapsed="false">
      <c r="A8" s="24" t="s">
        <v>4476</v>
      </c>
      <c r="B8" s="24" t="n">
        <v>2025</v>
      </c>
      <c r="C8" s="25" t="str">
        <f aca="false">A8&amp;"|"&amp;B8</f>
        <v>CZK|2025</v>
      </c>
      <c r="D8" s="26" t="n">
        <v>24.688</v>
      </c>
      <c r="E8" s="24" t="s">
        <v>7989</v>
      </c>
      <c r="F8" s="27" t="s">
        <v>7993</v>
      </c>
      <c r="G8" s="24"/>
    </row>
    <row r="9" customFormat="false" ht="15" hidden="false" customHeight="false" outlineLevel="0" collapsed="false">
      <c r="A9" s="24" t="s">
        <v>4476</v>
      </c>
      <c r="B9" s="24" t="n">
        <v>2026</v>
      </c>
      <c r="C9" s="25" t="str">
        <f aca="false">A9&amp;"|"&amp;B9</f>
        <v>CZK|2026</v>
      </c>
      <c r="D9" s="30" t="n">
        <f aca="false">D8</f>
        <v>24.688</v>
      </c>
      <c r="E9" s="24" t="s">
        <v>7995</v>
      </c>
      <c r="F9" s="24"/>
      <c r="G9" s="24" t="s">
        <v>7996</v>
      </c>
    </row>
    <row r="10" customFormat="false" ht="15" hidden="false" customHeight="false" outlineLevel="0" collapsed="false">
      <c r="A10" s="24" t="s">
        <v>4476</v>
      </c>
      <c r="B10" s="24" t="n">
        <v>2027</v>
      </c>
      <c r="C10" s="25" t="str">
        <f aca="false">A10&amp;"|"&amp;B10</f>
        <v>CZK|2027</v>
      </c>
      <c r="D10" s="30" t="n">
        <f aca="false">D8</f>
        <v>24.688</v>
      </c>
      <c r="E10" s="24" t="s">
        <v>7995</v>
      </c>
      <c r="F10" s="24"/>
      <c r="G10" s="24" t="s">
        <v>7997</v>
      </c>
    </row>
    <row r="11" customFormat="false" ht="15" hidden="false" customHeight="false" outlineLevel="0" collapsed="false">
      <c r="A11" s="24" t="s">
        <v>1380</v>
      </c>
      <c r="B11" s="24" t="n">
        <v>2019</v>
      </c>
      <c r="C11" s="25" t="str">
        <f aca="false">A11&amp;"|"&amp;B11</f>
        <v>DKK|2019</v>
      </c>
      <c r="D11" s="26" t="n">
        <v>7.4661</v>
      </c>
      <c r="E11" s="24" t="s">
        <v>7989</v>
      </c>
      <c r="F11" s="27" t="s">
        <v>7990</v>
      </c>
      <c r="G11" s="24"/>
    </row>
    <row r="12" customFormat="false" ht="15" hidden="false" customHeight="false" outlineLevel="0" collapsed="false">
      <c r="A12" s="24" t="s">
        <v>1380</v>
      </c>
      <c r="B12" s="24" t="n">
        <v>2023</v>
      </c>
      <c r="C12" s="25" t="str">
        <f aca="false">A12&amp;"|"&amp;B12</f>
        <v>DKK|2023</v>
      </c>
      <c r="D12" s="26" t="n">
        <v>7.4509</v>
      </c>
      <c r="E12" s="24" t="s">
        <v>7989</v>
      </c>
      <c r="F12" s="27" t="s">
        <v>7992</v>
      </c>
      <c r="G12" s="24"/>
    </row>
    <row r="13" customFormat="false" ht="15" hidden="false" customHeight="false" outlineLevel="0" collapsed="false">
      <c r="A13" s="24" t="s">
        <v>1380</v>
      </c>
      <c r="B13" s="24" t="n">
        <v>2024</v>
      </c>
      <c r="C13" s="25" t="str">
        <f aca="false">A13&amp;"|"&amp;B13</f>
        <v>DKK|2024</v>
      </c>
      <c r="D13" s="26" t="n">
        <v>7.4589</v>
      </c>
      <c r="E13" s="24" t="s">
        <v>7989</v>
      </c>
      <c r="F13" s="27" t="s">
        <v>7993</v>
      </c>
      <c r="G13" s="24"/>
    </row>
    <row r="14" customFormat="false" ht="15" hidden="false" customHeight="false" outlineLevel="0" collapsed="false">
      <c r="A14" s="24" t="s">
        <v>1380</v>
      </c>
      <c r="B14" s="24" t="n">
        <v>2025</v>
      </c>
      <c r="C14" s="25" t="str">
        <f aca="false">A14&amp;"|"&amp;B14</f>
        <v>DKK|2025</v>
      </c>
      <c r="D14" s="26" t="n">
        <v>7.4634</v>
      </c>
      <c r="E14" s="24" t="s">
        <v>7989</v>
      </c>
      <c r="F14" s="27" t="s">
        <v>7993</v>
      </c>
      <c r="G14" s="24"/>
    </row>
    <row r="15" customFormat="false" ht="15" hidden="false" customHeight="false" outlineLevel="0" collapsed="false">
      <c r="A15" s="24" t="s">
        <v>1380</v>
      </c>
      <c r="B15" s="24" t="n">
        <v>2026</v>
      </c>
      <c r="C15" s="25" t="str">
        <f aca="false">A15&amp;"|"&amp;B15</f>
        <v>DKK|2026</v>
      </c>
      <c r="D15" s="30" t="n">
        <f aca="false">D14</f>
        <v>7.4634</v>
      </c>
      <c r="E15" s="24" t="s">
        <v>7995</v>
      </c>
      <c r="F15" s="24"/>
      <c r="G15" s="24" t="s">
        <v>7996</v>
      </c>
    </row>
    <row r="16" customFormat="false" ht="15" hidden="false" customHeight="false" outlineLevel="0" collapsed="false">
      <c r="A16" s="24" t="s">
        <v>1380</v>
      </c>
      <c r="B16" s="24" t="n">
        <v>2029</v>
      </c>
      <c r="C16" s="25" t="str">
        <f aca="false">A16&amp;"|"&amp;B16</f>
        <v>DKK|2029</v>
      </c>
      <c r="D16" s="30" t="n">
        <f aca="false">D14</f>
        <v>7.4634</v>
      </c>
      <c r="E16" s="24" t="s">
        <v>7995</v>
      </c>
      <c r="F16" s="24"/>
      <c r="G16" s="24" t="s">
        <v>7998</v>
      </c>
    </row>
    <row r="17" customFormat="false" ht="15" hidden="false" customHeight="false" outlineLevel="0" collapsed="false">
      <c r="A17" s="24" t="s">
        <v>1380</v>
      </c>
      <c r="B17" s="24" t="n">
        <v>2030</v>
      </c>
      <c r="C17" s="25" t="str">
        <f aca="false">A17&amp;"|"&amp;B17</f>
        <v>DKK|2030</v>
      </c>
      <c r="D17" s="30" t="n">
        <f aca="false">D14</f>
        <v>7.4634</v>
      </c>
      <c r="E17" s="24" t="s">
        <v>7995</v>
      </c>
      <c r="F17" s="24"/>
      <c r="G17" s="24" t="s">
        <v>7999</v>
      </c>
    </row>
    <row r="18" customFormat="false" ht="15" hidden="false" customHeight="false" outlineLevel="0" collapsed="false">
      <c r="A18" s="24" t="s">
        <v>5409</v>
      </c>
      <c r="B18" s="24" t="n">
        <v>2015</v>
      </c>
      <c r="C18" s="25" t="str">
        <f aca="false">A18&amp;"|"&amp;B18</f>
        <v>GBP|2015</v>
      </c>
      <c r="D18" s="26" t="n">
        <v>0.72584</v>
      </c>
      <c r="E18" s="24" t="s">
        <v>7989</v>
      </c>
      <c r="F18" s="27" t="s">
        <v>8000</v>
      </c>
      <c r="G18" s="24"/>
    </row>
    <row r="19" customFormat="false" ht="15" hidden="false" customHeight="false" outlineLevel="0" collapsed="false">
      <c r="A19" s="24" t="s">
        <v>5409</v>
      </c>
      <c r="B19" s="24" t="n">
        <v>2016</v>
      </c>
      <c r="C19" s="25" t="str">
        <f aca="false">A19&amp;"|"&amp;B19</f>
        <v>GBP|2016</v>
      </c>
      <c r="D19" s="26" t="n">
        <v>0.81948</v>
      </c>
      <c r="E19" s="24" t="s">
        <v>7989</v>
      </c>
      <c r="F19" s="27" t="s">
        <v>8000</v>
      </c>
      <c r="G19" s="24"/>
    </row>
    <row r="20" customFormat="false" ht="15" hidden="false" customHeight="false" outlineLevel="0" collapsed="false">
      <c r="A20" s="24" t="s">
        <v>5409</v>
      </c>
      <c r="B20" s="24" t="n">
        <v>2017</v>
      </c>
      <c r="C20" s="25" t="str">
        <f aca="false">A20&amp;"|"&amp;B20</f>
        <v>GBP|2017</v>
      </c>
      <c r="D20" s="26" t="n">
        <v>0.87667</v>
      </c>
      <c r="E20" s="24" t="s">
        <v>7989</v>
      </c>
      <c r="F20" s="27" t="s">
        <v>8001</v>
      </c>
      <c r="G20" s="24"/>
    </row>
    <row r="21" customFormat="false" ht="15" hidden="false" customHeight="false" outlineLevel="0" collapsed="false">
      <c r="A21" s="24" t="s">
        <v>5409</v>
      </c>
      <c r="B21" s="24" t="n">
        <v>2018</v>
      </c>
      <c r="C21" s="25" t="str">
        <f aca="false">A21&amp;"|"&amp;B21</f>
        <v>GBP|2018</v>
      </c>
      <c r="D21" s="26" t="n">
        <v>0.88471</v>
      </c>
      <c r="E21" s="24" t="s">
        <v>7989</v>
      </c>
      <c r="F21" s="27" t="s">
        <v>8002</v>
      </c>
      <c r="G21" s="24"/>
    </row>
    <row r="22" customFormat="false" ht="15" hidden="false" customHeight="false" outlineLevel="0" collapsed="false">
      <c r="A22" s="24" t="s">
        <v>5409</v>
      </c>
      <c r="B22" s="24" t="n">
        <v>2019</v>
      </c>
      <c r="C22" s="25" t="str">
        <f aca="false">A22&amp;"|"&amp;B22</f>
        <v>GBP|2019</v>
      </c>
      <c r="D22" s="26" t="n">
        <v>0.87777</v>
      </c>
      <c r="E22" s="24" t="s">
        <v>7989</v>
      </c>
      <c r="F22" s="27" t="s">
        <v>8003</v>
      </c>
      <c r="G22" s="24"/>
    </row>
    <row r="23" customFormat="false" ht="15" hidden="false" customHeight="false" outlineLevel="0" collapsed="false">
      <c r="A23" s="24" t="s">
        <v>5409</v>
      </c>
      <c r="B23" s="24" t="n">
        <v>2020</v>
      </c>
      <c r="C23" s="25" t="str">
        <f aca="false">A23&amp;"|"&amp;B23</f>
        <v>GBP|2020</v>
      </c>
      <c r="D23" s="26" t="n">
        <v>0.8897</v>
      </c>
      <c r="E23" s="24" t="s">
        <v>7989</v>
      </c>
      <c r="F23" s="27" t="s">
        <v>8004</v>
      </c>
      <c r="G23" s="24"/>
    </row>
    <row r="24" customFormat="false" ht="15" hidden="false" customHeight="false" outlineLevel="0" collapsed="false">
      <c r="A24" s="24" t="s">
        <v>5409</v>
      </c>
      <c r="B24" s="24" t="n">
        <v>2021</v>
      </c>
      <c r="C24" s="25" t="str">
        <f aca="false">A24&amp;"|"&amp;B24</f>
        <v>GBP|2021</v>
      </c>
      <c r="D24" s="26" t="n">
        <v>0.8596</v>
      </c>
      <c r="E24" s="24" t="s">
        <v>7989</v>
      </c>
      <c r="F24" s="27" t="s">
        <v>8004</v>
      </c>
      <c r="G24" s="24"/>
    </row>
    <row r="25" customFormat="false" ht="15" hidden="false" customHeight="false" outlineLevel="0" collapsed="false">
      <c r="A25" s="24" t="s">
        <v>5409</v>
      </c>
      <c r="B25" s="24" t="n">
        <v>2022</v>
      </c>
      <c r="C25" s="25" t="str">
        <f aca="false">A25&amp;"|"&amp;B25</f>
        <v>GBP|2022</v>
      </c>
      <c r="D25" s="26" t="n">
        <v>0.85276</v>
      </c>
      <c r="E25" s="24" t="s">
        <v>7989</v>
      </c>
      <c r="F25" s="27" t="s">
        <v>8005</v>
      </c>
      <c r="G25" s="24"/>
    </row>
    <row r="26" customFormat="false" ht="15" hidden="false" customHeight="false" outlineLevel="0" collapsed="false">
      <c r="A26" s="24" t="s">
        <v>5409</v>
      </c>
      <c r="B26" s="24" t="n">
        <v>2023</v>
      </c>
      <c r="C26" s="25" t="str">
        <f aca="false">A26&amp;"|"&amp;B26</f>
        <v>GBP|2023</v>
      </c>
      <c r="D26" s="26" t="n">
        <v>0.86979</v>
      </c>
      <c r="E26" s="24" t="s">
        <v>7989</v>
      </c>
      <c r="F26" s="27" t="s">
        <v>8006</v>
      </c>
      <c r="G26" s="24"/>
    </row>
    <row r="27" customFormat="false" ht="15" hidden="false" customHeight="false" outlineLevel="0" collapsed="false">
      <c r="A27" s="24" t="s">
        <v>5409</v>
      </c>
      <c r="B27" s="24" t="n">
        <v>2024</v>
      </c>
      <c r="C27" s="25" t="str">
        <f aca="false">A27&amp;"|"&amp;B27</f>
        <v>GBP|2024</v>
      </c>
      <c r="D27" s="26" t="n">
        <v>0.84662</v>
      </c>
      <c r="E27" s="24" t="s">
        <v>7989</v>
      </c>
      <c r="F27" s="27" t="s">
        <v>7993</v>
      </c>
      <c r="G27" s="24"/>
    </row>
    <row r="28" customFormat="false" ht="15" hidden="false" customHeight="false" outlineLevel="0" collapsed="false">
      <c r="A28" s="24" t="s">
        <v>5409</v>
      </c>
      <c r="B28" s="24" t="n">
        <v>2025</v>
      </c>
      <c r="C28" s="25" t="str">
        <f aca="false">A28&amp;"|"&amp;B28</f>
        <v>GBP|2025</v>
      </c>
      <c r="D28" s="26" t="n">
        <v>0.85679</v>
      </c>
      <c r="E28" s="24" t="s">
        <v>7989</v>
      </c>
      <c r="F28" s="27" t="s">
        <v>7993</v>
      </c>
      <c r="G28" s="24"/>
    </row>
    <row r="29" customFormat="false" ht="15" hidden="false" customHeight="false" outlineLevel="0" collapsed="false">
      <c r="A29" s="24" t="s">
        <v>5409</v>
      </c>
      <c r="B29" s="24" t="n">
        <v>2026</v>
      </c>
      <c r="C29" s="25" t="str">
        <f aca="false">A29&amp;"|"&amp;B29</f>
        <v>GBP|2026</v>
      </c>
      <c r="D29" s="30" t="n">
        <f aca="false">D28</f>
        <v>0.85679</v>
      </c>
      <c r="E29" s="24" t="s">
        <v>7995</v>
      </c>
      <c r="F29" s="24"/>
      <c r="G29" s="24" t="s">
        <v>7996</v>
      </c>
    </row>
    <row r="30" customFormat="false" ht="15" hidden="false" customHeight="false" outlineLevel="0" collapsed="false">
      <c r="A30" s="24" t="s">
        <v>5409</v>
      </c>
      <c r="B30" s="24" t="n">
        <v>2029</v>
      </c>
      <c r="C30" s="25" t="str">
        <f aca="false">A30&amp;"|"&amp;B30</f>
        <v>GBP|2029</v>
      </c>
      <c r="D30" s="30" t="n">
        <f aca="false">D28</f>
        <v>0.85679</v>
      </c>
      <c r="E30" s="24" t="s">
        <v>7995</v>
      </c>
      <c r="F30" s="24"/>
      <c r="G30" s="24" t="s">
        <v>7998</v>
      </c>
    </row>
    <row r="31" customFormat="false" ht="15" hidden="false" customHeight="false" outlineLevel="0" collapsed="false">
      <c r="A31" s="24" t="s">
        <v>3930</v>
      </c>
      <c r="B31" s="24" t="n">
        <v>2018</v>
      </c>
      <c r="C31" s="25" t="str">
        <f aca="false">A31&amp;"|"&amp;B31</f>
        <v>PLN|2018</v>
      </c>
      <c r="D31" s="26" t="n">
        <v>4.2615</v>
      </c>
      <c r="E31" s="24" t="s">
        <v>7989</v>
      </c>
      <c r="F31" s="27" t="s">
        <v>7990</v>
      </c>
      <c r="G31" s="24"/>
    </row>
    <row r="32" customFormat="false" ht="15" hidden="false" customHeight="false" outlineLevel="0" collapsed="false">
      <c r="A32" s="24" t="s">
        <v>3930</v>
      </c>
      <c r="B32" s="24" t="n">
        <v>2019</v>
      </c>
      <c r="C32" s="25" t="str">
        <f aca="false">A32&amp;"|"&amp;B32</f>
        <v>PLN|2019</v>
      </c>
      <c r="D32" s="26" t="n">
        <v>4.2976</v>
      </c>
      <c r="E32" s="24" t="s">
        <v>7989</v>
      </c>
      <c r="F32" s="27" t="s">
        <v>7990</v>
      </c>
      <c r="G32" s="24"/>
    </row>
    <row r="33" customFormat="false" ht="15" hidden="false" customHeight="false" outlineLevel="0" collapsed="false">
      <c r="A33" s="24" t="s">
        <v>3930</v>
      </c>
      <c r="B33" s="24" t="n">
        <v>2020</v>
      </c>
      <c r="C33" s="25" t="str">
        <f aca="false">A33&amp;"|"&amp;B33</f>
        <v>PLN|2020</v>
      </c>
      <c r="D33" s="26" t="n">
        <v>4.443</v>
      </c>
      <c r="E33" s="24" t="s">
        <v>7989</v>
      </c>
      <c r="F33" s="27" t="s">
        <v>7991</v>
      </c>
      <c r="G33" s="24"/>
    </row>
    <row r="34" customFormat="false" ht="15" hidden="false" customHeight="false" outlineLevel="0" collapsed="false">
      <c r="A34" s="24" t="s">
        <v>3930</v>
      </c>
      <c r="B34" s="24" t="n">
        <v>2021</v>
      </c>
      <c r="C34" s="25" t="str">
        <f aca="false">A34&amp;"|"&amp;B34</f>
        <v>PLN|2021</v>
      </c>
      <c r="D34" s="26" t="n">
        <v>4.5652</v>
      </c>
      <c r="E34" s="24" t="s">
        <v>7989</v>
      </c>
      <c r="F34" s="27" t="s">
        <v>7991</v>
      </c>
      <c r="G34" s="24"/>
    </row>
    <row r="35" customFormat="false" ht="15" hidden="false" customHeight="false" outlineLevel="0" collapsed="false">
      <c r="A35" s="24" t="s">
        <v>3930</v>
      </c>
      <c r="B35" s="24" t="n">
        <v>2022</v>
      </c>
      <c r="C35" s="25" t="str">
        <f aca="false">A35&amp;"|"&amp;B35</f>
        <v>PLN|2022</v>
      </c>
      <c r="D35" s="26" t="n">
        <v>4.6861</v>
      </c>
      <c r="E35" s="24" t="s">
        <v>7989</v>
      </c>
      <c r="F35" s="27" t="s">
        <v>7992</v>
      </c>
      <c r="G35" s="24"/>
    </row>
    <row r="36" customFormat="false" ht="15" hidden="false" customHeight="false" outlineLevel="0" collapsed="false">
      <c r="A36" s="24" t="s">
        <v>3930</v>
      </c>
      <c r="B36" s="24" t="n">
        <v>2023</v>
      </c>
      <c r="C36" s="25" t="str">
        <f aca="false">A36&amp;"|"&amp;B36</f>
        <v>PLN|2023</v>
      </c>
      <c r="D36" s="26" t="n">
        <v>4.542</v>
      </c>
      <c r="E36" s="24" t="s">
        <v>7989</v>
      </c>
      <c r="F36" s="27" t="s">
        <v>7992</v>
      </c>
      <c r="G36" s="24"/>
    </row>
    <row r="37" customFormat="false" ht="15" hidden="false" customHeight="false" outlineLevel="0" collapsed="false">
      <c r="A37" s="24" t="s">
        <v>3930</v>
      </c>
      <c r="B37" s="24" t="n">
        <v>2024</v>
      </c>
      <c r="C37" s="25" t="str">
        <f aca="false">A37&amp;"|"&amp;B37</f>
        <v>PLN|2024</v>
      </c>
      <c r="D37" s="26" t="n">
        <v>4.3058</v>
      </c>
      <c r="E37" s="24" t="s">
        <v>7989</v>
      </c>
      <c r="F37" s="27" t="s">
        <v>7993</v>
      </c>
      <c r="G37" s="24"/>
    </row>
    <row r="38" customFormat="false" ht="15" hidden="false" customHeight="false" outlineLevel="0" collapsed="false">
      <c r="A38" s="24" t="s">
        <v>3930</v>
      </c>
      <c r="B38" s="24" t="n">
        <v>2025</v>
      </c>
      <c r="C38" s="25" t="str">
        <f aca="false">A38&amp;"|"&amp;B38</f>
        <v>PLN|2025</v>
      </c>
      <c r="D38" s="26" t="n">
        <v>4.2397</v>
      </c>
      <c r="E38" s="24" t="s">
        <v>7989</v>
      </c>
      <c r="F38" s="27" t="s">
        <v>7993</v>
      </c>
      <c r="G38" s="24"/>
    </row>
    <row r="39" customFormat="false" ht="15" hidden="false" customHeight="false" outlineLevel="0" collapsed="false">
      <c r="A39" s="24" t="s">
        <v>3930</v>
      </c>
      <c r="B39" s="24" t="n">
        <v>2026</v>
      </c>
      <c r="C39" s="25" t="str">
        <f aca="false">A39&amp;"|"&amp;B39</f>
        <v>PLN|2026</v>
      </c>
      <c r="D39" s="30" t="n">
        <f aca="false">D38</f>
        <v>4.2397</v>
      </c>
      <c r="E39" s="24" t="s">
        <v>7995</v>
      </c>
      <c r="F39" s="24"/>
      <c r="G39" s="24" t="s">
        <v>7996</v>
      </c>
    </row>
    <row r="40" customFormat="false" ht="15" hidden="false" customHeight="false" outlineLevel="0" collapsed="false">
      <c r="A40" s="24" t="s">
        <v>3930</v>
      </c>
      <c r="B40" s="24" t="n">
        <v>2027</v>
      </c>
      <c r="C40" s="25" t="str">
        <f aca="false">A40&amp;"|"&amp;B40</f>
        <v>PLN|2027</v>
      </c>
      <c r="D40" s="30" t="n">
        <f aca="false">D38</f>
        <v>4.2397</v>
      </c>
      <c r="E40" s="24" t="s">
        <v>7995</v>
      </c>
      <c r="F40" s="24"/>
      <c r="G40" s="24" t="s">
        <v>7997</v>
      </c>
    </row>
    <row r="41" customFormat="false" ht="15" hidden="false" customHeight="false" outlineLevel="0" collapsed="false">
      <c r="A41" s="24" t="s">
        <v>3930</v>
      </c>
      <c r="B41" s="24" t="n">
        <v>2028</v>
      </c>
      <c r="C41" s="25" t="str">
        <f aca="false">A41&amp;"|"&amp;B41</f>
        <v>PLN|2028</v>
      </c>
      <c r="D41" s="30" t="n">
        <f aca="false">D38</f>
        <v>4.2397</v>
      </c>
      <c r="E41" s="24" t="s">
        <v>7995</v>
      </c>
      <c r="F41" s="24"/>
      <c r="G41" s="24" t="s">
        <v>8007</v>
      </c>
    </row>
    <row r="42" customFormat="false" ht="15" hidden="false" customHeight="false" outlineLevel="0" collapsed="false">
      <c r="A42" s="24" t="s">
        <v>3930</v>
      </c>
      <c r="B42" s="24" t="n">
        <v>2029</v>
      </c>
      <c r="C42" s="25" t="str">
        <f aca="false">A42&amp;"|"&amp;B42</f>
        <v>PLN|2029</v>
      </c>
      <c r="D42" s="30" t="n">
        <f aca="false">D38</f>
        <v>4.2397</v>
      </c>
      <c r="E42" s="24" t="s">
        <v>7995</v>
      </c>
      <c r="F42" s="24"/>
      <c r="G42" s="24" t="s">
        <v>7998</v>
      </c>
    </row>
    <row r="43" customFormat="false" ht="15" hidden="false" customHeight="false" outlineLevel="0" collapsed="false">
      <c r="A43" s="24" t="s">
        <v>3930</v>
      </c>
      <c r="B43" s="24" t="n">
        <v>2030</v>
      </c>
      <c r="C43" s="25" t="str">
        <f aca="false">A43&amp;"|"&amp;B43</f>
        <v>PLN|2030</v>
      </c>
      <c r="D43" s="30" t="n">
        <f aca="false">D38</f>
        <v>4.2397</v>
      </c>
      <c r="E43" s="24" t="s">
        <v>7995</v>
      </c>
      <c r="F43" s="24"/>
      <c r="G43" s="24" t="s">
        <v>7999</v>
      </c>
    </row>
    <row r="44" customFormat="false" ht="15" hidden="false" customHeight="false" outlineLevel="0" collapsed="false">
      <c r="A44" s="24" t="s">
        <v>3930</v>
      </c>
      <c r="B44" s="24" t="n">
        <v>2031</v>
      </c>
      <c r="C44" s="25" t="str">
        <f aca="false">A44&amp;"|"&amp;B44</f>
        <v>PLN|2031</v>
      </c>
      <c r="D44" s="30" t="n">
        <f aca="false">D38</f>
        <v>4.2397</v>
      </c>
      <c r="E44" s="24" t="s">
        <v>7995</v>
      </c>
      <c r="F44" s="24"/>
      <c r="G44" s="24" t="s">
        <v>8008</v>
      </c>
    </row>
    <row r="45" customFormat="false" ht="15" hidden="false" customHeight="false" outlineLevel="0" collapsed="false">
      <c r="A45" s="24" t="s">
        <v>4665</v>
      </c>
      <c r="B45" s="24" t="n">
        <v>2022</v>
      </c>
      <c r="C45" s="25" t="str">
        <f aca="false">A45&amp;"|"&amp;B45</f>
        <v>RON|2022</v>
      </c>
      <c r="D45" s="26" t="n">
        <v>4.9313</v>
      </c>
      <c r="E45" s="24" t="s">
        <v>7989</v>
      </c>
      <c r="F45" s="27" t="s">
        <v>7992</v>
      </c>
      <c r="G45" s="24"/>
    </row>
    <row r="46" customFormat="false" ht="15" hidden="false" customHeight="false" outlineLevel="0" collapsed="false">
      <c r="A46" s="24" t="s">
        <v>4665</v>
      </c>
      <c r="B46" s="24" t="n">
        <v>2025</v>
      </c>
      <c r="C46" s="25" t="str">
        <f aca="false">A46&amp;"|"&amp;B46</f>
        <v>RON|2025</v>
      </c>
      <c r="D46" s="26" t="n">
        <v>5.0424</v>
      </c>
      <c r="E46" s="24" t="s">
        <v>7989</v>
      </c>
      <c r="F46" s="27" t="s">
        <v>7993</v>
      </c>
      <c r="G46" s="24"/>
    </row>
    <row r="47" customFormat="false" ht="15" hidden="false" customHeight="false" outlineLevel="0" collapsed="false">
      <c r="A47" s="24" t="s">
        <v>4665</v>
      </c>
      <c r="B47" s="24" t="n">
        <v>2026</v>
      </c>
      <c r="C47" s="25" t="str">
        <f aca="false">A47&amp;"|"&amp;B47</f>
        <v>RON|2026</v>
      </c>
      <c r="D47" s="30" t="n">
        <f aca="false">D46</f>
        <v>5.0424</v>
      </c>
      <c r="E47" s="24" t="s">
        <v>7995</v>
      </c>
      <c r="F47" s="24"/>
      <c r="G47" s="24" t="s">
        <v>7996</v>
      </c>
    </row>
    <row r="48" customFormat="false" ht="15" hidden="false" customHeight="false" outlineLevel="0" collapsed="false">
      <c r="A48" s="24" t="s">
        <v>5178</v>
      </c>
      <c r="B48" s="24" t="n">
        <v>2022</v>
      </c>
      <c r="C48" s="25" t="str">
        <f aca="false">A48&amp;"|"&amp;B48</f>
        <v>SEK|2022</v>
      </c>
      <c r="D48" s="26" t="n">
        <v>10.6296</v>
      </c>
      <c r="E48" s="24" t="s">
        <v>7989</v>
      </c>
      <c r="F48" s="27" t="s">
        <v>7992</v>
      </c>
      <c r="G48" s="24"/>
    </row>
    <row r="49" customFormat="false" ht="15" hidden="false" customHeight="false" outlineLevel="0" collapsed="false">
      <c r="A49" s="24" t="s">
        <v>5178</v>
      </c>
      <c r="B49" s="24" t="n">
        <v>2023</v>
      </c>
      <c r="C49" s="25" t="str">
        <f aca="false">A49&amp;"|"&amp;B49</f>
        <v>SEK|2023</v>
      </c>
      <c r="D49" s="26" t="n">
        <v>11.4788</v>
      </c>
      <c r="E49" s="24" t="s">
        <v>7989</v>
      </c>
      <c r="F49" s="27" t="s">
        <v>7992</v>
      </c>
      <c r="G49" s="24"/>
    </row>
    <row r="50" customFormat="false" ht="15" hidden="false" customHeight="false" outlineLevel="0" collapsed="false">
      <c r="A50" s="24" t="s">
        <v>5178</v>
      </c>
      <c r="B50" s="24" t="n">
        <v>2024</v>
      </c>
      <c r="C50" s="25" t="str">
        <f aca="false">A50&amp;"|"&amp;B50</f>
        <v>SEK|2024</v>
      </c>
      <c r="D50" s="26" t="n">
        <v>11.4325</v>
      </c>
      <c r="E50" s="24" t="s">
        <v>7989</v>
      </c>
      <c r="F50" s="27" t="s">
        <v>7993</v>
      </c>
      <c r="G50" s="24"/>
    </row>
    <row r="51" customFormat="false" ht="15" hidden="false" customHeight="false" outlineLevel="0" collapsed="false">
      <c r="A51" s="24" t="s">
        <v>5178</v>
      </c>
      <c r="B51" s="24" t="n">
        <v>2025</v>
      </c>
      <c r="C51" s="25" t="str">
        <f aca="false">A51&amp;"|"&amp;B51</f>
        <v>SEK|2025</v>
      </c>
      <c r="D51" s="26" t="n">
        <v>11.0663</v>
      </c>
      <c r="E51" s="24" t="s">
        <v>7989</v>
      </c>
      <c r="F51" s="27" t="s">
        <v>7993</v>
      </c>
      <c r="G51" s="24"/>
    </row>
    <row r="52" customFormat="false" ht="15" hidden="false" customHeight="false" outlineLevel="0" collapsed="false">
      <c r="A52" s="24" t="s">
        <v>5178</v>
      </c>
      <c r="B52" s="24" t="n">
        <v>2026</v>
      </c>
      <c r="C52" s="25" t="str">
        <f aca="false">A52&amp;"|"&amp;B52</f>
        <v>SEK|2026</v>
      </c>
      <c r="D52" s="30" t="n">
        <f aca="false">D51</f>
        <v>11.0663</v>
      </c>
      <c r="E52" s="24" t="s">
        <v>7995</v>
      </c>
      <c r="F52" s="24"/>
      <c r="G52" s="24" t="s">
        <v>7996</v>
      </c>
    </row>
    <row r="53" customFormat="false" ht="15" hidden="false" customHeight="false" outlineLevel="0" collapsed="false">
      <c r="A53" s="24" t="s">
        <v>5178</v>
      </c>
      <c r="B53" s="24" t="n">
        <v>2027</v>
      </c>
      <c r="C53" s="25" t="str">
        <f aca="false">A53&amp;"|"&amp;B53</f>
        <v>SEK|2027</v>
      </c>
      <c r="D53" s="30" t="n">
        <f aca="false">D51</f>
        <v>11.0663</v>
      </c>
      <c r="E53" s="24" t="s">
        <v>7995</v>
      </c>
      <c r="F53" s="24"/>
      <c r="G53" s="24" t="s">
        <v>7997</v>
      </c>
    </row>
    <row r="54" customFormat="false" ht="15" hidden="false" customHeight="false" outlineLevel="0" collapsed="false">
      <c r="A54" s="24" t="s">
        <v>5178</v>
      </c>
      <c r="B54" s="24" t="n">
        <v>2028</v>
      </c>
      <c r="C54" s="25" t="str">
        <f aca="false">A54&amp;"|"&amp;B54</f>
        <v>SEK|2028</v>
      </c>
      <c r="D54" s="30" t="n">
        <f aca="false">D51</f>
        <v>11.0663</v>
      </c>
      <c r="E54" s="24" t="s">
        <v>7995</v>
      </c>
      <c r="F54" s="24"/>
      <c r="G54" s="24" t="s">
        <v>8007</v>
      </c>
    </row>
    <row r="55" customFormat="false" ht="15" hidden="false" customHeight="false" outlineLevel="0" collapsed="false">
      <c r="A55" s="24" t="s">
        <v>653</v>
      </c>
      <c r="B55" s="24" t="n">
        <v>2015</v>
      </c>
      <c r="C55" s="25" t="str">
        <f aca="false">A55&amp;"|"&amp;B55</f>
        <v>USD|2015</v>
      </c>
      <c r="D55" s="26" t="n">
        <v>1.1095</v>
      </c>
      <c r="E55" s="24" t="s">
        <v>7989</v>
      </c>
      <c r="F55" s="27" t="s">
        <v>8009</v>
      </c>
      <c r="G55" s="24"/>
    </row>
    <row r="56" customFormat="false" ht="15" hidden="false" customHeight="false" outlineLevel="0" collapsed="false">
      <c r="A56" s="24" t="s">
        <v>653</v>
      </c>
      <c r="B56" s="24" t="n">
        <v>2016</v>
      </c>
      <c r="C56" s="25" t="str">
        <f aca="false">A56&amp;"|"&amp;B56</f>
        <v>USD|2016</v>
      </c>
      <c r="D56" s="26" t="n">
        <v>1.1069</v>
      </c>
      <c r="E56" s="24" t="s">
        <v>7989</v>
      </c>
      <c r="F56" s="27" t="s">
        <v>8009</v>
      </c>
      <c r="G56" s="24"/>
    </row>
    <row r="57" customFormat="false" ht="15" hidden="false" customHeight="false" outlineLevel="0" collapsed="false">
      <c r="A57" s="24" t="s">
        <v>653</v>
      </c>
      <c r="B57" s="24" t="n">
        <v>2018</v>
      </c>
      <c r="C57" s="25" t="str">
        <f aca="false">A57&amp;"|"&amp;B57</f>
        <v>USD|2018</v>
      </c>
      <c r="D57" s="26" t="n">
        <v>1.181</v>
      </c>
      <c r="E57" s="24" t="s">
        <v>7989</v>
      </c>
      <c r="F57" s="27" t="s">
        <v>8009</v>
      </c>
      <c r="G57" s="24"/>
    </row>
    <row r="58" customFormat="false" ht="15" hidden="false" customHeight="false" outlineLevel="0" collapsed="false">
      <c r="A58" s="24" t="s">
        <v>653</v>
      </c>
      <c r="B58" s="24" t="n">
        <v>2019</v>
      </c>
      <c r="C58" s="25" t="str">
        <f aca="false">A58&amp;"|"&amp;B58</f>
        <v>USD|2019</v>
      </c>
      <c r="D58" s="26" t="n">
        <v>1.1195</v>
      </c>
      <c r="E58" s="24" t="s">
        <v>7989</v>
      </c>
      <c r="F58" s="27" t="s">
        <v>8009</v>
      </c>
      <c r="G58" s="24"/>
    </row>
    <row r="59" customFormat="false" ht="15" hidden="false" customHeight="false" outlineLevel="0" collapsed="false">
      <c r="A59" s="24" t="s">
        <v>653</v>
      </c>
      <c r="B59" s="24" t="n">
        <v>2020</v>
      </c>
      <c r="C59" s="25" t="str">
        <f aca="false">A59&amp;"|"&amp;B59</f>
        <v>USD|2020</v>
      </c>
      <c r="D59" s="26" t="n">
        <v>1.1422</v>
      </c>
      <c r="E59" s="24" t="s">
        <v>7989</v>
      </c>
      <c r="F59" s="27" t="s">
        <v>8009</v>
      </c>
      <c r="G59" s="24"/>
    </row>
    <row r="60" customFormat="false" ht="15" hidden="false" customHeight="false" outlineLevel="0" collapsed="false">
      <c r="A60" s="24" t="s">
        <v>653</v>
      </c>
      <c r="B60" s="24" t="n">
        <v>2021</v>
      </c>
      <c r="C60" s="25" t="str">
        <f aca="false">A60&amp;"|"&amp;B60</f>
        <v>USD|2021</v>
      </c>
      <c r="D60" s="26" t="n">
        <v>1.1827</v>
      </c>
      <c r="E60" s="24" t="s">
        <v>7989</v>
      </c>
      <c r="F60" s="27" t="s">
        <v>8009</v>
      </c>
      <c r="G60" s="24"/>
    </row>
    <row r="61" customFormat="false" ht="15" hidden="false" customHeight="false" outlineLevel="0" collapsed="false">
      <c r="A61" s="24" t="s">
        <v>653</v>
      </c>
      <c r="B61" s="24" t="n">
        <v>2022</v>
      </c>
      <c r="C61" s="25" t="str">
        <f aca="false">A61&amp;"|"&amp;B61</f>
        <v>USD|2022</v>
      </c>
      <c r="D61" s="26" t="n">
        <v>1.053</v>
      </c>
      <c r="E61" s="24" t="s">
        <v>7989</v>
      </c>
      <c r="F61" s="27" t="s">
        <v>8009</v>
      </c>
      <c r="G61" s="24"/>
    </row>
    <row r="62" customFormat="false" ht="15" hidden="false" customHeight="false" outlineLevel="0" collapsed="false">
      <c r="A62" s="24" t="s">
        <v>653</v>
      </c>
      <c r="B62" s="24" t="n">
        <v>2023</v>
      </c>
      <c r="C62" s="25" t="str">
        <f aca="false">A62&amp;"|"&amp;B62</f>
        <v>USD|2023</v>
      </c>
      <c r="D62" s="26" t="n">
        <v>1.0813</v>
      </c>
      <c r="E62" s="24" t="s">
        <v>7989</v>
      </c>
      <c r="F62" s="27" t="s">
        <v>8010</v>
      </c>
      <c r="G62" s="24"/>
    </row>
    <row r="63" customFormat="false" ht="15" hidden="false" customHeight="false" outlineLevel="0" collapsed="false">
      <c r="A63" s="24" t="s">
        <v>653</v>
      </c>
      <c r="B63" s="24" t="n">
        <v>2024</v>
      </c>
      <c r="C63" s="25" t="str">
        <f aca="false">A63&amp;"|"&amp;B63</f>
        <v>USD|2024</v>
      </c>
      <c r="D63" s="26" t="n">
        <v>1.0824</v>
      </c>
      <c r="E63" s="24" t="s">
        <v>7989</v>
      </c>
      <c r="F63" s="27" t="s">
        <v>8010</v>
      </c>
      <c r="G63" s="24"/>
    </row>
    <row r="64" customFormat="false" ht="15" hidden="false" customHeight="false" outlineLevel="0" collapsed="false">
      <c r="A64" s="24" t="s">
        <v>653</v>
      </c>
      <c r="B64" s="24" t="n">
        <v>2025</v>
      </c>
      <c r="C64" s="25" t="str">
        <f aca="false">A64&amp;"|"&amp;B64</f>
        <v>USD|2025</v>
      </c>
      <c r="D64" s="26" t="n">
        <v>1.13</v>
      </c>
      <c r="E64" s="24" t="s">
        <v>7989</v>
      </c>
      <c r="F64" s="27" t="s">
        <v>8010</v>
      </c>
      <c r="G64" s="24"/>
    </row>
    <row r="65" customFormat="false" ht="15" hidden="false" customHeight="false" outlineLevel="0" collapsed="false">
      <c r="A65" s="24" t="s">
        <v>653</v>
      </c>
      <c r="B65" s="24" t="n">
        <v>2026</v>
      </c>
      <c r="C65" s="25" t="str">
        <f aca="false">A65&amp;"|"&amp;B65</f>
        <v>USD|2026</v>
      </c>
      <c r="D65" s="30" t="n">
        <f aca="false">D64</f>
        <v>1.13</v>
      </c>
      <c r="E65" s="24" t="s">
        <v>7995</v>
      </c>
      <c r="F65" s="24"/>
      <c r="G65" s="24" t="s">
        <v>7996</v>
      </c>
    </row>
    <row r="66" customFormat="false" ht="15" hidden="false" customHeight="false" outlineLevel="0" collapsed="false">
      <c r="A66" s="24" t="s">
        <v>653</v>
      </c>
      <c r="B66" s="24" t="n">
        <v>2027</v>
      </c>
      <c r="C66" s="25" t="str">
        <f aca="false">A66&amp;"|"&amp;B66</f>
        <v>USD|2027</v>
      </c>
      <c r="D66" s="30" t="n">
        <f aca="false">D64</f>
        <v>1.13</v>
      </c>
      <c r="E66" s="24" t="s">
        <v>7995</v>
      </c>
      <c r="F66" s="24"/>
      <c r="G66" s="24" t="s">
        <v>7997</v>
      </c>
    </row>
    <row r="67" customFormat="false" ht="15" hidden="false" customHeight="false" outlineLevel="0" collapsed="false">
      <c r="A67" s="24" t="s">
        <v>653</v>
      </c>
      <c r="B67" s="24" t="n">
        <v>2028</v>
      </c>
      <c r="C67" s="25" t="str">
        <f aca="false">A67&amp;"|"&amp;B67</f>
        <v>USD|2028</v>
      </c>
      <c r="D67" s="30" t="n">
        <f aca="false">D64</f>
        <v>1.13</v>
      </c>
      <c r="E67" s="24" t="s">
        <v>7995</v>
      </c>
      <c r="F67" s="24"/>
      <c r="G67" s="24" t="s">
        <v>8007</v>
      </c>
    </row>
    <row r="68" customFormat="false" ht="15" hidden="false" customHeight="false" outlineLevel="0" collapsed="false">
      <c r="A68" s="24" t="s">
        <v>653</v>
      </c>
      <c r="B68" s="24" t="n">
        <v>2029</v>
      </c>
      <c r="C68" s="25" t="str">
        <f aca="false">A68&amp;"|"&amp;B68</f>
        <v>USD|2029</v>
      </c>
      <c r="D68" s="30" t="n">
        <f aca="false">D64</f>
        <v>1.13</v>
      </c>
      <c r="E68" s="24" t="s">
        <v>7995</v>
      </c>
      <c r="F68" s="24"/>
      <c r="G68" s="24" t="s">
        <v>7998</v>
      </c>
    </row>
    <row r="69" customFormat="false" ht="15" hidden="false" customHeight="false" outlineLevel="0" collapsed="false">
      <c r="A69" s="24" t="s">
        <v>653</v>
      </c>
      <c r="B69" s="24" t="n">
        <v>2030</v>
      </c>
      <c r="C69" s="25" t="str">
        <f aca="false">A69&amp;"|"&amp;B69</f>
        <v>USD|2030</v>
      </c>
      <c r="D69" s="30" t="n">
        <f aca="false">D64</f>
        <v>1.13</v>
      </c>
      <c r="E69" s="24" t="s">
        <v>7995</v>
      </c>
      <c r="F69" s="24"/>
      <c r="G69" s="24" t="s">
        <v>7999</v>
      </c>
    </row>
    <row r="70" customFormat="false" ht="15" hidden="false" customHeight="false" outlineLevel="0" collapsed="false">
      <c r="A70" s="24" t="s">
        <v>653</v>
      </c>
      <c r="B70" s="24" t="n">
        <v>2031</v>
      </c>
      <c r="C70" s="25" t="str">
        <f aca="false">A70&amp;"|"&amp;B70</f>
        <v>USD|2031</v>
      </c>
      <c r="D70" s="30" t="n">
        <f aca="false">D64</f>
        <v>1.13</v>
      </c>
      <c r="E70" s="24" t="s">
        <v>7995</v>
      </c>
      <c r="F70" s="24"/>
      <c r="G70" s="24" t="s">
        <v>8008</v>
      </c>
    </row>
    <row r="71" customFormat="false" ht="15" hidden="false" customHeight="false" outlineLevel="0" collapsed="false">
      <c r="A71" s="24" t="s">
        <v>653</v>
      </c>
      <c r="B71" s="24" t="n">
        <v>2032</v>
      </c>
      <c r="C71" s="25" t="str">
        <f aca="false">A71&amp;"|"&amp;B71</f>
        <v>USD|2032</v>
      </c>
      <c r="D71" s="30" t="n">
        <f aca="false">D64</f>
        <v>1.13</v>
      </c>
      <c r="E71" s="24" t="s">
        <v>7995</v>
      </c>
      <c r="F71" s="24"/>
      <c r="G71" s="24" t="s">
        <v>8011</v>
      </c>
    </row>
    <row r="72" customFormat="false" ht="15" hidden="false" customHeight="false" outlineLevel="0" collapsed="false">
      <c r="A72" s="24" t="s">
        <v>653</v>
      </c>
      <c r="B72" s="24" t="n">
        <v>2033</v>
      </c>
      <c r="C72" s="25" t="str">
        <f aca="false">A72&amp;"|"&amp;B72</f>
        <v>USD|2033</v>
      </c>
      <c r="D72" s="30" t="n">
        <f aca="false">D64</f>
        <v>1.13</v>
      </c>
      <c r="E72" s="24" t="s">
        <v>7995</v>
      </c>
      <c r="F72" s="24"/>
      <c r="G72" s="24" t="s">
        <v>8012</v>
      </c>
    </row>
    <row r="73" customFormat="false" ht="15" hidden="false" customHeight="false" outlineLevel="0" collapsed="false">
      <c r="A73" s="24" t="s">
        <v>653</v>
      </c>
      <c r="B73" s="24" t="n">
        <v>2034</v>
      </c>
      <c r="C73" s="25" t="str">
        <f aca="false">A73&amp;"|"&amp;B73</f>
        <v>USD|2034</v>
      </c>
      <c r="D73" s="30" t="n">
        <f aca="false">D64</f>
        <v>1.13</v>
      </c>
      <c r="E73" s="24" t="s">
        <v>7995</v>
      </c>
      <c r="F73" s="24"/>
      <c r="G73" s="24" t="s">
        <v>8013</v>
      </c>
    </row>
    <row r="74" customFormat="false" ht="15" hidden="false" customHeight="false" outlineLevel="0" collapsed="false">
      <c r="A74" s="24" t="s">
        <v>653</v>
      </c>
      <c r="B74" s="24" t="n">
        <v>2035</v>
      </c>
      <c r="C74" s="25" t="str">
        <f aca="false">A74&amp;"|"&amp;B74</f>
        <v>USD|2035</v>
      </c>
      <c r="D74" s="30" t="n">
        <f aca="false">D64</f>
        <v>1.13</v>
      </c>
      <c r="E74" s="24" t="s">
        <v>7995</v>
      </c>
      <c r="F74" s="24"/>
      <c r="G74" s="24" t="s">
        <v>8014</v>
      </c>
    </row>
  </sheetData>
  <hyperlinks>
    <hyperlink ref="F2" r:id="rId1" display="https://www.bundesbank.de/resource/blob/810492/a2153174ba561731ab6e03a033024545/472B63F073F071307366337C94F8C870/wk1e1213-data.pdf"/>
    <hyperlink ref="F3" r:id="rId2" display="https://www.bundesbank.de/resource/blob/885410/cedfb45cae43b25bd1e9ac07901c960c/mL/2022-02-15-12-43-18-wechselkursstatistik-data.pdf"/>
    <hyperlink ref="F4" r:id="rId3" display="https://www.bundesbank.de/resource/blob/924916/bde72e0f521cb3ad79e4172dcf37bda2/mL/2024-02-15-13-49-26-wechselkursstatistik-data.pdf"/>
    <hyperlink ref="F5" r:id="rId4" display="https://www.oenb.at/isawebstat/stabfrage/createReport?lang=EN&amp;report=2.14"/>
    <hyperlink ref="F6" r:id="rId5" display="https://www.oenb.at/isawebstat/stabfrage/createReport?lang=EN&amp;report=2.14"/>
    <hyperlink ref="F7" r:id="rId6" display="https://www.oenb.at/isawebstat/stabfrage/createReport?lang=EN&amp;report=2.14"/>
    <hyperlink ref="F8" r:id="rId7" display="https://www.oenb.at/isawebstat/stabfrage/createReport?lang=EN&amp;report=2.14"/>
    <hyperlink ref="F11" r:id="rId8" display="https://www.bundesbank.de/resource/blob/810492/a2153174ba561731ab6e03a033024545/472B63F073F071307366337C94F8C870/wk1e1213-data.pdf"/>
    <hyperlink ref="F12" r:id="rId9" display="https://www.bundesbank.de/resource/blob/924916/bde72e0f521cb3ad79e4172dcf37bda2/mL/2024-02-15-13-49-26-wechselkursstatistik-data.pdf"/>
    <hyperlink ref="F13" r:id="rId10" display="https://www.oenb.at/isawebstat/stabfrage/createReport?lang=EN&amp;report=2.14"/>
    <hyperlink ref="F14" r:id="rId11" display="https://www.oenb.at/isawebstat/stabfrage/createReport?lang=EN&amp;report=2.14"/>
    <hyperlink ref="F18" r:id="rId12" display="https://www.bundesbank.de/resource/blob/737356/9f1e7821ed984c99057fbadce69ef511/mL/2018-05-devisenkursstatistik-data.pdf"/>
    <hyperlink ref="F19" r:id="rId13" display="https://www.bundesbank.de/resource/blob/737356/9f1e7821ed984c99057fbadce69ef511/mL/2018-05-devisenkursstatistik-data.pdf"/>
    <hyperlink ref="F20" r:id="rId14" display="https://www.bundesbank.de/resource/blob/709996/f36683564eccaa4c37976bbf02b4ffcf/mL/2018-01-devisenkursstatistik-data.pdf"/>
    <hyperlink ref="F21" r:id="rId15" display="https://www.bundesbank.de/resource/blob/798980/188a2792b8578e3c7cff718eb35b4538/472B63F073F071307366337C94F8C870/2019-06-devisenkursstatistik-data.pdf"/>
    <hyperlink ref="F22" r:id="rId16" display="https://www.bundesbank.de/resource/blob/828028/ebd9cdae8eb8e067e0965839011e311e/472B63F073F071307366337C94F8C870/2020-03-devisenkursstatistik-data.pdf"/>
    <hyperlink ref="F23" r:id="rId17" display="https://www.bundesbank.de/resource/blob/810486/543ccafee008efc3df2f94f8e74c23eb/472B63F073F071307366337C94F8C870/ii-euro-referenzkurse-der-ezb-data.pdf"/>
    <hyperlink ref="F24" r:id="rId18" display="https://www.bundesbank.de/resource/blob/810486/543ccafee008efc3df2f94f8e74c23eb/472B63F073F071307366337C94F8C870/ii-euro-referenzkurse-der-ezb-data.pdf"/>
    <hyperlink ref="F25" r:id="rId19" display="https://www.bundesbank.de/resource/blob/913034/fabcc44214074f5a93c0a78eb9c10a96/mL/2023-07-17-10-49-26-wechselkursstatistik-data.pdf"/>
    <hyperlink ref="F26" r:id="rId20" display="https://www.oenb.at/isawebstat/stabfrage/createReport;jsessionid=2C4AA6EA30652E6225478B954A4276D3?lang=EN&amp;report=2.14"/>
    <hyperlink ref="F27" r:id="rId21" display="https://www.oenb.at/isawebstat/stabfrage/createReport?lang=EN&amp;report=2.14"/>
    <hyperlink ref="F28" r:id="rId22" display="https://www.oenb.at/isawebstat/stabfrage/createReport?lang=EN&amp;report=2.14"/>
    <hyperlink ref="F31" r:id="rId23" display="https://www.bundesbank.de/resource/blob/810492/a2153174ba561731ab6e03a033024545/472B63F073F071307366337C94F8C870/wk1e1213-data.pdf"/>
    <hyperlink ref="F32" r:id="rId24" display="https://www.bundesbank.de/resource/blob/810492/a2153174ba561731ab6e03a033024545/472B63F073F071307366337C94F8C870/wk1e1213-data.pdf"/>
    <hyperlink ref="F33" r:id="rId25" display="https://www.bundesbank.de/resource/blob/885410/cedfb45cae43b25bd1e9ac07901c960c/mL/2022-02-15-12-43-18-wechselkursstatistik-data.pdf"/>
    <hyperlink ref="F34" r:id="rId26" display="https://www.bundesbank.de/resource/blob/885410/cedfb45cae43b25bd1e9ac07901c960c/mL/2022-02-15-12-43-18-wechselkursstatistik-data.pdf"/>
    <hyperlink ref="F35" r:id="rId27" display="https://www.bundesbank.de/resource/blob/924916/bde72e0f521cb3ad79e4172dcf37bda2/mL/2024-02-15-13-49-26-wechselkursstatistik-data.pdf"/>
    <hyperlink ref="F36" r:id="rId28" display="https://www.bundesbank.de/resource/blob/924916/bde72e0f521cb3ad79e4172dcf37bda2/mL/2024-02-15-13-49-26-wechselkursstatistik-data.pdf"/>
    <hyperlink ref="F37" r:id="rId29" display="https://www.oenb.at/isawebstat/stabfrage/createReport?lang=EN&amp;report=2.14"/>
    <hyperlink ref="F38" r:id="rId30" display="https://www.oenb.at/isawebstat/stabfrage/createReport?lang=EN&amp;report=2.14"/>
    <hyperlink ref="F45" r:id="rId31" display="https://www.bundesbank.de/resource/blob/924916/bde72e0f521cb3ad79e4172dcf37bda2/mL/2024-02-15-13-49-26-wechselkursstatistik-data.pdf"/>
    <hyperlink ref="F46" r:id="rId32" display="https://www.oenb.at/isawebstat/stabfrage/createReport?lang=EN&amp;report=2.14"/>
    <hyperlink ref="F48" r:id="rId33" display="https://www.bundesbank.de/resource/blob/924916/bde72e0f521cb3ad79e4172dcf37bda2/mL/2024-02-15-13-49-26-wechselkursstatistik-data.pdf"/>
    <hyperlink ref="F49" r:id="rId34" display="https://www.bundesbank.de/resource/blob/924916/bde72e0f521cb3ad79e4172dcf37bda2/mL/2024-02-15-13-49-26-wechselkursstatistik-data.pdf"/>
    <hyperlink ref="F50" r:id="rId35" display="https://www.oenb.at/isawebstat/stabfrage/createReport?lang=EN&amp;report=2.14"/>
    <hyperlink ref="F51" r:id="rId36" display="https://www.oenb.at/isawebstat/stabfrage/createReport?lang=EN&amp;report=2.14"/>
    <hyperlink ref="F55" r:id="rId37" display="https://api.statistiken.bundesbank.de/rest/download/BBEX3/A.USD.EUR.BB.AC.A04?format=csv&amp;lang=en"/>
    <hyperlink ref="F56" r:id="rId38" display="https://api.statistiken.bundesbank.de/rest/download/BBEX3/A.USD.EUR.BB.AC.A04?format=csv&amp;lang=en"/>
    <hyperlink ref="F57" r:id="rId39" display="https://api.statistiken.bundesbank.de/rest/download/BBEX3/A.USD.EUR.BB.AC.A04?format=csv&amp;lang=en"/>
    <hyperlink ref="F58" r:id="rId40" display="https://api.statistiken.bundesbank.de/rest/download/BBEX3/A.USD.EUR.BB.AC.A04?format=csv&amp;lang=en"/>
    <hyperlink ref="F59" r:id="rId41" display="https://api.statistiken.bundesbank.de/rest/download/BBEX3/A.USD.EUR.BB.AC.A04?format=csv&amp;lang=en"/>
    <hyperlink ref="F60" r:id="rId42" display="https://api.statistiken.bundesbank.de/rest/download/BBEX3/A.USD.EUR.BB.AC.A04?format=csv&amp;lang=en"/>
    <hyperlink ref="F61" r:id="rId43" display="https://api.statistiken.bundesbank.de/rest/download/BBEX3/A.USD.EUR.BB.AC.A04?format=csv&amp;lang=en"/>
    <hyperlink ref="F62" r:id="rId44" display="https://statistiken.bundesbank.de/statistiken-de/zeitreihen/BBEX3/A.USD.EUR.BB.AC.A04"/>
    <hyperlink ref="F63" r:id="rId45" display="https://statistiken.bundesbank.de/statistiken-de/zeitreihen/BBEX3/A.USD.EUR.BB.AC.A04"/>
    <hyperlink ref="F64" r:id="rId46" display="https://statistiken.bundesbank.de/statistiken-de/zeitreihen/BBEX3/A.USD.EUR.BB.AC.A0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2026-10-08T13:47:08Z</dcterms:created>
  <dc:creator>openpyxl</dc:creator>
  <dc:description/>
  <dc:language>en-US</dc:language>
  <cp:lastModifiedBy/>
  <dcterms:modified xsi:type="dcterms:W3CDTF">2026-10-08T13:47:09Z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